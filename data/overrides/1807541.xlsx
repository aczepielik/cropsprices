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PIS" sheetId="2" state="visible" r:id="rId2"/>
    <sheet name="ZMIANY HURT" sheetId="3" state="visible" r:id="rId3"/>
    <sheet name="HURT WARZ" sheetId="4" state="visible" r:id="rId4"/>
    <sheet name="OWOCE ORGANIZACJE PROD." sheetId="5" state="visible" r:id="rId5"/>
    <sheet name="OWOCE PRZETWÓRSTWO" sheetId="6" state="visible" r:id="rId6"/>
    <sheet name="WARZYWA PRZETWÓRSTWO" sheetId="7" state="visible" r:id="rId7"/>
    <sheet name="ZAKUP OWOCE DETAL" sheetId="8" state="visible" r:id="rId8"/>
    <sheet name="ZAKUP WARZ DETAL" sheetId="9" state="visible" r:id="rId9"/>
    <sheet name="DETAL OWOCE WYKRES " sheetId="10" state="visible" r:id="rId10"/>
    <sheet name="DETAL WARZ WYKRES" sheetId="11" state="visible" r:id="rId11"/>
    <sheet name="IERGZ_warzywa" sheetId="12" state="visible" r:id="rId12"/>
    <sheet name="Zaklady " sheetId="13" state="visible" r:id="rId13"/>
    <sheet name="IERGZ_Zaklady  " sheetId="14" state="visible" r:id="rId14"/>
    <sheet name="IERGZ_owoce" sheetId="15" state="visible" r:id="rId15"/>
    <sheet name="ow_KRIR" sheetId="16" state="visible" r:id="rId16"/>
    <sheet name="HANDEL ZAGRANICZNY_I_XII_2025" sheetId="17" state="visible" r:id="rId17"/>
    <sheet name="HANDEL ZAGRANICZNY_I _II_2026" sheetId="18" state="visible" r:id="rId18"/>
    <sheet name="EXP KRAJE I-II 2026" sheetId="19" state="visible" r:id="rId19"/>
    <sheet name="IMP KRAJE I-XII 2025" sheetId="20" state="visible" r:id="rId20"/>
    <sheet name="Sł_Pol-Ang" sheetId="21" state="visible" r:id="rId21"/>
    <sheet name="POMOC" sheetId="22" state="visible" r:id="rId22"/>
    <sheet name="Moduł1" sheetId="23" state="visible" r:id="rId23"/>
    <sheet name="Moduł2" sheetId="24" state="visible" r:id="rId24"/>
    <sheet name="Moduł3" sheetId="25" state="visible" r:id="rId25"/>
    <sheet name="Moduł4" sheetId="26" state="visible" r:id="rId26"/>
    <sheet name="Moduł5" sheetId="27" state="visible" r:id="rId27"/>
    <sheet name="Moduł6" sheetId="28" state="visible" r:id="rId28"/>
    <sheet name="HURT OWOC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M19"/>
  <sheetViews>
    <sheetView workbookViewId="0">
      <selection activeCell="A1" sqref="A1"/>
    </sheetView>
  </sheetViews>
  <sheetFormatPr baseColWidth="8" defaultRowHeight="15"/>
  <sheetData>
    <row r="5">
      <c r="B5" t="inlineStr">
        <is>
          <t xml:space="preserve"> ZINTEGROWANY SYSTEM ROLNICZEJ INFORMACJI RYNKOWEJ</t>
        </is>
      </c>
    </row>
    <row r="10">
      <c r="B10" t="inlineStr">
        <is>
          <t>Rynek</t>
        </is>
      </c>
    </row>
    <row r="11">
      <c r="B11" t="inlineStr">
        <is>
          <t xml:space="preserve">owoców i warzyw </t>
        </is>
      </c>
    </row>
    <row r="14">
      <c r="B14" t="inlineStr">
        <is>
          <t>NR 18/2026</t>
        </is>
      </c>
    </row>
    <row r="16">
      <c r="M16" t="inlineStr">
        <is>
          <t>07 maja 2026 r.</t>
        </is>
      </c>
    </row>
    <row r="19">
      <c r="D19" t="inlineStr">
        <is>
          <t>zsrir.minrol.gov.pl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sheetData>
    <row r="2">
      <c r="B2" t="inlineStr">
        <is>
          <t>SPIS TREŚCI</t>
        </is>
      </c>
    </row>
    <row r="6">
      <c r="C6" t="inlineStr">
        <is>
          <t>ZMIANY CEN HURTOWYCH</t>
        </is>
      </c>
    </row>
    <row r="7">
      <c r="C7" t="inlineStr">
        <is>
          <t>CENY HURTOWE WARZYW</t>
        </is>
      </c>
    </row>
    <row r="8">
      <c r="C8" t="inlineStr">
        <is>
          <t>CENY HURTOWE OWOCÓW</t>
        </is>
      </c>
    </row>
    <row r="9">
      <c r="C9" t="inlineStr">
        <is>
          <t>CENY OWOCÓW ORGANIZACJI PRODUCENTÓW</t>
        </is>
      </c>
    </row>
    <row r="10">
      <c r="C10" t="inlineStr">
        <is>
          <t>CENY OWOCÓW DO PRZETWORSTWA</t>
        </is>
      </c>
    </row>
    <row r="11">
      <c r="C11" t="inlineStr">
        <is>
          <t>CENY WARZYW DO PRZETWORSTWA</t>
        </is>
      </c>
    </row>
    <row r="12">
      <c r="C12" t="inlineStr">
        <is>
          <t>CENY DETALICZNE OWOCÓW</t>
        </is>
      </c>
    </row>
    <row r="13">
      <c r="C13" t="inlineStr">
        <is>
          <t>CENY DETALICZNE WARZYW</t>
        </is>
      </c>
    </row>
    <row r="14">
      <c r="C14" t="inlineStr">
        <is>
          <t>WYKRESY - OWOCE DETAL</t>
        </is>
      </c>
    </row>
    <row r="15">
      <c r="C15" t="inlineStr">
        <is>
          <t>WYKRESY - WARZYWA DETAL</t>
        </is>
      </c>
    </row>
    <row r="16">
      <c r="C16" t="inlineStr">
        <is>
          <t>IERGZ - CENY WARZYW</t>
        </is>
      </c>
    </row>
    <row r="17">
      <c r="C17" t="inlineStr">
        <is>
          <t>IRGZ- CENY W ZAKŁADACH PRZETWÓRCZYCH I SPÓLDZIELNIACH</t>
        </is>
      </c>
    </row>
    <row r="18">
      <c r="C18" t="inlineStr">
        <is>
          <t>IRGZ- CENY OWOCÓW</t>
        </is>
      </c>
    </row>
    <row r="19">
      <c r="C19" t="inlineStr">
        <is>
          <t>CENY OWOCÓW I WARZY - KIRR</t>
        </is>
      </c>
    </row>
    <row r="20">
      <c r="C20" t="inlineStr">
        <is>
          <t>HANDEL ZAGRANICZNY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66"/>
  <sheetViews>
    <sheetView workbookViewId="0">
      <selection activeCell="A1" sqref="A1"/>
    </sheetView>
  </sheetViews>
  <sheetFormatPr baseColWidth="8" defaultRowHeight="15"/>
  <sheetData>
    <row r="2">
      <c r="B2" t="inlineStr">
        <is>
          <t>ZMIANY ŚREDNICH CEN HURTOWYCH DLA WYBRANEGO ASORTYMENTU OWOCÓW I WARZYW</t>
        </is>
      </c>
    </row>
    <row r="4">
      <c r="O4">
        <f>POMOC!B5</f>
        <v/>
      </c>
    </row>
    <row r="5">
      <c r="D5" t="inlineStr">
        <is>
          <t>Cena zł/jedn</t>
        </is>
      </c>
      <c r="H5" t="inlineStr">
        <is>
          <t>Zmiany ceny (%)</t>
        </is>
      </c>
    </row>
    <row r="6">
      <c r="B6" t="inlineStr">
        <is>
          <t>Produkt</t>
        </is>
      </c>
      <c r="C6" t="inlineStr">
        <is>
          <t>Jedn.</t>
        </is>
      </c>
      <c r="D6" s="1" t="n">
        <v>46149</v>
      </c>
      <c r="F6" s="1" t="n">
        <v>46142</v>
      </c>
      <c r="H6" t="inlineStr">
        <is>
          <t>w stosunku do poprzedniego notowania*)</t>
        </is>
      </c>
      <c r="J6" t="inlineStr">
        <is>
          <t>2 tyg.</t>
        </is>
      </c>
      <c r="L6" t="inlineStr">
        <is>
          <t>3 tyg.</t>
        </is>
      </c>
      <c r="N6" t="inlineStr">
        <is>
          <t>4 tyg.</t>
        </is>
      </c>
    </row>
    <row r="7">
      <c r="D7" t="inlineStr">
        <is>
          <t>Min</t>
        </is>
      </c>
      <c r="E7" t="inlineStr">
        <is>
          <t>Max</t>
        </is>
      </c>
      <c r="F7" t="inlineStr">
        <is>
          <t>Min</t>
        </is>
      </c>
      <c r="G7" t="inlineStr">
        <is>
          <t>Max</t>
        </is>
      </c>
      <c r="H7" t="inlineStr">
        <is>
          <t>Min</t>
        </is>
      </c>
      <c r="I7" t="inlineStr">
        <is>
          <t>Max</t>
        </is>
      </c>
      <c r="J7" t="inlineStr">
        <is>
          <t>Min</t>
        </is>
      </c>
      <c r="K7" t="inlineStr">
        <is>
          <t>Max</t>
        </is>
      </c>
      <c r="L7" t="inlineStr">
        <is>
          <t>Min</t>
        </is>
      </c>
      <c r="M7" t="inlineStr">
        <is>
          <t>Max</t>
        </is>
      </c>
      <c r="N7" t="inlineStr">
        <is>
          <t>Min</t>
        </is>
      </c>
      <c r="O7" t="inlineStr">
        <is>
          <t>Max</t>
        </is>
      </c>
    </row>
    <row r="8">
      <c r="B8" t="n">
        <v>1</v>
      </c>
      <c r="C8" t="n">
        <v>2</v>
      </c>
      <c r="D8" t="n">
        <v>3</v>
      </c>
      <c r="E8" t="n">
        <v>4</v>
      </c>
      <c r="F8" t="n">
        <v>5</v>
      </c>
      <c r="G8" t="n">
        <v>6</v>
      </c>
      <c r="H8" t="n">
        <v>7</v>
      </c>
      <c r="I8" t="n">
        <v>8</v>
      </c>
      <c r="J8" t="n">
        <v>9</v>
      </c>
      <c r="K8" t="n">
        <v>10</v>
      </c>
      <c r="L8" t="n">
        <v>11</v>
      </c>
      <c r="M8" t="n">
        <v>12</v>
      </c>
      <c r="N8" t="n">
        <v>13</v>
      </c>
      <c r="O8" t="n">
        <v>14</v>
      </c>
      <c r="P8" t="inlineStr">
        <is>
          <t> </t>
        </is>
      </c>
    </row>
    <row r="9">
      <c r="B9" t="inlineStr">
        <is>
          <t>Warzywa krajowe</t>
        </is>
      </c>
    </row>
    <row r="10">
      <c r="B10" t="inlineStr">
        <is>
          <t>Boczniaki</t>
        </is>
      </c>
      <c r="C10" t="inlineStr">
        <is>
          <t>kg</t>
        </is>
      </c>
      <c r="D10" t="n">
        <v>19.83333333333333</v>
      </c>
      <c r="E10" t="n">
        <v>22.66666666666667</v>
      </c>
      <c r="F10" t="n">
        <v>21.75</v>
      </c>
      <c r="G10" t="n">
        <v>25</v>
      </c>
    </row>
    <row r="11">
      <c r="B11" t="inlineStr">
        <is>
          <t>Buraki ćwikłowe</t>
        </is>
      </c>
      <c r="C11" t="inlineStr">
        <is>
          <t>kg</t>
        </is>
      </c>
      <c r="D11" t="n">
        <v>1.06</v>
      </c>
      <c r="E11" t="n">
        <v>1.54</v>
      </c>
      <c r="F11" t="n">
        <v>1.25</v>
      </c>
      <c r="G11" t="n">
        <v>1.8</v>
      </c>
    </row>
    <row r="12">
      <c r="B12" t="inlineStr">
        <is>
          <t>Buraki młode</t>
        </is>
      </c>
      <c r="C12" t="inlineStr">
        <is>
          <t>pęczek</t>
        </is>
      </c>
      <c r="D12" t="n">
        <v>3.5</v>
      </c>
      <c r="E12" t="n">
        <v>5</v>
      </c>
      <c r="F12" t="n">
        <v>3.5</v>
      </c>
      <c r="G12" t="n">
        <v>5</v>
      </c>
    </row>
    <row r="13">
      <c r="B13" t="inlineStr">
        <is>
          <t>Cebula biała</t>
        </is>
      </c>
      <c r="C13" t="inlineStr">
        <is>
          <t>kg</t>
        </is>
      </c>
      <c r="D13" t="n">
        <v>1.14</v>
      </c>
      <c r="E13" t="n">
        <v>1.44</v>
      </c>
      <c r="F13" t="n">
        <v>1.275</v>
      </c>
      <c r="G13" t="n">
        <v>1.575</v>
      </c>
    </row>
    <row r="14">
      <c r="B14" t="inlineStr">
        <is>
          <t>Kalafiory</t>
        </is>
      </c>
      <c r="C14" t="inlineStr">
        <is>
          <t>szt.</t>
        </is>
      </c>
      <c r="D14" t="n">
        <v>9.333333333333334</v>
      </c>
      <c r="E14" t="n">
        <v>10.66666666666667</v>
      </c>
      <c r="F14" t="n">
        <v>0</v>
      </c>
      <c r="G14" t="n">
        <v>0</v>
      </c>
      <c r="H14" t="n">
        <v>-4.347826086956522</v>
      </c>
      <c r="I14" t="n">
        <v>-3.478741027056876</v>
      </c>
      <c r="J14" t="n">
        <v>-2.654867256637174</v>
      </c>
      <c r="K14" t="n">
        <v>-8.10318239170055</v>
      </c>
      <c r="L14" t="n">
        <v>0</v>
      </c>
      <c r="M14" t="n">
        <v>-6.357142857142861</v>
      </c>
      <c r="N14" t="n">
        <v>-10.20408163265306</v>
      </c>
      <c r="O14" t="n">
        <v>-12.11664152840624</v>
      </c>
    </row>
    <row r="15">
      <c r="B15" t="inlineStr">
        <is>
          <t>Kapusta biała</t>
        </is>
      </c>
      <c r="C15" t="inlineStr">
        <is>
          <t>kg</t>
        </is>
      </c>
      <c r="D15" t="n">
        <v>0.93</v>
      </c>
      <c r="E15" t="n">
        <v>1.24</v>
      </c>
      <c r="F15" t="n">
        <v>1.2125</v>
      </c>
      <c r="G15" t="n">
        <v>1.45</v>
      </c>
    </row>
    <row r="16">
      <c r="B16" t="inlineStr">
        <is>
          <t>Kapusta młoda</t>
        </is>
      </c>
      <c r="C16" t="inlineStr">
        <is>
          <t>szt.</t>
        </is>
      </c>
      <c r="D16" t="n">
        <v>5.166666666666667</v>
      </c>
      <c r="E16" t="n">
        <v>5.75</v>
      </c>
      <c r="F16" t="n">
        <v>6</v>
      </c>
      <c r="G16" t="n">
        <v>6.25</v>
      </c>
      <c r="H16" t="n">
        <v>-15.21739130434783</v>
      </c>
      <c r="I16" t="n">
        <v>-6.892738665683749</v>
      </c>
      <c r="J16" t="n">
        <v>-23.52941176470588</v>
      </c>
      <c r="K16" t="n">
        <v>-15.09243697478992</v>
      </c>
      <c r="L16" t="n">
        <v>2.631578947368421</v>
      </c>
      <c r="M16" t="n">
        <v>-15.80000000000001</v>
      </c>
      <c r="N16" t="n">
        <v>-25.94936708860759</v>
      </c>
      <c r="O16" t="n">
        <v>-22.6734693877551</v>
      </c>
    </row>
    <row r="17">
      <c r="B17" t="inlineStr">
        <is>
          <t>Marchew</t>
        </is>
      </c>
      <c r="C17" t="inlineStr">
        <is>
          <t>kg</t>
        </is>
      </c>
      <c r="D17" t="n">
        <v>2.12</v>
      </c>
      <c r="E17" t="n">
        <v>2.74</v>
      </c>
      <c r="F17" t="n">
        <v>2.175</v>
      </c>
      <c r="G17" t="n">
        <v>2.9125</v>
      </c>
    </row>
    <row r="18">
      <c r="B18" t="inlineStr">
        <is>
          <t>Ogórki gruntowe</t>
        </is>
      </c>
      <c r="C18" t="inlineStr">
        <is>
          <t>kg</t>
        </is>
      </c>
      <c r="D18" t="n">
        <v>5.9</v>
      </c>
      <c r="E18" t="n">
        <v>7.2</v>
      </c>
      <c r="F18" t="n">
        <v>6.875</v>
      </c>
      <c r="G18" t="n">
        <v>8.25</v>
      </c>
    </row>
    <row r="19">
      <c r="B19" t="inlineStr">
        <is>
          <t>Ogórki krótkie</t>
        </is>
      </c>
      <c r="C19" t="inlineStr">
        <is>
          <t>kg</t>
        </is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Ogórki szklarniowe</t>
        </is>
      </c>
      <c r="C20" t="inlineStr">
        <is>
          <t>kg</t>
        </is>
      </c>
      <c r="D20" t="n">
        <v>3.63</v>
      </c>
      <c r="E20" t="n">
        <v>4.39</v>
      </c>
      <c r="F20" t="n">
        <v>4.5</v>
      </c>
      <c r="G20" t="n">
        <v>5.65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B21" t="inlineStr">
        <is>
          <t>Pietruszka</t>
        </is>
      </c>
      <c r="C21" t="inlineStr">
        <is>
          <t>kg</t>
        </is>
      </c>
      <c r="D21" t="n">
        <v>3.14</v>
      </c>
      <c r="E21" t="n">
        <v>4.36</v>
      </c>
      <c r="F21" t="n">
        <v>3.875</v>
      </c>
      <c r="G21" t="n">
        <v>4.7</v>
      </c>
    </row>
    <row r="22">
      <c r="B22" t="inlineStr">
        <is>
          <t>Pomidory</t>
        </is>
      </c>
      <c r="C22" t="inlineStr">
        <is>
          <t>kg</t>
        </is>
      </c>
      <c r="D22" t="n">
        <v>8.931999999999999</v>
      </c>
      <c r="E22" t="n">
        <v>10.6</v>
      </c>
      <c r="F22" t="n">
        <v>11.5425</v>
      </c>
      <c r="G22" t="n">
        <v>13.5</v>
      </c>
    </row>
    <row r="23">
      <c r="B23" t="inlineStr">
        <is>
          <t>Pomidory malinowe</t>
        </is>
      </c>
      <c r="C23" t="inlineStr">
        <is>
          <t>kg</t>
        </is>
      </c>
      <c r="D23" t="n">
        <v>8.300000000000001</v>
      </c>
      <c r="E23" t="n">
        <v>10.632</v>
      </c>
      <c r="F23" t="n">
        <v>10.96</v>
      </c>
      <c r="G23" t="n">
        <v>13.4175</v>
      </c>
    </row>
    <row r="24">
      <c r="B24" t="inlineStr">
        <is>
          <t>Pory</t>
        </is>
      </c>
      <c r="C24" t="inlineStr">
        <is>
          <t>szt.</t>
        </is>
      </c>
      <c r="D24" t="n">
        <v>1.933333333333333</v>
      </c>
      <c r="E24" t="n">
        <v>2.666666666666667</v>
      </c>
      <c r="F24" t="n">
        <v>2.333333333333333</v>
      </c>
      <c r="G24" t="n">
        <v>3</v>
      </c>
    </row>
    <row r="25">
      <c r="B25" t="inlineStr">
        <is>
          <t>Sałata</t>
        </is>
      </c>
      <c r="C25" t="inlineStr">
        <is>
          <t>szt.</t>
        </is>
      </c>
      <c r="D25" t="n">
        <v>2.75</v>
      </c>
      <c r="E25" t="n">
        <v>3.418</v>
      </c>
      <c r="F25" t="n">
        <v>2.89</v>
      </c>
      <c r="G25" t="n">
        <v>3.616666666666667</v>
      </c>
      <c r="H25" t="n">
        <v>-4.488078541374466</v>
      </c>
      <c r="I25" t="n">
        <v>-3.904282115869013</v>
      </c>
      <c r="J25" t="n">
        <v>9.72073039742213</v>
      </c>
      <c r="K25" t="n">
        <v>9.626436781609195</v>
      </c>
      <c r="L25" t="n">
        <v>-14.87499999999999</v>
      </c>
      <c r="M25" t="n">
        <v>-23.7</v>
      </c>
      <c r="N25" t="n">
        <v>-0.5839416058394036</v>
      </c>
      <c r="O25" t="n">
        <v>-13.44299489506523</v>
      </c>
    </row>
    <row r="26">
      <c r="B26" t="inlineStr">
        <is>
          <t>Selery</t>
        </is>
      </c>
      <c r="C26" t="inlineStr">
        <is>
          <t>kg</t>
        </is>
      </c>
      <c r="D26" t="n">
        <v>1.98</v>
      </c>
      <c r="E26" t="n">
        <v>2.48</v>
      </c>
      <c r="F26" t="n">
        <v>2.55</v>
      </c>
      <c r="G26" t="n">
        <v>3.025</v>
      </c>
    </row>
    <row r="27">
      <c r="B27" t="inlineStr">
        <is>
          <t>Ziemniaki</t>
        </is>
      </c>
      <c r="C27" t="inlineStr">
        <is>
          <t>kg</t>
        </is>
      </c>
      <c r="D27" t="n">
        <v>0.712</v>
      </c>
      <c r="E27" t="n">
        <v>0.994</v>
      </c>
      <c r="F27" t="n">
        <v>0.9075</v>
      </c>
      <c r="G27" t="n">
        <v>1.2925</v>
      </c>
    </row>
    <row r="28">
      <c r="B28" t="inlineStr">
        <is>
          <t>Ziemniaki młode</t>
        </is>
      </c>
      <c r="C28" t="inlineStr">
        <is>
          <t>kg</t>
        </is>
      </c>
      <c r="D28" t="n">
        <v>12.22333333333333</v>
      </c>
      <c r="E28" t="n">
        <v>13.89</v>
      </c>
      <c r="F28" t="n">
        <v>13.5</v>
      </c>
      <c r="G28" t="n">
        <v>18.5</v>
      </c>
      <c r="H28" t="n">
        <v>-20.09345794392522</v>
      </c>
      <c r="I28" t="n">
        <v>-11.11111111111111</v>
      </c>
      <c r="J28" t="n">
        <v>-26.08069164265131</v>
      </c>
      <c r="K28" t="n">
        <v>-11.11111111111111</v>
      </c>
      <c r="N28" t="n">
        <v>-6.386861313868622</v>
      </c>
      <c r="O28" t="n">
        <v>-5.88235294117647</v>
      </c>
    </row>
    <row r="29">
      <c r="B29" t="inlineStr">
        <is>
          <t>Owoce krajowe</t>
        </is>
      </c>
    </row>
    <row r="30">
      <c r="B30" t="inlineStr">
        <is>
          <t>Gruszki</t>
        </is>
      </c>
      <c r="C30" t="inlineStr">
        <is>
          <t>kg</t>
        </is>
      </c>
      <c r="D30" t="n">
        <v>4.2</v>
      </c>
      <c r="E30" t="n">
        <v>6</v>
      </c>
      <c r="F30" t="n">
        <v>5.125</v>
      </c>
      <c r="G30" t="n">
        <v>6.5</v>
      </c>
      <c r="H30" t="n">
        <v>-18.04878048780488</v>
      </c>
      <c r="I30" t="n">
        <v>-7.692307692307693</v>
      </c>
      <c r="J30" t="n">
        <v>-20.75471698113207</v>
      </c>
      <c r="K30" t="n">
        <v>-4.761904761904759</v>
      </c>
      <c r="L30" t="n">
        <v>-1.17647058823529</v>
      </c>
      <c r="M30" t="n">
        <v>0</v>
      </c>
      <c r="N30" t="n">
        <v>-13.84615384615384</v>
      </c>
      <c r="O30" t="n">
        <v>2.127659574468085</v>
      </c>
    </row>
    <row r="31">
      <c r="B31" t="inlineStr">
        <is>
          <t>Truskawki</t>
        </is>
      </c>
      <c r="C31" t="inlineStr">
        <is>
          <t>kg</t>
        </is>
      </c>
      <c r="D31" t="n">
        <v>29.25</v>
      </c>
      <c r="E31" t="n">
        <v>35</v>
      </c>
      <c r="F31" t="n">
        <v>35.33333333333334</v>
      </c>
      <c r="G31" t="n">
        <v>37.33333333333334</v>
      </c>
      <c r="H31" t="n">
        <v>-17.21698113207547</v>
      </c>
      <c r="I31" t="n">
        <v>-6.250000000000005</v>
      </c>
      <c r="J31" t="n">
        <v>-15.62499999999999</v>
      </c>
      <c r="K31" t="n">
        <v>-2.777777777777778</v>
      </c>
      <c r="L31" t="n">
        <v>-8.59375</v>
      </c>
      <c r="M31" t="n">
        <v>-2.777777777777778</v>
      </c>
      <c r="N31" t="n">
        <v>-12.6865671641791</v>
      </c>
      <c r="O31" t="n">
        <v>-2.777777777777778</v>
      </c>
    </row>
    <row r="32">
      <c r="B32" t="inlineStr">
        <is>
          <t>Jabłka:</t>
        </is>
      </c>
    </row>
    <row r="33">
      <c r="B33" t="inlineStr">
        <is>
          <t>Boskoop</t>
        </is>
      </c>
      <c r="C33" t="inlineStr">
        <is>
          <t>kg</t>
        </is>
      </c>
      <c r="D33" t="n">
        <v>2.5</v>
      </c>
      <c r="E33" t="n">
        <v>3.25</v>
      </c>
      <c r="F33" t="n">
        <v>2.5</v>
      </c>
      <c r="G33" t="n">
        <v>3.25</v>
      </c>
      <c r="H33" t="n">
        <v>0</v>
      </c>
      <c r="I33" t="n">
        <v>0</v>
      </c>
      <c r="J33" t="n">
        <v>0</v>
      </c>
      <c r="K33" t="n">
        <v>0</v>
      </c>
      <c r="N33" t="n">
        <v>0</v>
      </c>
      <c r="O33" t="n">
        <v>0</v>
      </c>
    </row>
    <row r="34">
      <c r="B34" t="inlineStr">
        <is>
          <t>Cortland</t>
        </is>
      </c>
      <c r="C34" t="inlineStr">
        <is>
          <t>kg</t>
        </is>
      </c>
      <c r="D34" t="n">
        <v>3.136666666666667</v>
      </c>
      <c r="E34" t="n">
        <v>4.263333333333334</v>
      </c>
      <c r="F34" t="n">
        <v>3.136666666666667</v>
      </c>
      <c r="G34" t="n">
        <v>4.393333333333334</v>
      </c>
      <c r="H34" t="n">
        <v>0</v>
      </c>
      <c r="I34" t="n">
        <v>-2.959028831562972</v>
      </c>
      <c r="J34" t="n">
        <v>3.863134657836646</v>
      </c>
      <c r="K34" t="n">
        <v>-0.7372914241365841</v>
      </c>
      <c r="L34" t="n">
        <v>10.64079952968842</v>
      </c>
      <c r="M34" t="n">
        <v>-5.259259259259252</v>
      </c>
      <c r="N34" t="n">
        <v>3.863134657836646</v>
      </c>
      <c r="O34" t="n">
        <v>1.206726013847674</v>
      </c>
    </row>
    <row r="35">
      <c r="B35" t="inlineStr">
        <is>
          <t>Gala</t>
        </is>
      </c>
      <c r="C35" t="inlineStr">
        <is>
          <t>kg</t>
        </is>
      </c>
      <c r="D35" t="n">
        <v>2.886666666666667</v>
      </c>
      <c r="E35" t="n">
        <v>3.22</v>
      </c>
      <c r="F35" t="n">
        <v>2.886666666666667</v>
      </c>
      <c r="G35" t="n">
        <v>3.22</v>
      </c>
      <c r="H35" t="n">
        <v>0</v>
      </c>
      <c r="I35" t="n">
        <v>0</v>
      </c>
      <c r="J35" t="n">
        <v>0</v>
      </c>
      <c r="K35" t="n">
        <v>0</v>
      </c>
      <c r="L35" t="n">
        <v>15.46666666666667</v>
      </c>
      <c r="M35" t="n">
        <v>-7.999999999999995</v>
      </c>
      <c r="N35" t="n">
        <v>0</v>
      </c>
      <c r="O35" t="n">
        <v>-2.522704339051454</v>
      </c>
    </row>
    <row r="36">
      <c r="B36" t="inlineStr">
        <is>
          <t>Golden</t>
        </is>
      </c>
      <c r="C36" t="inlineStr">
        <is>
          <t>kg</t>
        </is>
      </c>
      <c r="D36" t="n">
        <v>3.193333333333333</v>
      </c>
      <c r="E36" t="n">
        <v>3.61</v>
      </c>
      <c r="F36" t="n">
        <v>3.193333333333333</v>
      </c>
      <c r="G36" t="n">
        <v>3.61</v>
      </c>
      <c r="H36" t="n">
        <v>0</v>
      </c>
      <c r="I36" t="n">
        <v>0</v>
      </c>
      <c r="J36" t="n">
        <v>0</v>
      </c>
      <c r="K36" t="n">
        <v>0</v>
      </c>
      <c r="L36" t="n">
        <v>27.73333333333333</v>
      </c>
      <c r="M36" t="n">
        <v>-3.733333333333337</v>
      </c>
      <c r="N36" t="n">
        <v>0</v>
      </c>
      <c r="O36" t="n">
        <v>0</v>
      </c>
    </row>
    <row r="37">
      <c r="B37" t="inlineStr">
        <is>
          <t>Jonagold</t>
        </is>
      </c>
      <c r="C37" t="inlineStr">
        <is>
          <t>kg</t>
        </is>
      </c>
      <c r="D37" t="n">
        <v>2.54</v>
      </c>
      <c r="E37" t="n">
        <v>3.04</v>
      </c>
      <c r="F37" t="n">
        <v>2.54</v>
      </c>
      <c r="G37" t="n">
        <v>3.04</v>
      </c>
      <c r="H37" t="n">
        <v>0</v>
      </c>
      <c r="I37" t="n">
        <v>0</v>
      </c>
      <c r="J37" t="n">
        <v>0</v>
      </c>
      <c r="K37" t="n">
        <v>0</v>
      </c>
      <c r="L37" t="n">
        <v>27</v>
      </c>
      <c r="M37" t="n">
        <v>1.333333333333334</v>
      </c>
      <c r="N37" t="n">
        <v>0</v>
      </c>
      <c r="O37" t="n">
        <v>0</v>
      </c>
    </row>
    <row r="38">
      <c r="B38" t="inlineStr">
        <is>
          <t>Jonagored</t>
        </is>
      </c>
      <c r="C38" t="inlineStr">
        <is>
          <t>kg</t>
        </is>
      </c>
      <c r="D38" t="n">
        <v>3.33</v>
      </c>
      <c r="E38" t="n">
        <v>4</v>
      </c>
      <c r="F38" t="n">
        <v>3.33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N38" t="n">
        <v>0</v>
      </c>
      <c r="O38" t="n">
        <v>0</v>
      </c>
    </row>
    <row r="39">
      <c r="B39" t="inlineStr">
        <is>
          <t>Ligol</t>
        </is>
      </c>
      <c r="C39" t="inlineStr">
        <is>
          <t>kg</t>
        </is>
      </c>
      <c r="D39" t="n">
        <v>2.803333333333333</v>
      </c>
      <c r="E39" t="n">
        <v>3.36</v>
      </c>
      <c r="F39" t="n">
        <v>2.803333333333333</v>
      </c>
      <c r="G39" t="n">
        <v>3.36</v>
      </c>
      <c r="H39" t="n">
        <v>0</v>
      </c>
      <c r="I39" t="n">
        <v>0</v>
      </c>
      <c r="J39" t="n">
        <v>7.716938840858144</v>
      </c>
      <c r="K39" t="n">
        <v>0.2237136465324337</v>
      </c>
      <c r="L39" t="n">
        <v>40.16666666666666</v>
      </c>
      <c r="M39" t="n">
        <v>11.99999999999999</v>
      </c>
      <c r="N39" t="n">
        <v>7.716938840858144</v>
      </c>
      <c r="O39" t="n">
        <v>0.2237136465324337</v>
      </c>
    </row>
    <row r="40">
      <c r="B40" t="inlineStr">
        <is>
          <t>Lobo</t>
        </is>
      </c>
      <c r="C40" t="inlineStr">
        <is>
          <t>kg</t>
        </is>
      </c>
      <c r="D40" t="n">
        <v>3.086666666666666</v>
      </c>
      <c r="E40" t="n">
        <v>4.06</v>
      </c>
      <c r="F40" t="n">
        <v>3.086666666666666</v>
      </c>
      <c r="G40" t="n">
        <v>4.06</v>
      </c>
      <c r="H40" t="n">
        <v>0</v>
      </c>
      <c r="I40" t="n">
        <v>0</v>
      </c>
      <c r="J40" t="n">
        <v>9.650680876258136</v>
      </c>
      <c r="K40" t="n">
        <v>6.982872200263496</v>
      </c>
      <c r="L40" t="n">
        <v>8.304093567251451</v>
      </c>
      <c r="M40" t="n">
        <v>1.49999999999999</v>
      </c>
      <c r="N40" t="n">
        <v>9.650680876258136</v>
      </c>
      <c r="O40" t="n">
        <v>6.982872200263496</v>
      </c>
    </row>
    <row r="41">
      <c r="B41" t="inlineStr">
        <is>
          <t>Szara Reneta</t>
        </is>
      </c>
      <c r="C41" t="inlineStr">
        <is>
          <t>kg</t>
        </is>
      </c>
      <c r="D41" t="n">
        <v>3.165</v>
      </c>
      <c r="E41" t="n">
        <v>3.925</v>
      </c>
      <c r="F41" t="n">
        <v>3.61</v>
      </c>
      <c r="G41" t="n">
        <v>4.283333333333333</v>
      </c>
      <c r="H41" t="n">
        <v>-12.32686980609418</v>
      </c>
      <c r="I41" t="n">
        <v>-8.365758754863815</v>
      </c>
      <c r="J41" t="n">
        <v>-1.32501948558067</v>
      </c>
      <c r="K41" t="n">
        <v>-2.966625463535231</v>
      </c>
      <c r="L41" t="n">
        <v>-2.615384615384614</v>
      </c>
      <c r="M41" t="n">
        <v>-1.875000000000004</v>
      </c>
      <c r="N41" t="n">
        <v>13.98559423769507</v>
      </c>
      <c r="O41" t="n">
        <v>5.322003577817529</v>
      </c>
    </row>
    <row r="42">
      <c r="B42" t="inlineStr">
        <is>
          <t>Szampion</t>
        </is>
      </c>
      <c r="C42" t="inlineStr">
        <is>
          <t>kg</t>
        </is>
      </c>
      <c r="D42" t="n">
        <v>2.803333333333333</v>
      </c>
      <c r="E42" t="n">
        <v>3.526666666666667</v>
      </c>
      <c r="F42" t="n">
        <v>2.803333333333333</v>
      </c>
      <c r="G42" t="n">
        <v>3.526666666666667</v>
      </c>
      <c r="H42" t="n">
        <v>0</v>
      </c>
      <c r="I42" t="n">
        <v>0</v>
      </c>
      <c r="J42" t="n">
        <v>11.24338624338624</v>
      </c>
      <c r="K42" t="n">
        <v>3.878252331860584</v>
      </c>
      <c r="L42" t="n">
        <v>52.77020890099909</v>
      </c>
      <c r="M42" t="n">
        <v>8.512820512820518</v>
      </c>
      <c r="N42" t="n">
        <v>11.24338624338624</v>
      </c>
      <c r="O42" t="n">
        <v>3.878252331860584</v>
      </c>
    </row>
    <row r="43">
      <c r="B43" t="inlineStr">
        <is>
          <t>Warzywa importowane</t>
        </is>
      </c>
    </row>
    <row r="44">
      <c r="B44" t="inlineStr">
        <is>
          <t>Czosnek</t>
        </is>
      </c>
      <c r="C44" t="inlineStr">
        <is>
          <t>kg</t>
        </is>
      </c>
      <c r="D44" t="n">
        <v>13.66666666666667</v>
      </c>
      <c r="E44" t="n">
        <v>15.66666666666667</v>
      </c>
      <c r="F44" t="n">
        <v>10.5</v>
      </c>
      <c r="G44" t="n">
        <v>11</v>
      </c>
      <c r="H44" t="n">
        <v>30.15873015873015</v>
      </c>
      <c r="I44" t="n">
        <v>42.42424242424242</v>
      </c>
      <c r="J44" t="n">
        <v>30.15873015873015</v>
      </c>
      <c r="K44" t="n">
        <v>42.42424242424242</v>
      </c>
      <c r="L44" t="n">
        <v>95.23809523809523</v>
      </c>
      <c r="M44" t="n">
        <v>56.66666666666666</v>
      </c>
      <c r="N44" t="n">
        <v>-2.380952380952385</v>
      </c>
      <c r="O44" t="n">
        <v>4.44444444444444</v>
      </c>
    </row>
    <row r="45">
      <c r="B45" t="inlineStr">
        <is>
          <t>Kalafiory</t>
        </is>
      </c>
      <c r="C45" t="inlineStr">
        <is>
          <t>szt.</t>
        </is>
      </c>
      <c r="D45" t="n">
        <v>11</v>
      </c>
      <c r="E45" t="n">
        <v>13.11</v>
      </c>
      <c r="F45" t="n">
        <v>11.5</v>
      </c>
      <c r="G45" t="n">
        <v>13.5825</v>
      </c>
      <c r="H45" t="n">
        <v>-4.347826086956522</v>
      </c>
      <c r="I45" t="n">
        <v>-3.478741027056876</v>
      </c>
      <c r="J45" t="n">
        <v>-2.654867256637174</v>
      </c>
      <c r="K45" t="n">
        <v>-8.10318239170055</v>
      </c>
      <c r="L45" t="n">
        <v>0</v>
      </c>
      <c r="M45" t="n">
        <v>-6.357142857142861</v>
      </c>
      <c r="N45" t="n">
        <v>-10.20408163265306</v>
      </c>
      <c r="O45" t="n">
        <v>-12.11664152840624</v>
      </c>
    </row>
    <row r="46">
      <c r="B46" t="inlineStr">
        <is>
          <t>Kapusta młoda</t>
        </is>
      </c>
      <c r="C46" t="inlineStr">
        <is>
          <t>szt.</t>
        </is>
      </c>
      <c r="D46" t="n">
        <v>4.875</v>
      </c>
      <c r="E46" t="n">
        <v>6.315</v>
      </c>
      <c r="F46" t="n">
        <v>5.75</v>
      </c>
      <c r="G46" t="n">
        <v>6.7825</v>
      </c>
      <c r="H46" t="n">
        <v>-15.21739130434783</v>
      </c>
      <c r="I46" t="n">
        <v>-6.892738665683749</v>
      </c>
      <c r="J46" t="n">
        <v>-23.52941176470588</v>
      </c>
      <c r="K46" t="n">
        <v>-15.09243697478992</v>
      </c>
      <c r="L46" t="n">
        <v>2.631578947368421</v>
      </c>
      <c r="M46" t="n">
        <v>-15.80000000000001</v>
      </c>
      <c r="N46" t="n">
        <v>-25.94936708860759</v>
      </c>
      <c r="O46" t="n">
        <v>-22.6734693877551</v>
      </c>
    </row>
    <row r="47">
      <c r="B47" t="inlineStr">
        <is>
          <t>Papryka czerwona</t>
        </is>
      </c>
      <c r="C47" t="inlineStr">
        <is>
          <t>kg</t>
        </is>
      </c>
      <c r="D47" t="n">
        <v>10.96</v>
      </c>
      <c r="E47" t="n">
        <v>12.8</v>
      </c>
      <c r="F47" t="n">
        <v>10.5</v>
      </c>
      <c r="G47" t="n">
        <v>12.25</v>
      </c>
      <c r="H47" t="n">
        <v>4.380952380952372</v>
      </c>
      <c r="I47" t="n">
        <v>4.489795918367353</v>
      </c>
      <c r="J47" t="n">
        <v>-5.51724137931035</v>
      </c>
      <c r="K47" t="n">
        <v>-8.571428571428566</v>
      </c>
      <c r="L47" t="n">
        <v>56.57142857142856</v>
      </c>
      <c r="M47" t="n">
        <v>6.666666666666672</v>
      </c>
      <c r="N47" t="n">
        <v>-25.69491525423729</v>
      </c>
      <c r="O47" t="n">
        <v>-27.88732394366197</v>
      </c>
    </row>
    <row r="48">
      <c r="B48" t="inlineStr">
        <is>
          <t>Papryka zielona</t>
        </is>
      </c>
      <c r="C48" t="inlineStr">
        <is>
          <t>kg</t>
        </is>
      </c>
      <c r="D48" t="n">
        <v>10.75</v>
      </c>
      <c r="E48" t="n">
        <v>13.25</v>
      </c>
      <c r="F48" t="n">
        <v>9.666666666666666</v>
      </c>
      <c r="G48" t="n">
        <v>11.66666666666667</v>
      </c>
      <c r="H48" t="n">
        <v>11.20689655172415</v>
      </c>
      <c r="I48" t="n">
        <v>13.57142857142858</v>
      </c>
      <c r="J48" t="n">
        <v>0</v>
      </c>
      <c r="K48" t="n">
        <v>-3.636363636363636</v>
      </c>
      <c r="N48" t="n">
        <v>-24.56140350877193</v>
      </c>
      <c r="O48" t="n">
        <v>-18.46153846153846</v>
      </c>
    </row>
    <row r="49">
      <c r="B49" t="inlineStr">
        <is>
          <t>Papryka żółta</t>
        </is>
      </c>
      <c r="C49" t="inlineStr">
        <is>
          <t>kg</t>
        </is>
      </c>
      <c r="D49" t="n">
        <v>11.6</v>
      </c>
      <c r="E49" t="n">
        <v>13.4</v>
      </c>
      <c r="F49" t="n">
        <v>11.33333333333333</v>
      </c>
      <c r="G49" t="n">
        <v>12.33333333333333</v>
      </c>
      <c r="H49" t="n">
        <v>2.35294117647058</v>
      </c>
      <c r="I49" t="n">
        <v>8.648648648648646</v>
      </c>
      <c r="J49" t="n">
        <v>-9.019607843137258</v>
      </c>
      <c r="K49" t="n">
        <v>-9.152542372881353</v>
      </c>
      <c r="L49" t="n">
        <v>65.71428571428571</v>
      </c>
      <c r="M49" t="n">
        <v>11.66666666666667</v>
      </c>
      <c r="N49" t="n">
        <v>-27.5</v>
      </c>
      <c r="O49" t="n">
        <v>-28.53333333333333</v>
      </c>
    </row>
    <row r="50">
      <c r="B50" t="inlineStr">
        <is>
          <t>Rzodkiewka</t>
        </is>
      </c>
      <c r="C50" t="inlineStr">
        <is>
          <t>pęczek</t>
        </is>
      </c>
      <c r="D50" t="n">
        <v>1.35</v>
      </c>
      <c r="E50" t="n">
        <v>1.75</v>
      </c>
      <c r="F50" t="n">
        <v>1.5</v>
      </c>
      <c r="G50" t="n">
        <v>1.9</v>
      </c>
      <c r="H50" t="n">
        <v>-9.999999999999993</v>
      </c>
      <c r="I50" t="n">
        <v>-7.894736842105258</v>
      </c>
      <c r="J50" t="n">
        <v>-40</v>
      </c>
      <c r="K50" t="n">
        <v>-27.08333333333333</v>
      </c>
      <c r="N50" t="n">
        <v>-41.30434782608695</v>
      </c>
      <c r="O50" t="n">
        <v>-36.36363636363637</v>
      </c>
    </row>
    <row r="51">
      <c r="B51" t="inlineStr">
        <is>
          <t>Sałata</t>
        </is>
      </c>
      <c r="C51" t="inlineStr">
        <is>
          <t>szt.</t>
        </is>
      </c>
      <c r="D51" t="n">
        <v>3.405</v>
      </c>
      <c r="E51" t="n">
        <v>3.815</v>
      </c>
      <c r="F51" t="n">
        <v>3.565</v>
      </c>
      <c r="G51" t="n">
        <v>3.97</v>
      </c>
      <c r="H51" t="n">
        <v>-4.488078541374466</v>
      </c>
      <c r="I51" t="n">
        <v>-3.904282115869013</v>
      </c>
      <c r="J51" t="n">
        <v>9.72073039742213</v>
      </c>
      <c r="K51" t="n">
        <v>9.626436781609195</v>
      </c>
      <c r="L51" t="n">
        <v>-14.87499999999999</v>
      </c>
      <c r="M51" t="n">
        <v>-23.7</v>
      </c>
      <c r="N51" t="n">
        <v>-0.5839416058394036</v>
      </c>
      <c r="O51" t="n">
        <v>-13.44299489506523</v>
      </c>
    </row>
    <row r="52">
      <c r="B52" t="inlineStr">
        <is>
          <t>Ziemniaki młode</t>
        </is>
      </c>
      <c r="C52" t="inlineStr">
        <is>
          <t>kg</t>
        </is>
      </c>
      <c r="D52" t="n">
        <v>2.565</v>
      </c>
      <c r="E52" t="n">
        <v>4</v>
      </c>
      <c r="F52" t="n">
        <v>3.21</v>
      </c>
      <c r="G52" t="n">
        <v>4.5</v>
      </c>
      <c r="H52" t="n">
        <v>-20.09345794392522</v>
      </c>
      <c r="I52" t="n">
        <v>-11.11111111111111</v>
      </c>
      <c r="J52" t="n">
        <v>-26.08069164265131</v>
      </c>
      <c r="K52" t="n">
        <v>-11.11111111111111</v>
      </c>
      <c r="N52" t="n">
        <v>-6.386861313868622</v>
      </c>
      <c r="O52" t="n">
        <v>-5.88235294117647</v>
      </c>
    </row>
    <row r="53">
      <c r="B53" t="inlineStr">
        <is>
          <t>Owoce importowane</t>
        </is>
      </c>
    </row>
    <row r="54">
      <c r="B54" t="inlineStr">
        <is>
          <t>Ananasy</t>
        </is>
      </c>
      <c r="C54" t="inlineStr">
        <is>
          <t>szt.</t>
        </is>
      </c>
      <c r="D54" t="n">
        <v>6.375</v>
      </c>
      <c r="E54" t="n">
        <v>10.75</v>
      </c>
      <c r="F54" t="n">
        <v>6.333333333333333</v>
      </c>
      <c r="G54" t="n">
        <v>10.66666666666667</v>
      </c>
      <c r="H54" t="n">
        <v>0.65789473684211</v>
      </c>
      <c r="I54" t="n">
        <v>0.7812500000000056</v>
      </c>
      <c r="J54" t="n">
        <v>6.25</v>
      </c>
      <c r="K54" t="n">
        <v>-12.24489795918367</v>
      </c>
      <c r="N54" t="n">
        <v>19.53125000000001</v>
      </c>
      <c r="O54" t="n">
        <v>-21.34146341463414</v>
      </c>
    </row>
    <row r="55">
      <c r="B55" t="inlineStr">
        <is>
          <t>Banany</t>
        </is>
      </c>
      <c r="C55" t="inlineStr">
        <is>
          <t>kg</t>
        </is>
      </c>
      <c r="D55" t="n">
        <v>4.684</v>
      </c>
      <c r="E55" t="n">
        <v>6.406000000000001</v>
      </c>
      <c r="F55" t="n">
        <v>4.5925</v>
      </c>
      <c r="G55" t="n">
        <v>5.635</v>
      </c>
      <c r="H55" t="n">
        <v>1.992378878606422</v>
      </c>
      <c r="I55" t="n">
        <v>13.68234250221829</v>
      </c>
      <c r="J55" t="n">
        <v>-3.22314049586778</v>
      </c>
      <c r="K55" t="n">
        <v>8.649932157394872</v>
      </c>
      <c r="L55" t="n">
        <v>-11.28787878787879</v>
      </c>
      <c r="M55" t="n">
        <v>4.844517184942721</v>
      </c>
      <c r="N55" t="n">
        <v>0.4611260053619414</v>
      </c>
      <c r="O55" t="n">
        <v>7.123745819397996</v>
      </c>
    </row>
    <row r="56">
      <c r="B56" t="inlineStr">
        <is>
          <t>Borówki amerykańskie</t>
        </is>
      </c>
      <c r="C56" t="inlineStr">
        <is>
          <t>kg</t>
        </is>
      </c>
      <c r="D56" t="n">
        <v>60</v>
      </c>
      <c r="E56" t="n">
        <v>77.2</v>
      </c>
      <c r="F56" t="n">
        <v>56</v>
      </c>
      <c r="G56" t="n">
        <v>80</v>
      </c>
      <c r="H56" t="n">
        <v>7.142857142857142</v>
      </c>
      <c r="I56" t="n">
        <v>-3.499999999999996</v>
      </c>
      <c r="J56" t="n">
        <v>0.8403361344537815</v>
      </c>
      <c r="K56" t="n">
        <v>-1.968253968253965</v>
      </c>
      <c r="L56" t="n">
        <v>33.33333333333333</v>
      </c>
      <c r="M56" t="n">
        <v>-3.499999999999996</v>
      </c>
      <c r="N56" t="n">
        <v>4.347826086956522</v>
      </c>
      <c r="O56" t="n">
        <v>-2.586750788643529</v>
      </c>
    </row>
    <row r="57">
      <c r="B57" t="inlineStr">
        <is>
          <t>Cytryny</t>
        </is>
      </c>
      <c r="C57" t="inlineStr">
        <is>
          <t>kg</t>
        </is>
      </c>
      <c r="D57" t="n">
        <v>8.6</v>
      </c>
      <c r="E57" t="n">
        <v>11.2</v>
      </c>
      <c r="F57" t="n">
        <v>9</v>
      </c>
      <c r="G57" t="n">
        <v>11.375</v>
      </c>
      <c r="H57" t="n">
        <v>-4.444444444444448</v>
      </c>
      <c r="I57" t="n">
        <v>-1.538461538461545</v>
      </c>
      <c r="J57" t="n">
        <v>2.380952380952372</v>
      </c>
      <c r="K57" t="n">
        <v>6.66666666666666</v>
      </c>
      <c r="L57" t="n">
        <v>22.85714285714285</v>
      </c>
      <c r="M57" t="n">
        <v>1.818181818181812</v>
      </c>
      <c r="N57" t="n">
        <v>11.68831168831168</v>
      </c>
      <c r="O57" t="n">
        <v>19.46666666666666</v>
      </c>
    </row>
    <row r="58">
      <c r="B58" t="inlineStr">
        <is>
          <t>Grejpfruty</t>
        </is>
      </c>
      <c r="C58" t="inlineStr">
        <is>
          <t>kg</t>
        </is>
      </c>
      <c r="D58" t="n">
        <v>5.928</v>
      </c>
      <c r="E58" t="n">
        <v>11.372</v>
      </c>
      <c r="F58" t="n">
        <v>6.035</v>
      </c>
      <c r="G58" t="n">
        <v>12.215</v>
      </c>
      <c r="H58" t="n">
        <v>-1.772990886495446</v>
      </c>
      <c r="I58" t="n">
        <v>-6.901350798198935</v>
      </c>
      <c r="J58" t="n">
        <v>-4.816955684007705</v>
      </c>
      <c r="K58" t="n">
        <v>-1.728309713100582</v>
      </c>
      <c r="L58" t="n">
        <v>18.56</v>
      </c>
      <c r="M58" t="n">
        <v>-56.26153846153846</v>
      </c>
      <c r="N58" t="n">
        <v>-1.772990886495446</v>
      </c>
      <c r="O58" t="n">
        <v>-8.768551945447252</v>
      </c>
    </row>
    <row r="59">
      <c r="B59" t="inlineStr">
        <is>
          <t>Gruszki</t>
        </is>
      </c>
      <c r="C59" t="inlineStr">
        <is>
          <t>kg</t>
        </is>
      </c>
      <c r="D59" t="n">
        <v>6.833333333333333</v>
      </c>
      <c r="E59" t="n">
        <v>8.083333333333334</v>
      </c>
      <c r="F59" t="n">
        <v>6.833333333333333</v>
      </c>
      <c r="G59" t="n">
        <v>8.083333333333334</v>
      </c>
      <c r="H59" t="n">
        <v>0</v>
      </c>
      <c r="I59" t="n">
        <v>0</v>
      </c>
      <c r="J59" t="n">
        <v>-2.97006271447167</v>
      </c>
      <c r="K59" t="n">
        <v>1.837270341207357</v>
      </c>
      <c r="L59" t="n">
        <v>13.88888888888888</v>
      </c>
      <c r="M59" t="n">
        <v>15.47619047619049</v>
      </c>
      <c r="N59" t="n">
        <v>0.6011532327321694</v>
      </c>
      <c r="O59" t="n">
        <v>2.645502645502653</v>
      </c>
    </row>
    <row r="60">
      <c r="B60" t="inlineStr">
        <is>
          <t>Mandarynki</t>
        </is>
      </c>
      <c r="C60" t="inlineStr">
        <is>
          <t>kg</t>
        </is>
      </c>
      <c r="D60" t="n">
        <v>6.06</v>
      </c>
      <c r="E60" t="n">
        <v>11.1</v>
      </c>
      <c r="F60" t="n">
        <v>6.5</v>
      </c>
      <c r="G60" t="n">
        <v>10.75</v>
      </c>
      <c r="H60" t="n">
        <v>-6.769230769230762</v>
      </c>
      <c r="I60" t="n">
        <v>3.255813953488369</v>
      </c>
      <c r="J60" t="n">
        <v>13.27102803738319</v>
      </c>
      <c r="K60" t="n">
        <v>26.4236902050114</v>
      </c>
      <c r="L60" t="n">
        <v>110.7826086956522</v>
      </c>
      <c r="M60" t="n">
        <v>39.62264150943395</v>
      </c>
      <c r="N60" t="n">
        <v>16.81927710843375</v>
      </c>
      <c r="O60" t="n">
        <v>23.67688022284123</v>
      </c>
    </row>
    <row r="61">
      <c r="B61" t="inlineStr">
        <is>
          <t>Maliny</t>
        </is>
      </c>
      <c r="C61" t="inlineStr">
        <is>
          <t>kg</t>
        </is>
      </c>
      <c r="D61" t="n">
        <v>74</v>
      </c>
      <c r="E61" t="n">
        <v>89.5</v>
      </c>
      <c r="F61" t="n">
        <v>88</v>
      </c>
      <c r="G61" t="n">
        <v>104</v>
      </c>
      <c r="H61" t="n">
        <v>-15.90909090909091</v>
      </c>
      <c r="I61" t="n">
        <v>-13.94230769230769</v>
      </c>
      <c r="J61" t="n">
        <v>-15.90909090909091</v>
      </c>
      <c r="K61" t="n">
        <v>-13.94230769230769</v>
      </c>
    </row>
    <row r="62">
      <c r="B62" t="inlineStr">
        <is>
          <t>Morele</t>
        </is>
      </c>
      <c r="C62" t="inlineStr">
        <is>
          <t>kg</t>
        </is>
      </c>
      <c r="D62" t="n">
        <v>17</v>
      </c>
      <c r="E62" t="n">
        <v>24</v>
      </c>
      <c r="F62" t="n">
        <v>0</v>
      </c>
      <c r="G62" t="n">
        <v>0</v>
      </c>
    </row>
    <row r="63">
      <c r="B63" t="inlineStr">
        <is>
          <t>Nektarynki</t>
        </is>
      </c>
      <c r="C63" t="inlineStr">
        <is>
          <t>kg</t>
        </is>
      </c>
      <c r="D63" t="n">
        <v>17.5</v>
      </c>
      <c r="E63" t="n">
        <v>23.5</v>
      </c>
      <c r="F63" t="n">
        <v>0</v>
      </c>
      <c r="G63" t="n">
        <v>0</v>
      </c>
    </row>
    <row r="64">
      <c r="B64" t="inlineStr">
        <is>
          <t>Śliwki</t>
        </is>
      </c>
      <c r="C64" t="inlineStr">
        <is>
          <t>kg</t>
        </is>
      </c>
      <c r="D64" t="n">
        <v>11</v>
      </c>
      <c r="E64" t="n">
        <v>13</v>
      </c>
      <c r="F64" t="n">
        <v>12</v>
      </c>
      <c r="G64" t="n">
        <v>14</v>
      </c>
      <c r="H64" t="n">
        <v>-8.333333333333332</v>
      </c>
      <c r="I64" t="n">
        <v>-7.142857142857142</v>
      </c>
      <c r="J64" t="n">
        <v>-8.333333333333332</v>
      </c>
      <c r="K64" t="n">
        <v>-7.142857142857142</v>
      </c>
      <c r="N64" t="n">
        <v>0</v>
      </c>
      <c r="O64" t="n">
        <v>0</v>
      </c>
    </row>
    <row r="65">
      <c r="B65" t="inlineStr">
        <is>
          <t>Truskawki</t>
        </is>
      </c>
      <c r="C65" t="inlineStr">
        <is>
          <t>kg</t>
        </is>
      </c>
      <c r="D65" t="n">
        <v>14.1</v>
      </c>
      <c r="E65" t="n">
        <v>21.2</v>
      </c>
      <c r="F65" t="n">
        <v>13.375</v>
      </c>
      <c r="G65" t="n">
        <v>16.25</v>
      </c>
      <c r="H65" t="n">
        <v>5.420560747663549</v>
      </c>
      <c r="I65" t="n">
        <v>30.46153846153846</v>
      </c>
      <c r="J65" t="n">
        <v>8.46153846153846</v>
      </c>
      <c r="K65" t="n">
        <v>34.17721518987341</v>
      </c>
      <c r="L65" t="n">
        <v>41</v>
      </c>
      <c r="M65" t="n">
        <v>63.07692307692307</v>
      </c>
      <c r="N65" t="n">
        <v>20</v>
      </c>
      <c r="O65" t="n">
        <v>51.42857142857142</v>
      </c>
    </row>
    <row r="66">
      <c r="B66" t="inlineStr">
        <is>
          <t>Winogrona</t>
        </is>
      </c>
      <c r="C66" t="inlineStr">
        <is>
          <t>kg</t>
        </is>
      </c>
      <c r="D66" t="n">
        <v>15.8</v>
      </c>
      <c r="E66" t="n">
        <v>20.14</v>
      </c>
      <c r="F66" t="n">
        <v>17.25</v>
      </c>
      <c r="G66" t="n">
        <v>21.25</v>
      </c>
      <c r="H66" t="n">
        <v>-8.40579710144927</v>
      </c>
      <c r="I66" t="n">
        <v>-5.223529411764703</v>
      </c>
      <c r="J66" t="n">
        <v>-16.84210526315789</v>
      </c>
      <c r="K66" t="n">
        <v>-14.66101694915255</v>
      </c>
      <c r="L66" t="n">
        <v>-1.249999999999996</v>
      </c>
      <c r="M66" t="n">
        <v>-8.454545454545451</v>
      </c>
      <c r="N66" t="n">
        <v>-12.22222222222222</v>
      </c>
      <c r="O66" t="n">
        <v>-13.3763440860215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8"/>
  <sheetViews>
    <sheetView workbookViewId="0">
      <selection activeCell="A1" sqref="A1"/>
    </sheetView>
  </sheetViews>
  <sheetFormatPr baseColWidth="8" defaultRowHeight="15"/>
  <sheetData>
    <row r="2">
      <c r="B2" t="inlineStr">
        <is>
          <t>ŚREDNIE CENY WARZYW NA RYNKACH HURTOWYCH</t>
        </is>
      </c>
    </row>
    <row r="5">
      <c r="B5" t="inlineStr">
        <is>
          <t> </t>
        </is>
      </c>
      <c r="E5" t="inlineStr">
        <is>
          <t>Bronisze</t>
        </is>
      </c>
      <c r="G5" t="inlineStr">
        <is>
          <t>Kalisz</t>
        </is>
      </c>
      <c r="I5" t="inlineStr">
        <is>
          <t>Kraków</t>
        </is>
      </c>
      <c r="K5" t="inlineStr">
        <is>
          <t>Poznań</t>
        </is>
      </c>
      <c r="M5" t="inlineStr">
        <is>
          <t>Wrocław</t>
        </is>
      </c>
    </row>
    <row r="6">
      <c r="B6" t="inlineStr">
        <is>
          <t>Data notowania</t>
        </is>
      </c>
      <c r="E6" s="1" t="n">
        <v>46147</v>
      </c>
      <c r="G6" s="1" t="n">
        <v>46146</v>
      </c>
      <c r="I6" s="1" t="n">
        <v>46146</v>
      </c>
      <c r="K6" s="1" t="n">
        <v>46146</v>
      </c>
      <c r="M6" s="1" t="n">
        <v>46146</v>
      </c>
    </row>
    <row r="7">
      <c r="B7" t="inlineStr">
        <is>
          <t xml:space="preserve">Owoce </t>
        </is>
      </c>
      <c r="E7" t="inlineStr">
        <is>
          <t>Min</t>
        </is>
      </c>
      <c r="F7" t="inlineStr">
        <is>
          <t>Max</t>
        </is>
      </c>
      <c r="G7" t="inlineStr">
        <is>
          <t>Min</t>
        </is>
      </c>
      <c r="H7" t="inlineStr">
        <is>
          <t>Max</t>
        </is>
      </c>
      <c r="I7" t="inlineStr">
        <is>
          <t>Min</t>
        </is>
      </c>
      <c r="J7" t="inlineStr">
        <is>
          <t>Max</t>
        </is>
      </c>
      <c r="K7" t="inlineStr">
        <is>
          <t>Min</t>
        </is>
      </c>
      <c r="L7" t="inlineStr">
        <is>
          <t>Max</t>
        </is>
      </c>
      <c r="M7" t="inlineStr">
        <is>
          <t>Min</t>
        </is>
      </c>
      <c r="N7" t="inlineStr">
        <is>
          <t>Max</t>
        </is>
      </c>
    </row>
    <row r="8">
      <c r="B8" t="inlineStr">
        <is>
          <t>KRAJOWE</t>
        </is>
      </c>
    </row>
    <row r="9">
      <c r="B9" t="inlineStr">
        <is>
          <t>Buraki ćwikłowe</t>
        </is>
      </c>
      <c r="D9" t="inlineStr">
        <is>
          <t>kg</t>
        </is>
      </c>
      <c r="E9" t="n">
        <v>0.7</v>
      </c>
      <c r="F9" t="n">
        <v>1.4</v>
      </c>
      <c r="G9" t="n">
        <v>0.8</v>
      </c>
      <c r="H9" t="n">
        <v>1</v>
      </c>
      <c r="I9" t="n">
        <v>0.8</v>
      </c>
      <c r="J9" t="n">
        <v>1</v>
      </c>
      <c r="K9" t="n">
        <v>2</v>
      </c>
      <c r="L9" t="n">
        <v>2.8</v>
      </c>
      <c r="M9" t="n">
        <v>1</v>
      </c>
      <c r="N9" t="n">
        <v>1.5</v>
      </c>
    </row>
    <row r="10">
      <c r="B10" t="inlineStr">
        <is>
          <t>Buraki młode</t>
        </is>
      </c>
      <c r="D10" t="inlineStr">
        <is>
          <t>pęczek</t>
        </is>
      </c>
      <c r="E10" t="n">
        <v>3.5</v>
      </c>
      <c r="F10" t="n">
        <v>5</v>
      </c>
    </row>
    <row r="11">
      <c r="B11" t="inlineStr">
        <is>
          <t>Cebula biała</t>
        </is>
      </c>
      <c r="D11" t="inlineStr">
        <is>
          <t>kg</t>
        </is>
      </c>
      <c r="E11" t="n">
        <v>1</v>
      </c>
      <c r="F11" t="n">
        <v>1.3</v>
      </c>
      <c r="G11" t="n">
        <v>0.8</v>
      </c>
      <c r="H11" t="n">
        <v>1</v>
      </c>
      <c r="I11" t="n">
        <v>0.8</v>
      </c>
      <c r="J11" t="n">
        <v>1.2</v>
      </c>
      <c r="K11" t="n">
        <v>1.8</v>
      </c>
      <c r="L11" t="n">
        <v>2</v>
      </c>
      <c r="M11" t="n">
        <v>1.3</v>
      </c>
      <c r="N11" t="n">
        <v>1.7</v>
      </c>
    </row>
    <row r="12">
      <c r="B12" t="inlineStr">
        <is>
          <t>Kalafiory</t>
        </is>
      </c>
      <c r="D12" t="inlineStr">
        <is>
          <t>szt.</t>
        </is>
      </c>
      <c r="G12" t="n">
        <v>8</v>
      </c>
      <c r="H12" t="n">
        <v>8</v>
      </c>
      <c r="I12" t="n">
        <v>11</v>
      </c>
      <c r="J12" t="n">
        <v>12</v>
      </c>
      <c r="M12" t="n">
        <v>9</v>
      </c>
      <c r="N12" t="n">
        <v>12</v>
      </c>
    </row>
    <row r="13">
      <c r="B13" t="inlineStr">
        <is>
          <t>Kapusta biała</t>
        </is>
      </c>
      <c r="D13" t="inlineStr">
        <is>
          <t>kg</t>
        </is>
      </c>
      <c r="E13" t="n">
        <v>0.85</v>
      </c>
      <c r="F13" t="n">
        <v>1.1</v>
      </c>
      <c r="G13" t="n">
        <v>0.5</v>
      </c>
      <c r="H13" t="n">
        <v>0.5</v>
      </c>
      <c r="I13" t="n">
        <v>0.8</v>
      </c>
      <c r="J13" t="n">
        <v>0.9</v>
      </c>
      <c r="K13" t="n">
        <v>1.7</v>
      </c>
      <c r="L13" t="n">
        <v>2.2</v>
      </c>
      <c r="M13" t="n">
        <v>0.8</v>
      </c>
      <c r="N13" t="n">
        <v>1.5</v>
      </c>
    </row>
    <row r="14">
      <c r="B14" t="inlineStr">
        <is>
          <t>Kapusta młoda</t>
        </is>
      </c>
      <c r="D14" t="inlineStr">
        <is>
          <t>szt.</t>
        </is>
      </c>
      <c r="E14" t="n">
        <v>6</v>
      </c>
      <c r="F14" t="n">
        <v>7</v>
      </c>
      <c r="G14" t="n">
        <v>5</v>
      </c>
      <c r="H14" t="n">
        <v>5</v>
      </c>
      <c r="K14" t="n">
        <v>4.5</v>
      </c>
      <c r="L14" t="n">
        <v>5.25</v>
      </c>
    </row>
    <row r="15">
      <c r="B15" t="inlineStr">
        <is>
          <t>Marchew</t>
        </is>
      </c>
      <c r="D15" t="inlineStr">
        <is>
          <t>kg</t>
        </is>
      </c>
      <c r="E15" t="n">
        <v>2.5</v>
      </c>
      <c r="F15" t="n">
        <v>3.5</v>
      </c>
      <c r="G15" t="n">
        <v>2.8</v>
      </c>
      <c r="H15" t="n">
        <v>3.5</v>
      </c>
      <c r="I15" t="n">
        <v>1.8</v>
      </c>
      <c r="J15" t="n">
        <v>2.5</v>
      </c>
      <c r="K15" t="n">
        <v>2.5</v>
      </c>
      <c r="L15" t="n">
        <v>2.8</v>
      </c>
      <c r="M15" t="n">
        <v>1</v>
      </c>
      <c r="N15" t="n">
        <v>1.4</v>
      </c>
    </row>
    <row r="16">
      <c r="B16" t="inlineStr">
        <is>
          <t>Ogórki gruntowe</t>
        </is>
      </c>
      <c r="D16" t="inlineStr">
        <is>
          <t>kg</t>
        </is>
      </c>
      <c r="E16" t="n">
        <v>5.5</v>
      </c>
      <c r="F16" t="n">
        <v>7</v>
      </c>
      <c r="G16" t="n">
        <v>4</v>
      </c>
      <c r="H16" t="n">
        <v>6</v>
      </c>
      <c r="I16" t="n">
        <v>6</v>
      </c>
      <c r="J16" t="n">
        <v>6.5</v>
      </c>
      <c r="K16" t="n">
        <v>8</v>
      </c>
      <c r="L16" t="n">
        <v>9</v>
      </c>
      <c r="M16" t="n">
        <v>6</v>
      </c>
      <c r="N16" t="n">
        <v>7.5</v>
      </c>
    </row>
    <row r="17">
      <c r="B17" t="inlineStr">
        <is>
          <t>Ogórki szklarniowe</t>
        </is>
      </c>
      <c r="D17" t="inlineStr">
        <is>
          <t>kg</t>
        </is>
      </c>
      <c r="E17" t="n">
        <v>2.65</v>
      </c>
      <c r="F17" t="n">
        <v>4.85</v>
      </c>
      <c r="G17" t="n">
        <v>3</v>
      </c>
      <c r="H17" t="n">
        <v>3</v>
      </c>
      <c r="I17" t="n">
        <v>3</v>
      </c>
      <c r="J17" t="n">
        <v>3</v>
      </c>
      <c r="K17" t="n">
        <v>6</v>
      </c>
      <c r="L17" t="n">
        <v>6.6</v>
      </c>
      <c r="M17" t="n">
        <v>3.5</v>
      </c>
      <c r="N17" t="n">
        <v>4.5</v>
      </c>
    </row>
    <row r="18">
      <c r="B18" t="inlineStr">
        <is>
          <t>Pietruszka</t>
        </is>
      </c>
      <c r="D18" t="inlineStr">
        <is>
          <t>kg</t>
        </is>
      </c>
      <c r="E18" t="n">
        <v>3</v>
      </c>
      <c r="F18" t="n">
        <v>4</v>
      </c>
      <c r="G18" t="n">
        <v>2.5</v>
      </c>
      <c r="H18" t="n">
        <v>4</v>
      </c>
      <c r="I18" t="n">
        <v>2.2</v>
      </c>
      <c r="J18" t="n">
        <v>3</v>
      </c>
      <c r="K18" t="n">
        <v>6</v>
      </c>
      <c r="L18" t="n">
        <v>6.8</v>
      </c>
      <c r="M18" t="n">
        <v>2</v>
      </c>
      <c r="N18" t="n">
        <v>4</v>
      </c>
    </row>
    <row r="19">
      <c r="B19" t="inlineStr">
        <is>
          <t>Pomidory</t>
        </is>
      </c>
      <c r="D19" t="inlineStr">
        <is>
          <t>kg</t>
        </is>
      </c>
      <c r="E19" t="n">
        <v>9</v>
      </c>
      <c r="F19" t="n">
        <v>13</v>
      </c>
      <c r="G19" t="n">
        <v>8.33</v>
      </c>
      <c r="H19" t="n">
        <v>9.17</v>
      </c>
      <c r="I19" t="n">
        <v>9</v>
      </c>
      <c r="J19" t="n">
        <v>10</v>
      </c>
      <c r="K19" t="n">
        <v>10.33</v>
      </c>
      <c r="L19" t="n">
        <v>10.83</v>
      </c>
      <c r="M19" t="n">
        <v>8</v>
      </c>
      <c r="N19" t="n">
        <v>10</v>
      </c>
    </row>
    <row r="20">
      <c r="B20" t="inlineStr">
        <is>
          <t>Pomidory malinowe</t>
        </is>
      </c>
      <c r="D20" t="inlineStr">
        <is>
          <t>kg</t>
        </is>
      </c>
      <c r="E20" t="n">
        <v>8</v>
      </c>
      <c r="F20" t="n">
        <v>14</v>
      </c>
      <c r="G20" t="n">
        <v>7.5</v>
      </c>
      <c r="H20" t="n">
        <v>8.33</v>
      </c>
      <c r="I20" t="n">
        <v>9</v>
      </c>
      <c r="J20" t="n">
        <v>10</v>
      </c>
      <c r="K20" t="n">
        <v>10</v>
      </c>
      <c r="L20" t="n">
        <v>10.83</v>
      </c>
      <c r="M20" t="n">
        <v>7</v>
      </c>
      <c r="N20" t="n">
        <v>10</v>
      </c>
    </row>
    <row r="21">
      <c r="B21" t="inlineStr">
        <is>
          <t>Pory</t>
        </is>
      </c>
      <c r="D21" t="inlineStr">
        <is>
          <t>szt.</t>
        </is>
      </c>
      <c r="G21" t="n">
        <v>1.5</v>
      </c>
      <c r="H21" t="n">
        <v>1.5</v>
      </c>
      <c r="K21" t="n">
        <v>2.5</v>
      </c>
      <c r="L21" t="n">
        <v>3.5</v>
      </c>
      <c r="M21" t="n">
        <v>1.8</v>
      </c>
      <c r="N21" t="n">
        <v>3</v>
      </c>
    </row>
    <row r="22">
      <c r="B22" t="inlineStr">
        <is>
          <t>Rzodkiewka</t>
        </is>
      </c>
      <c r="D22" t="inlineStr">
        <is>
          <t>pęczek</t>
        </is>
      </c>
      <c r="E22" t="n">
        <v>1</v>
      </c>
      <c r="F22" t="n">
        <v>2</v>
      </c>
      <c r="I22" t="n">
        <v>1.6</v>
      </c>
      <c r="J22" t="n">
        <v>2</v>
      </c>
      <c r="K22" t="n">
        <v>2</v>
      </c>
      <c r="L22" t="n">
        <v>2</v>
      </c>
      <c r="M22" t="n">
        <v>1.8</v>
      </c>
      <c r="N22" t="n">
        <v>2.5</v>
      </c>
    </row>
    <row r="23">
      <c r="B23" t="inlineStr">
        <is>
          <t>Sałata</t>
        </is>
      </c>
      <c r="D23" t="inlineStr">
        <is>
          <t>szt.</t>
        </is>
      </c>
      <c r="E23" t="n">
        <v>2</v>
      </c>
      <c r="F23" t="n">
        <v>3</v>
      </c>
      <c r="G23" t="n">
        <v>2.5</v>
      </c>
      <c r="H23" t="n">
        <v>2.92</v>
      </c>
      <c r="I23" t="n">
        <v>2.5</v>
      </c>
      <c r="J23" t="n">
        <v>3</v>
      </c>
      <c r="K23" t="n">
        <v>3.75</v>
      </c>
      <c r="L23" t="n">
        <v>4.17</v>
      </c>
      <c r="M23" t="n">
        <v>3</v>
      </c>
      <c r="N23" t="n">
        <v>4</v>
      </c>
    </row>
    <row r="24">
      <c r="B24" t="inlineStr">
        <is>
          <t>Selery</t>
        </is>
      </c>
      <c r="D24" t="inlineStr">
        <is>
          <t>kg</t>
        </is>
      </c>
      <c r="E24" t="n">
        <v>1.3</v>
      </c>
      <c r="F24" t="n">
        <v>1.6</v>
      </c>
      <c r="G24" t="n">
        <v>1</v>
      </c>
      <c r="H24" t="n">
        <v>1.5</v>
      </c>
      <c r="I24" t="n">
        <v>1.2</v>
      </c>
      <c r="J24" t="n">
        <v>1.6</v>
      </c>
      <c r="K24" t="n">
        <v>4.4</v>
      </c>
      <c r="L24" t="n">
        <v>5</v>
      </c>
      <c r="M24" t="n">
        <v>2</v>
      </c>
      <c r="N24" t="n">
        <v>2.7</v>
      </c>
    </row>
    <row r="25">
      <c r="B25" t="inlineStr">
        <is>
          <t>Ziemniaki</t>
        </is>
      </c>
      <c r="D25" t="inlineStr">
        <is>
          <t>kg</t>
        </is>
      </c>
      <c r="E25" t="n">
        <v>0.5</v>
      </c>
      <c r="F25" t="n">
        <v>1.2</v>
      </c>
      <c r="G25" t="n">
        <v>1</v>
      </c>
      <c r="H25" t="n">
        <v>1</v>
      </c>
      <c r="I25" t="n">
        <v>0.33</v>
      </c>
      <c r="J25" t="n">
        <v>0.5</v>
      </c>
      <c r="K25" t="n">
        <v>1.13</v>
      </c>
      <c r="L25" t="n">
        <v>1.47</v>
      </c>
      <c r="M25" t="n">
        <v>0.6</v>
      </c>
      <c r="N25" t="n">
        <v>0.8</v>
      </c>
    </row>
    <row r="26">
      <c r="B26" t="inlineStr">
        <is>
          <t>Ziemniaki młode</t>
        </is>
      </c>
      <c r="D26" t="inlineStr">
        <is>
          <t>kg</t>
        </is>
      </c>
      <c r="E26" t="n">
        <v>12</v>
      </c>
      <c r="F26" t="n">
        <v>17</v>
      </c>
      <c r="G26" t="n">
        <v>18</v>
      </c>
      <c r="H26" t="n">
        <v>18</v>
      </c>
      <c r="K26" t="n">
        <v>6.67</v>
      </c>
      <c r="L26" t="n">
        <v>6.67</v>
      </c>
    </row>
    <row r="27">
      <c r="B27" t="inlineStr">
        <is>
          <t>Boczniaki</t>
        </is>
      </c>
      <c r="D27" t="inlineStr">
        <is>
          <t>kg</t>
        </is>
      </c>
      <c r="E27" t="n">
        <v>13.5</v>
      </c>
      <c r="F27" t="n">
        <v>20</v>
      </c>
      <c r="K27" t="n">
        <v>30</v>
      </c>
      <c r="L27" t="n">
        <v>30</v>
      </c>
      <c r="M27" t="n">
        <v>16</v>
      </c>
      <c r="N27" t="n">
        <v>18</v>
      </c>
    </row>
    <row r="28">
      <c r="B28" t="inlineStr">
        <is>
          <t>Pieczarki</t>
        </is>
      </c>
      <c r="D28" t="inlineStr">
        <is>
          <t>kg</t>
        </is>
      </c>
      <c r="E28" t="n">
        <v>9</v>
      </c>
      <c r="F28" t="n">
        <v>12</v>
      </c>
      <c r="G28" t="n">
        <v>10</v>
      </c>
      <c r="H28" t="n">
        <v>10</v>
      </c>
      <c r="I28" t="n">
        <v>9.5</v>
      </c>
      <c r="J28" t="n">
        <v>11</v>
      </c>
      <c r="K28" t="n">
        <v>11</v>
      </c>
      <c r="L28" t="n">
        <v>13</v>
      </c>
      <c r="M28" t="n">
        <v>8.5</v>
      </c>
      <c r="N28" t="n">
        <v>10.5</v>
      </c>
    </row>
    <row r="29">
      <c r="B29" t="inlineStr">
        <is>
          <t>IMPORTOWANE</t>
        </is>
      </c>
    </row>
    <row r="30">
      <c r="B30" t="inlineStr">
        <is>
          <t>Czosnek</t>
        </is>
      </c>
      <c r="D30" t="inlineStr">
        <is>
          <t>kg</t>
        </is>
      </c>
      <c r="E30" t="n">
        <v>7</v>
      </c>
      <c r="F30" t="n">
        <v>8</v>
      </c>
      <c r="G30" t="n">
        <v>14</v>
      </c>
      <c r="H30" t="n">
        <v>14</v>
      </c>
      <c r="I30" t="n">
        <v>20</v>
      </c>
      <c r="J30" t="n">
        <v>25</v>
      </c>
    </row>
    <row r="31">
      <c r="B31" t="inlineStr">
        <is>
          <t>Kalafiory</t>
        </is>
      </c>
      <c r="D31" t="inlineStr">
        <is>
          <t>szt.</t>
        </is>
      </c>
      <c r="E31" t="n">
        <v>11</v>
      </c>
      <c r="F31" t="n">
        <v>14</v>
      </c>
      <c r="G31" t="n">
        <v>10</v>
      </c>
      <c r="H31" t="n">
        <v>12</v>
      </c>
      <c r="K31" t="n">
        <v>12</v>
      </c>
      <c r="L31" t="n">
        <v>13.33</v>
      </c>
    </row>
    <row r="32">
      <c r="B32" t="inlineStr">
        <is>
          <t>Kapusta młoda</t>
        </is>
      </c>
      <c r="D32" t="inlineStr">
        <is>
          <t>szt.</t>
        </is>
      </c>
      <c r="E32" t="n">
        <v>4.5</v>
      </c>
      <c r="F32" t="n">
        <v>7</v>
      </c>
      <c r="K32" t="n">
        <v>5.25</v>
      </c>
      <c r="L32" t="n">
        <v>5.63</v>
      </c>
    </row>
    <row r="33">
      <c r="B33" t="inlineStr">
        <is>
          <t>Papryka czerwona</t>
        </is>
      </c>
      <c r="D33" t="inlineStr">
        <is>
          <t>kg</t>
        </is>
      </c>
      <c r="E33" t="n">
        <v>12</v>
      </c>
      <c r="F33" t="n">
        <v>14</v>
      </c>
      <c r="G33" t="n">
        <v>10</v>
      </c>
      <c r="H33" t="n">
        <v>10</v>
      </c>
      <c r="I33" t="n">
        <v>9.800000000000001</v>
      </c>
      <c r="J33" t="n">
        <v>11</v>
      </c>
      <c r="K33" t="n">
        <v>10</v>
      </c>
      <c r="L33" t="n">
        <v>12</v>
      </c>
      <c r="M33" t="n">
        <v>13</v>
      </c>
      <c r="N33" t="n">
        <v>17</v>
      </c>
    </row>
    <row r="34">
      <c r="B34" t="inlineStr">
        <is>
          <t>Papryka zielona</t>
        </is>
      </c>
      <c r="D34" t="inlineStr">
        <is>
          <t>kg</t>
        </is>
      </c>
      <c r="E34" t="n">
        <v>10</v>
      </c>
      <c r="F34" t="n">
        <v>14</v>
      </c>
      <c r="G34" t="n">
        <v>10</v>
      </c>
      <c r="H34" t="n">
        <v>10</v>
      </c>
      <c r="K34" t="n">
        <v>10</v>
      </c>
      <c r="L34" t="n">
        <v>12</v>
      </c>
      <c r="M34" t="n">
        <v>13</v>
      </c>
      <c r="N34" t="n">
        <v>17</v>
      </c>
    </row>
    <row r="35">
      <c r="B35" t="inlineStr">
        <is>
          <t>Papryka żółta</t>
        </is>
      </c>
      <c r="D35" t="inlineStr">
        <is>
          <t>kg</t>
        </is>
      </c>
      <c r="E35" t="n">
        <v>12</v>
      </c>
      <c r="F35" t="n">
        <v>14</v>
      </c>
      <c r="G35" t="n">
        <v>12</v>
      </c>
      <c r="H35" t="n">
        <v>12</v>
      </c>
      <c r="I35" t="n">
        <v>11</v>
      </c>
      <c r="J35" t="n">
        <v>12</v>
      </c>
      <c r="K35" t="n">
        <v>10</v>
      </c>
      <c r="L35" t="n">
        <v>12</v>
      </c>
      <c r="M35" t="n">
        <v>13</v>
      </c>
      <c r="N35" t="n">
        <v>17</v>
      </c>
    </row>
    <row r="36">
      <c r="B36" t="inlineStr">
        <is>
          <t>Rzodkiewka</t>
        </is>
      </c>
      <c r="D36" t="inlineStr">
        <is>
          <t>pęczek</t>
        </is>
      </c>
      <c r="G36" t="n">
        <v>1.2</v>
      </c>
      <c r="H36" t="n">
        <v>1.5</v>
      </c>
      <c r="K36" t="n">
        <v>1.5</v>
      </c>
      <c r="L36" t="n">
        <v>2</v>
      </c>
    </row>
    <row r="37">
      <c r="B37" t="inlineStr">
        <is>
          <t>Sałata</t>
        </is>
      </c>
      <c r="D37" t="inlineStr">
        <is>
          <t>szt.</t>
        </is>
      </c>
      <c r="E37" t="n">
        <v>4</v>
      </c>
      <c r="F37" t="n">
        <v>4.5</v>
      </c>
      <c r="K37" t="n">
        <v>2.81</v>
      </c>
      <c r="L37" t="n">
        <v>3.13</v>
      </c>
    </row>
    <row r="38">
      <c r="B38" t="inlineStr">
        <is>
          <t>Ziemniaki młode</t>
        </is>
      </c>
      <c r="D38" t="inlineStr">
        <is>
          <t>kg</t>
        </is>
      </c>
      <c r="E38" t="n">
        <v>1.8</v>
      </c>
      <c r="F38" t="n">
        <v>4</v>
      </c>
      <c r="K38" t="n">
        <v>3.33</v>
      </c>
      <c r="L3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33"/>
  <sheetViews>
    <sheetView workbookViewId="0">
      <selection activeCell="A1" sqref="A1"/>
    </sheetView>
  </sheetViews>
  <sheetFormatPr baseColWidth="8" defaultRowHeight="15"/>
  <sheetData>
    <row r="2">
      <c r="B2" t="inlineStr">
        <is>
          <t>ŚREDNIE CENY ZAKUPU JABŁEK I GRUSZEK PŁACONE PRZEZ ORGANIZACJE PRODUCENTÓW - najważniejsze odmiany</t>
        </is>
      </c>
    </row>
    <row r="3">
      <c r="B3" t="inlineStr">
        <is>
          <t>(zł/100 kg)</t>
        </is>
      </c>
    </row>
    <row r="4">
      <c r="N4">
        <f>POMOC!B5</f>
        <v/>
      </c>
    </row>
    <row r="5">
      <c r="B5" t="inlineStr">
        <is>
          <t>TOWAR</t>
        </is>
      </c>
      <c r="C5" t="inlineStr">
        <is>
          <t xml:space="preserve">03.05.2026 </t>
        </is>
      </c>
      <c r="E5" t="inlineStr">
        <is>
          <t>26.04.2026</t>
        </is>
      </c>
      <c r="F5" t="inlineStr">
        <is>
          <t>04.05.2025</t>
        </is>
      </c>
      <c r="G5" t="inlineStr">
        <is>
          <t>Zmiana % w stosunku do poprzedniego okresu</t>
        </is>
      </c>
      <c r="H5" t="inlineStr">
        <is>
          <t>Zmiana %
 w stosunku do okresu sprzed roku</t>
        </is>
      </c>
    </row>
    <row r="6">
      <c r="B6" t="inlineStr">
        <is>
          <t>Jabłka (razem)</t>
        </is>
      </c>
      <c r="C6" t="n">
        <v>144.07</v>
      </c>
      <c r="E6" t="n">
        <v>136.35</v>
      </c>
      <c r="F6" t="n">
        <v>178.84</v>
      </c>
      <c r="G6" t="n">
        <v>5.66</v>
      </c>
      <c r="H6" t="n">
        <v>-19.44</v>
      </c>
    </row>
    <row r="7">
      <c r="B7" t="inlineStr">
        <is>
          <t>Boskoop</t>
        </is>
      </c>
      <c r="C7" t="inlineStr">
        <is>
          <t>---</t>
        </is>
      </c>
      <c r="E7" t="inlineStr">
        <is>
          <t>nld</t>
        </is>
      </c>
      <c r="F7" t="inlineStr">
        <is>
          <t>---</t>
        </is>
      </c>
      <c r="G7" t="inlineStr">
        <is>
          <t>*</t>
        </is>
      </c>
      <c r="H7" t="inlineStr">
        <is>
          <t>*</t>
        </is>
      </c>
    </row>
    <row r="8">
      <c r="B8" t="inlineStr">
        <is>
          <t>Gala</t>
        </is>
      </c>
      <c r="C8" t="inlineStr">
        <is>
          <t>nld</t>
        </is>
      </c>
      <c r="E8" t="inlineStr">
        <is>
          <t>nld</t>
        </is>
      </c>
      <c r="F8" t="inlineStr">
        <is>
          <t>nld</t>
        </is>
      </c>
      <c r="G8" t="inlineStr">
        <is>
          <t>*</t>
        </is>
      </c>
      <c r="H8" t="inlineStr">
        <is>
          <t>*</t>
        </is>
      </c>
    </row>
    <row r="9">
      <c r="B9" t="inlineStr">
        <is>
          <t>Gloster</t>
        </is>
      </c>
      <c r="C9" t="inlineStr">
        <is>
          <t>---</t>
        </is>
      </c>
      <c r="E9" t="inlineStr">
        <is>
          <t>---</t>
        </is>
      </c>
      <c r="F9" t="inlineStr">
        <is>
          <t>nld</t>
        </is>
      </c>
      <c r="G9" t="inlineStr">
        <is>
          <t>*</t>
        </is>
      </c>
      <c r="H9" t="inlineStr">
        <is>
          <t>*</t>
        </is>
      </c>
    </row>
    <row r="10">
      <c r="B10" t="inlineStr">
        <is>
          <t>Golden delicious</t>
        </is>
      </c>
      <c r="C10" t="inlineStr">
        <is>
          <t>nld</t>
        </is>
      </c>
      <c r="E10" t="inlineStr">
        <is>
          <t>nld</t>
        </is>
      </c>
      <c r="F10" t="n">
        <v>170.44</v>
      </c>
      <c r="G10" t="inlineStr">
        <is>
          <t>*</t>
        </is>
      </c>
      <c r="H10" t="inlineStr">
        <is>
          <t>*</t>
        </is>
      </c>
    </row>
    <row r="11">
      <c r="B11" t="inlineStr">
        <is>
          <t>Idared</t>
        </is>
      </c>
      <c r="C11" t="n">
        <v>123.86</v>
      </c>
      <c r="E11" t="inlineStr">
        <is>
          <t>nld</t>
        </is>
      </c>
      <c r="F11" t="n">
        <v>180.34</v>
      </c>
      <c r="G11" t="inlineStr">
        <is>
          <t>*</t>
        </is>
      </c>
      <c r="H11" t="n">
        <v>-31.32</v>
      </c>
    </row>
    <row r="12">
      <c r="B12" t="inlineStr">
        <is>
          <t>Jonagold/Jonagored</t>
        </is>
      </c>
      <c r="C12" t="n">
        <v>145.56</v>
      </c>
      <c r="E12" t="inlineStr">
        <is>
          <t>nld</t>
        </is>
      </c>
      <c r="F12" t="n">
        <v>192.06</v>
      </c>
      <c r="G12" t="inlineStr">
        <is>
          <t>*</t>
        </is>
      </c>
      <c r="H12" t="n">
        <v>-24.21</v>
      </c>
    </row>
    <row r="13">
      <c r="B13" t="inlineStr">
        <is>
          <t>Ligol</t>
        </is>
      </c>
      <c r="C13" t="inlineStr">
        <is>
          <t>nld</t>
        </is>
      </c>
      <c r="E13" t="n">
        <v>140.06</v>
      </c>
      <c r="F13" t="n">
        <v>176.24</v>
      </c>
      <c r="G13" t="inlineStr">
        <is>
          <t>*</t>
        </is>
      </c>
      <c r="H13" t="inlineStr">
        <is>
          <t>*</t>
        </is>
      </c>
    </row>
    <row r="14">
      <c r="B14" t="inlineStr">
        <is>
          <t>Szampion</t>
        </is>
      </c>
      <c r="C14" t="inlineStr">
        <is>
          <t>nld</t>
        </is>
      </c>
      <c r="E14" t="inlineStr">
        <is>
          <t>nld</t>
        </is>
      </c>
      <c r="F14" t="n">
        <v>166.71</v>
      </c>
      <c r="G14" t="inlineStr">
        <is>
          <t>*</t>
        </is>
      </c>
      <c r="H14" t="inlineStr">
        <is>
          <t>*</t>
        </is>
      </c>
    </row>
    <row r="15">
      <c r="B15" t="inlineStr">
        <is>
          <t>Gruszki (razem)</t>
        </is>
      </c>
      <c r="C15" t="inlineStr">
        <is>
          <t>nld</t>
        </is>
      </c>
      <c r="E15" t="inlineStr">
        <is>
          <t>nld</t>
        </is>
      </c>
      <c r="F15" t="inlineStr">
        <is>
          <t>nld</t>
        </is>
      </c>
      <c r="G15" t="inlineStr">
        <is>
          <t>*</t>
        </is>
      </c>
      <c r="H15" t="inlineStr">
        <is>
          <t>*</t>
        </is>
      </c>
    </row>
    <row r="17">
      <c r="B17" t="inlineStr">
        <is>
          <t>ŚREDNIE CENY SPRZEDAŻY JABŁEK I GRUSZEK PŁACONE PRZEZ ORGANIZACJE PRODUCENTÓW - główne odmiany</t>
        </is>
      </c>
    </row>
    <row r="18">
      <c r="B18" t="inlineStr">
        <is>
          <t>(zł/100 kg)</t>
        </is>
      </c>
    </row>
    <row r="20">
      <c r="B20" t="inlineStr">
        <is>
          <t>TOWAR</t>
        </is>
      </c>
      <c r="C20" t="inlineStr">
        <is>
          <t xml:space="preserve">03.05.2026 </t>
        </is>
      </c>
      <c r="E20" t="inlineStr">
        <is>
          <t>26.04.2026</t>
        </is>
      </c>
      <c r="F20" t="inlineStr">
        <is>
          <t>04.05.2025</t>
        </is>
      </c>
      <c r="G20" t="inlineStr">
        <is>
          <t>Zmiana ceny (%)
w stosunku do poprzedniego okresu</t>
        </is>
      </c>
      <c r="H20" t="inlineStr">
        <is>
          <t>Zmiana ceny (%)
 w stosunku do okresu sprzed roku</t>
        </is>
      </c>
    </row>
    <row r="21">
      <c r="B21" t="inlineStr">
        <is>
          <t>Jabłka (razem)</t>
        </is>
      </c>
      <c r="C21" t="n">
        <v>231.03</v>
      </c>
      <c r="E21" t="n">
        <v>263.59</v>
      </c>
      <c r="F21" t="n">
        <v>310.86</v>
      </c>
      <c r="G21" t="n">
        <v>-12.35</v>
      </c>
      <c r="H21" t="n">
        <v>-25.68</v>
      </c>
    </row>
    <row r="22">
      <c r="B22" t="inlineStr">
        <is>
          <t>Boskoop</t>
        </is>
      </c>
      <c r="C22" t="inlineStr">
        <is>
          <t>nld</t>
        </is>
      </c>
      <c r="E22" t="inlineStr">
        <is>
          <t>nld</t>
        </is>
      </c>
      <c r="F22" t="inlineStr">
        <is>
          <t>---</t>
        </is>
      </c>
      <c r="G22" t="inlineStr">
        <is>
          <t>*</t>
        </is>
      </c>
      <c r="H22" t="inlineStr">
        <is>
          <t>*</t>
        </is>
      </c>
    </row>
    <row r="23">
      <c r="B23" t="inlineStr">
        <is>
          <t>Gala</t>
        </is>
      </c>
      <c r="C23" t="inlineStr">
        <is>
          <t>nld</t>
        </is>
      </c>
      <c r="E23" t="inlineStr">
        <is>
          <t>nld</t>
        </is>
      </c>
      <c r="F23" t="n">
        <v>367.69</v>
      </c>
      <c r="G23" t="inlineStr">
        <is>
          <t>*</t>
        </is>
      </c>
      <c r="H23" t="inlineStr">
        <is>
          <t>*</t>
        </is>
      </c>
    </row>
    <row r="24">
      <c r="B24" t="inlineStr">
        <is>
          <t>Gloster</t>
        </is>
      </c>
      <c r="C24" t="inlineStr">
        <is>
          <t>---</t>
        </is>
      </c>
      <c r="E24" t="inlineStr">
        <is>
          <t>---</t>
        </is>
      </c>
      <c r="F24" t="inlineStr">
        <is>
          <t>nld</t>
        </is>
      </c>
      <c r="G24" t="inlineStr">
        <is>
          <t>*</t>
        </is>
      </c>
      <c r="H24" t="inlineStr">
        <is>
          <t>*</t>
        </is>
      </c>
    </row>
    <row r="25">
      <c r="B25" t="inlineStr">
        <is>
          <t>Golden delicious</t>
        </is>
      </c>
      <c r="C25" t="n">
        <v>213.06</v>
      </c>
      <c r="E25" t="inlineStr">
        <is>
          <t>nld</t>
        </is>
      </c>
      <c r="F25" t="n">
        <v>269.24</v>
      </c>
      <c r="G25" t="inlineStr">
        <is>
          <t>*</t>
        </is>
      </c>
      <c r="H25" t="n">
        <v>-20.87</v>
      </c>
    </row>
    <row r="26">
      <c r="B26" t="inlineStr">
        <is>
          <t>Idared</t>
        </is>
      </c>
      <c r="C26" t="inlineStr">
        <is>
          <t>nld</t>
        </is>
      </c>
      <c r="E26" t="inlineStr">
        <is>
          <t>nld</t>
        </is>
      </c>
      <c r="F26" t="n">
        <v>292.59</v>
      </c>
      <c r="G26" t="inlineStr">
        <is>
          <t>*</t>
        </is>
      </c>
      <c r="H26" t="inlineStr">
        <is>
          <t>*</t>
        </is>
      </c>
    </row>
    <row r="27">
      <c r="B27" t="inlineStr">
        <is>
          <t>Jonagold/Jonagored</t>
        </is>
      </c>
      <c r="C27" t="n">
        <v>229.32</v>
      </c>
      <c r="E27" t="inlineStr">
        <is>
          <t>nld</t>
        </is>
      </c>
      <c r="F27" t="n">
        <v>305.62</v>
      </c>
      <c r="G27" t="inlineStr">
        <is>
          <t>*</t>
        </is>
      </c>
      <c r="H27" t="n">
        <v>-24.97</v>
      </c>
    </row>
    <row r="28">
      <c r="B28" t="inlineStr">
        <is>
          <t>Ligol</t>
        </is>
      </c>
      <c r="C28" t="inlineStr">
        <is>
          <t>nld</t>
        </is>
      </c>
      <c r="E28" t="n">
        <v>262.67</v>
      </c>
      <c r="F28" t="n">
        <v>336.21</v>
      </c>
      <c r="G28" t="inlineStr">
        <is>
          <t>*</t>
        </is>
      </c>
      <c r="H28" t="inlineStr">
        <is>
          <t>*</t>
        </is>
      </c>
    </row>
    <row r="29">
      <c r="B29" t="inlineStr">
        <is>
          <t>Szampion</t>
        </is>
      </c>
      <c r="C29" t="inlineStr">
        <is>
          <t>nld</t>
        </is>
      </c>
      <c r="E29" t="n">
        <v>241.77</v>
      </c>
      <c r="F29" t="n">
        <v>310.19</v>
      </c>
      <c r="G29" t="inlineStr">
        <is>
          <t>*</t>
        </is>
      </c>
      <c r="H29" t="inlineStr">
        <is>
          <t>*</t>
        </is>
      </c>
    </row>
    <row r="30">
      <c r="B30" t="inlineStr">
        <is>
          <t>Gruszki (razem)</t>
        </is>
      </c>
      <c r="C30" t="inlineStr">
        <is>
          <t>nld</t>
        </is>
      </c>
      <c r="E30" t="inlineStr">
        <is>
          <t>nld</t>
        </is>
      </c>
      <c r="F30" t="inlineStr">
        <is>
          <t>nld</t>
        </is>
      </c>
      <c r="G30" t="inlineStr">
        <is>
          <t>*</t>
        </is>
      </c>
      <c r="H30" t="inlineStr">
        <is>
          <t>*</t>
        </is>
      </c>
    </row>
    <row r="32">
      <c r="B32" t="inlineStr">
        <is>
          <t>Odmiany, dla których zbierane są dane:</t>
        </is>
      </c>
    </row>
    <row r="33">
      <c r="B33" t="inlineStr">
        <is>
          <t>Boskoop, Cortland, Elstar, Gala, Gloster, Golden delicious, Idared, Jonagold/Jonagored, Ligol, Lobo, Red delicious, Shampion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workbookViewId="0">
      <selection activeCell="A1" sqref="A1"/>
    </sheetView>
  </sheetViews>
  <sheetFormatPr baseColWidth="8" defaultRowHeight="15"/>
  <sheetData>
    <row r="2">
      <c r="B2" t="inlineStr">
        <is>
          <t>ŚREDNIE CENY ZAKUPU OWOCÓW PŁACONE PRZEZ PODMIOTY ZAJMUJĄCE SIĘ PRZETWÓRSTWEM</t>
        </is>
      </c>
    </row>
    <row r="3">
      <c r="B3" t="inlineStr">
        <is>
          <t>(zł/100 kg)</t>
        </is>
      </c>
    </row>
    <row r="4">
      <c r="L4">
        <f>POMOC!B5</f>
        <v/>
      </c>
    </row>
    <row r="5">
      <c r="B5" t="inlineStr">
        <is>
          <t>TOWAR</t>
        </is>
      </c>
      <c r="C5" t="inlineStr">
        <is>
          <t xml:space="preserve">03.05.2026 </t>
        </is>
      </c>
      <c r="D5" s="1" t="n">
        <v>46138</v>
      </c>
      <c r="E5" t="inlineStr">
        <is>
          <t>Zmiana ceny (%)
 w stosunku do okresu sprzed roku</t>
        </is>
      </c>
    </row>
    <row r="6">
      <c r="B6" t="inlineStr">
        <is>
          <t>Jabłka /ogółem</t>
        </is>
      </c>
      <c r="C6" t="n">
        <v>64.08</v>
      </c>
      <c r="D6" t="n">
        <v>66.05</v>
      </c>
      <c r="E6">
        <f>(C6-D6)/D6*100</f>
        <v/>
      </c>
    </row>
    <row r="7">
      <c r="B7" t="inlineStr">
        <is>
          <t>Jabłka / na sok zagęszczony</t>
        </is>
      </c>
      <c r="C7" t="n">
        <v>64.45</v>
      </c>
      <c r="D7" t="n">
        <v>61.16</v>
      </c>
      <c r="E7">
        <f>(C7-D7)/D7*100</f>
        <v/>
      </c>
    </row>
    <row r="8">
      <c r="B8" t="inlineStr">
        <is>
          <t>Jabłka / na sok NFC</t>
        </is>
      </c>
      <c r="C8" t="n">
        <v>72.3</v>
      </c>
      <c r="D8" t="inlineStr">
        <is>
          <t>nld</t>
        </is>
      </c>
      <c r="E8" t="inlineStr">
        <is>
          <t>*</t>
        </is>
      </c>
    </row>
    <row r="9">
      <c r="B9" t="inlineStr">
        <is>
          <t>Jabłka / na dżemy, przeciery, marmolada</t>
        </is>
      </c>
      <c r="C9" t="n">
        <v>66.91</v>
      </c>
      <c r="D9" t="n">
        <v>68.78</v>
      </c>
      <c r="E9">
        <f>(C9-D9)/D9*100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selection activeCell="A1" sqref="A1"/>
    </sheetView>
  </sheetViews>
  <sheetFormatPr baseColWidth="8" defaultRowHeight="15"/>
  <sheetData>
    <row r="2">
      <c r="B2" t="inlineStr">
        <is>
          <t>ŚREDNIE CENY ZAKUPU WARZYW PŁACONE PRZEZ PODMIOTY ZAJMUJĄCE SIĘ PRZETWÓRSTWEM</t>
        </is>
      </c>
    </row>
    <row r="3">
      <c r="B3" t="inlineStr">
        <is>
          <t>(zł/100 kg)</t>
        </is>
      </c>
    </row>
    <row r="4">
      <c r="J4">
        <f>POMOC!B5</f>
        <v/>
      </c>
    </row>
    <row r="5">
      <c r="B5" t="inlineStr">
        <is>
          <t>TOWAR</t>
        </is>
      </c>
      <c r="C5" t="inlineStr">
        <is>
          <t xml:space="preserve">03.05.2026 </t>
        </is>
      </c>
      <c r="D5" s="1" t="n">
        <v>46138</v>
      </c>
      <c r="E5" t="inlineStr">
        <is>
          <t>Zmiana ceny (%)
w stosunku do poprzedniego okresu</t>
        </is>
      </c>
    </row>
    <row r="6">
      <c r="B6" t="inlineStr">
        <is>
          <t>Buraki ćwikłowe</t>
        </is>
      </c>
      <c r="C6" t="n">
        <v>45.62</v>
      </c>
      <c r="D6" t="n">
        <v>53.91</v>
      </c>
      <c r="E6">
        <f>(C6-D6)/D6*100</f>
        <v/>
      </c>
    </row>
    <row r="7">
      <c r="B7" t="inlineStr">
        <is>
          <t>Cebula biała obierana</t>
        </is>
      </c>
      <c r="C7" t="n">
        <v>132.03</v>
      </c>
      <c r="D7" t="n">
        <v>129.96</v>
      </c>
      <c r="E7">
        <f>(C7-D7)/D7*100</f>
        <v/>
      </c>
    </row>
    <row r="8">
      <c r="B8" t="inlineStr">
        <is>
          <t>Kapusta biała</t>
        </is>
      </c>
      <c r="C8" t="n">
        <v>85.25</v>
      </c>
      <c r="D8" t="inlineStr">
        <is>
          <t>nld</t>
        </is>
      </c>
      <c r="E8" t="inlineStr">
        <is>
          <t>*</t>
        </is>
      </c>
    </row>
    <row r="9">
      <c r="B9" t="inlineStr">
        <is>
          <t>Marchew</t>
        </is>
      </c>
      <c r="C9" t="inlineStr">
        <is>
          <t>nld</t>
        </is>
      </c>
      <c r="D9" t="inlineStr">
        <is>
          <t>nld</t>
        </is>
      </c>
      <c r="E9" t="inlineStr">
        <is>
          <t>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20"/>
  <sheetViews>
    <sheetView workbookViewId="0">
      <selection activeCell="A1" sqref="A1"/>
    </sheetView>
  </sheetViews>
  <sheetFormatPr baseColWidth="8" defaultRowHeight="15"/>
  <sheetData>
    <row r="2">
      <c r="B2" t="inlineStr">
        <is>
          <t>ŚREDNIE CENY ZAKUPU OWOCÓ PŁACONE PRZEZ PODMIOTY HANDLU DETALICZNEGO</t>
        </is>
      </c>
    </row>
    <row r="3">
      <c r="B3" t="inlineStr">
        <is>
          <t>(zł/100 kg)</t>
        </is>
      </c>
    </row>
    <row r="4">
      <c r="L4">
        <f>POMOC!B5</f>
        <v/>
      </c>
    </row>
    <row r="5">
      <c r="B5" t="inlineStr">
        <is>
          <t>OWOCE krajowe - luzem</t>
        </is>
      </c>
    </row>
    <row r="6">
      <c r="B6" t="inlineStr">
        <is>
          <t>TOWAR</t>
        </is>
      </c>
      <c r="C6" t="inlineStr">
        <is>
          <t xml:space="preserve">03.05.2026 </t>
        </is>
      </c>
      <c r="D6" t="inlineStr">
        <is>
          <t>26.04.2026</t>
        </is>
      </c>
      <c r="E6" t="inlineStr">
        <is>
          <t>04.05.2025</t>
        </is>
      </c>
      <c r="F6" t="inlineStr">
        <is>
          <t>Zmiana ceny (%)
w stosunku do poprzedniego okresu</t>
        </is>
      </c>
      <c r="G6" t="inlineStr">
        <is>
          <t>Zmiana ceny (%)
 w stosunku do okresu sprzed roku</t>
        </is>
      </c>
    </row>
    <row r="7">
      <c r="B7" t="inlineStr">
        <is>
          <t>Jabłka (razem)</t>
        </is>
      </c>
      <c r="C7" t="n">
        <v>287.24</v>
      </c>
      <c r="D7" t="n">
        <v>286.03</v>
      </c>
      <c r="E7" t="n">
        <v>354.53</v>
      </c>
      <c r="F7">
        <f>IFERROR((C7-D7)/D7*100,"-")</f>
        <v/>
      </c>
      <c r="G7">
        <f>IFERROR((C7-E7)/E7*100,"-")</f>
        <v/>
      </c>
    </row>
    <row r="8">
      <c r="B8" t="inlineStr">
        <is>
          <t>Gala</t>
        </is>
      </c>
      <c r="C8" t="n">
        <v>363.67</v>
      </c>
      <c r="D8" t="n">
        <v>366.34</v>
      </c>
      <c r="E8" t="n">
        <v>406.16</v>
      </c>
      <c r="F8">
        <f>IFERROR((C8-D8)/D8*100,"-")</f>
        <v/>
      </c>
      <c r="G8">
        <f>IFERROR((C8-E8)/E8*100,"-")</f>
        <v/>
      </c>
    </row>
    <row r="9">
      <c r="B9" t="inlineStr">
        <is>
          <t>Golden delicious</t>
        </is>
      </c>
      <c r="C9" t="n">
        <v>331.7</v>
      </c>
      <c r="D9" t="n">
        <v>326.24</v>
      </c>
      <c r="E9" t="n">
        <v>349.18</v>
      </c>
      <c r="F9">
        <f>IFERROR((C9-D9)/D9*100,"-")</f>
        <v/>
      </c>
      <c r="G9">
        <f>IFERROR((C9-E9)/E9*100,"-")</f>
        <v/>
      </c>
    </row>
    <row r="10">
      <c r="B10" t="inlineStr">
        <is>
          <t>Idared</t>
        </is>
      </c>
      <c r="C10" t="n">
        <v>305.45</v>
      </c>
      <c r="D10" t="n">
        <v>253.46</v>
      </c>
      <c r="E10" t="n">
        <v>303.01</v>
      </c>
      <c r="F10">
        <f>IFERROR((C10-D10)/D10*100,"-")</f>
        <v/>
      </c>
      <c r="G10">
        <f>IFERROR((C10-E10)/E10*100,"-")</f>
        <v/>
      </c>
    </row>
    <row r="11">
      <c r="B11" t="inlineStr">
        <is>
          <t>Jonagold/Jonagored</t>
        </is>
      </c>
      <c r="C11" t="n">
        <v>262.58</v>
      </c>
      <c r="D11" t="n">
        <v>261.93</v>
      </c>
      <c r="E11" t="n">
        <v>335.33</v>
      </c>
      <c r="F11">
        <f>IFERROR((C11-D11)/D11*100,"-")</f>
        <v/>
      </c>
      <c r="G11">
        <f>IFERROR((C11-E11)/E11*100,"-")</f>
        <v/>
      </c>
    </row>
    <row r="12">
      <c r="B12" t="inlineStr">
        <is>
          <t>Ligol</t>
        </is>
      </c>
      <c r="C12" t="n">
        <v>316.84</v>
      </c>
      <c r="D12" t="n">
        <v>313.19</v>
      </c>
      <c r="E12" t="n">
        <v>370.98</v>
      </c>
      <c r="F12">
        <f>IFERROR((C12-D12)/D12*100,"-")</f>
        <v/>
      </c>
      <c r="G12">
        <f>IFERROR((C12-E12)/E12*100,"-")</f>
        <v/>
      </c>
    </row>
    <row r="13">
      <c r="B13" t="inlineStr">
        <is>
          <t>Szampion</t>
        </is>
      </c>
      <c r="C13" t="n">
        <v>295.72</v>
      </c>
      <c r="D13" t="n">
        <v>278.93</v>
      </c>
      <c r="E13" t="n">
        <v>346.87</v>
      </c>
      <c r="F13">
        <f>IFERROR((C13-D13)/D13*100,"-")</f>
        <v/>
      </c>
      <c r="G13">
        <f>IFERROR((C13-E13)/E13*100,"-")</f>
        <v/>
      </c>
    </row>
    <row r="15">
      <c r="B15" t="inlineStr">
        <is>
          <t>OWOCE z importu - luzem</t>
        </is>
      </c>
    </row>
    <row r="16">
      <c r="B16" t="inlineStr">
        <is>
          <t>TOWAR</t>
        </is>
      </c>
      <c r="C16" t="inlineStr">
        <is>
          <t xml:space="preserve">03.05.2026 </t>
        </is>
      </c>
      <c r="D16" t="inlineStr">
        <is>
          <t>26.04.2026</t>
        </is>
      </c>
      <c r="E16" t="inlineStr">
        <is>
          <t>04.05.2025</t>
        </is>
      </c>
      <c r="F16" t="inlineStr">
        <is>
          <t>Zmiana ceny (%)
w stosunku do poprzedniego okresu</t>
        </is>
      </c>
      <c r="G16" t="inlineStr">
        <is>
          <t>Zmiana ceny (%)
 w stosunku do okresu sprzed roku</t>
        </is>
      </c>
    </row>
    <row r="17">
      <c r="B17" t="inlineStr">
        <is>
          <t>Jabłka-Granny Smith</t>
        </is>
      </c>
      <c r="C17" t="inlineStr">
        <is>
          <t>nld</t>
        </is>
      </c>
      <c r="D17" t="inlineStr">
        <is>
          <t>nld</t>
        </is>
      </c>
      <c r="E17" t="inlineStr">
        <is>
          <t>nld</t>
        </is>
      </c>
      <c r="F17" t="inlineStr">
        <is>
          <t>*</t>
        </is>
      </c>
      <c r="G17" t="inlineStr">
        <is>
          <t>*</t>
        </is>
      </c>
    </row>
    <row r="18">
      <c r="B18" t="inlineStr">
        <is>
          <t>Pomarańcze</t>
        </is>
      </c>
      <c r="C18" t="n">
        <v>402.22</v>
      </c>
      <c r="D18" t="n">
        <v>424.65</v>
      </c>
      <c r="E18" t="n">
        <v>473.46</v>
      </c>
      <c r="F18">
        <f>IFERROR((C18-D18)/D18*100,"-")</f>
        <v/>
      </c>
      <c r="G18">
        <f>IFERROR((C18-E18)/E18*100,"-")</f>
        <v/>
      </c>
    </row>
    <row r="19">
      <c r="B19" t="inlineStr">
        <is>
          <t>Brzoskwinie</t>
        </is>
      </c>
      <c r="C19" t="inlineStr">
        <is>
          <t>nld</t>
        </is>
      </c>
      <c r="D19" t="inlineStr">
        <is>
          <t>nld</t>
        </is>
      </c>
      <c r="E19" t="n">
        <v>1573.39</v>
      </c>
      <c r="F19" t="inlineStr">
        <is>
          <t>*</t>
        </is>
      </c>
      <c r="G19" t="inlineStr">
        <is>
          <t>*</t>
        </is>
      </c>
    </row>
    <row r="20">
      <c r="B20" t="inlineStr">
        <is>
          <t>Nektaryny</t>
        </is>
      </c>
      <c r="C20" t="inlineStr">
        <is>
          <t>nld</t>
        </is>
      </c>
      <c r="D20" t="inlineStr">
        <is>
          <t>nld</t>
        </is>
      </c>
      <c r="E20" t="inlineStr">
        <is>
          <t>nld</t>
        </is>
      </c>
      <c r="F20" t="inlineStr">
        <is>
          <t>*</t>
        </is>
      </c>
      <c r="G20" t="inlineStr">
        <is>
          <t>*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34"/>
  <sheetViews>
    <sheetView workbookViewId="0">
      <selection activeCell="A1" sqref="A1"/>
    </sheetView>
  </sheetViews>
  <sheetFormatPr baseColWidth="8" defaultRowHeight="15"/>
  <sheetData>
    <row r="2">
      <c r="B2" t="inlineStr">
        <is>
          <t>ŚREDNIE  CENY ZAKUPU WARZYW PŁACONE PRZEZ PODMIOTY HANDLU DETALICZNEGO</t>
        </is>
      </c>
    </row>
    <row r="3">
      <c r="B3" t="inlineStr">
        <is>
          <t>(zł/100 kg)</t>
        </is>
      </c>
    </row>
    <row r="4">
      <c r="L4">
        <f>POMOC!B5</f>
        <v/>
      </c>
    </row>
    <row r="5">
      <c r="B5" t="inlineStr">
        <is>
          <t>WARZYWA krajowe - luzem</t>
        </is>
      </c>
    </row>
    <row r="6">
      <c r="B6" t="inlineStr">
        <is>
          <t>TOWAR</t>
        </is>
      </c>
      <c r="C6" t="inlineStr">
        <is>
          <t xml:space="preserve">03.05.2026 </t>
        </is>
      </c>
      <c r="D6" t="inlineStr">
        <is>
          <t>26.04.2026</t>
        </is>
      </c>
      <c r="E6" t="inlineStr">
        <is>
          <t>04.05.2025</t>
        </is>
      </c>
      <c r="F6" t="inlineStr">
        <is>
          <t>Zmiana % w stosunku do poprzedniego okresu</t>
        </is>
      </c>
      <c r="G6" t="inlineStr">
        <is>
          <t>Zmiana %
 w stosunku do okresu sprzed roku</t>
        </is>
      </c>
    </row>
    <row r="7">
      <c r="B7" t="inlineStr">
        <is>
          <t>Marchew</t>
        </is>
      </c>
      <c r="C7" t="n">
        <v>318.04</v>
      </c>
      <c r="D7" t="n">
        <v>274.96</v>
      </c>
      <c r="E7" t="n">
        <v>256.2</v>
      </c>
      <c r="F7">
        <f>IFERROR((C7-D7)/D7*100,"-")</f>
        <v/>
      </c>
      <c r="G7">
        <f>IFERROR((C7-E7)/E7*100,"-")</f>
        <v/>
      </c>
    </row>
    <row r="8">
      <c r="B8" t="inlineStr">
        <is>
          <t>Ogórki szklarniowe</t>
        </is>
      </c>
      <c r="C8" t="n">
        <v>465.93</v>
      </c>
      <c r="D8" t="n">
        <v>665.77</v>
      </c>
      <c r="E8" t="inlineStr">
        <is>
          <t>*</t>
        </is>
      </c>
      <c r="F8">
        <f>IFERROR((C8-D8)/D8*100,"-")</f>
        <v/>
      </c>
      <c r="G8" t="inlineStr">
        <is>
          <t>*</t>
        </is>
      </c>
    </row>
    <row r="9">
      <c r="B9" t="inlineStr">
        <is>
          <t>Papryka czerwona</t>
        </is>
      </c>
      <c r="C9" t="n">
        <v>1068.72</v>
      </c>
      <c r="D9" t="n">
        <v>1215.1</v>
      </c>
      <c r="E9" t="inlineStr">
        <is>
          <t>*</t>
        </is>
      </c>
      <c r="F9">
        <f>IFERROR((C9-D9)/D9*100,"-")</f>
        <v/>
      </c>
      <c r="G9" t="inlineStr">
        <is>
          <t>*</t>
        </is>
      </c>
    </row>
    <row r="10">
      <c r="B10" t="inlineStr">
        <is>
          <t>Pomidory okrągłe</t>
        </is>
      </c>
      <c r="C10" t="n">
        <v>945.1799999999999</v>
      </c>
      <c r="D10" t="n">
        <v>1325.75</v>
      </c>
      <c r="E10" t="n">
        <v>950.45</v>
      </c>
      <c r="F10">
        <f>IFERROR((C10-D10)/D10*100,"-")</f>
        <v/>
      </c>
      <c r="G10">
        <f>IFERROR((C10-E10)/E10*100,"-")</f>
        <v/>
      </c>
    </row>
    <row r="11">
      <c r="B11" t="inlineStr">
        <is>
          <t>Ziemniaki</t>
        </is>
      </c>
      <c r="C11" t="n">
        <v>107.57</v>
      </c>
      <c r="D11" t="n">
        <v>106.8</v>
      </c>
      <c r="E11" t="n">
        <v>205.17</v>
      </c>
      <c r="F11">
        <f>IFERROR((C11-D11)/D11*100,"-")</f>
        <v/>
      </c>
      <c r="G11">
        <f>IFERROR((C11-E11)/E11*100,"-")</f>
        <v/>
      </c>
    </row>
    <row r="13">
      <c r="B13" t="inlineStr">
        <is>
          <t>WARZYWA z importu - luzem</t>
        </is>
      </c>
    </row>
    <row r="14">
      <c r="B14" t="inlineStr">
        <is>
          <t>TOWAR</t>
        </is>
      </c>
      <c r="C14" t="inlineStr">
        <is>
          <t xml:space="preserve">03.05.2026 </t>
        </is>
      </c>
      <c r="D14" t="inlineStr">
        <is>
          <t>26.04.2026</t>
        </is>
      </c>
      <c r="E14" t="inlineStr">
        <is>
          <t>04.05.2025</t>
        </is>
      </c>
      <c r="F14" t="inlineStr">
        <is>
          <t>Zmiana ceny (%)
w stosunku do poprzedniego okresu</t>
        </is>
      </c>
      <c r="G14" t="inlineStr">
        <is>
          <t>Zmiana ceny (%)
 w stosunku do okresu sprzed roku</t>
        </is>
      </c>
    </row>
    <row r="15">
      <c r="B15" t="inlineStr">
        <is>
          <t>Marchew</t>
        </is>
      </c>
      <c r="C15" t="n">
        <v>357.42</v>
      </c>
      <c r="D15" t="n">
        <v>341.25</v>
      </c>
      <c r="E15" t="n">
        <v>293.74</v>
      </c>
      <c r="F15">
        <f>IFERROR((C15-D15)/D15*100,"-")</f>
        <v/>
      </c>
      <c r="G15">
        <f>IFERROR((C15-E15)/E15*100,"-")</f>
        <v/>
      </c>
    </row>
    <row r="16">
      <c r="B16" t="inlineStr">
        <is>
          <t>Papryka czerwona</t>
        </is>
      </c>
      <c r="C16" t="n">
        <v>856.7</v>
      </c>
      <c r="D16" t="n">
        <v>956.61</v>
      </c>
      <c r="F16">
        <f>(C16-D16)/D16*100</f>
        <v/>
      </c>
      <c r="G16" t="inlineStr">
        <is>
          <t>*</t>
        </is>
      </c>
    </row>
    <row r="17">
      <c r="B17" t="inlineStr">
        <is>
          <t>Pomidory okrągłe</t>
        </is>
      </c>
      <c r="C17" t="n">
        <v>849.29</v>
      </c>
      <c r="D17" t="n">
        <v>1008.02</v>
      </c>
      <c r="E17" t="n">
        <v>593.1900000000001</v>
      </c>
      <c r="F17">
        <f>(C17-D17)/D17*100</f>
        <v/>
      </c>
      <c r="G17">
        <f>IFERROR((C17-E17)/E17*100,"-")</f>
        <v/>
      </c>
    </row>
    <row r="18">
      <c r="B18" t="inlineStr">
        <is>
          <t>Pomidory na gałązkach</t>
        </is>
      </c>
      <c r="C18" t="n">
        <v>825.41</v>
      </c>
      <c r="D18" t="n">
        <v>1098.44</v>
      </c>
      <c r="E18" t="n">
        <v>607.59</v>
      </c>
      <c r="F18">
        <f>(C18-D18)/D18*100</f>
        <v/>
      </c>
      <c r="G18">
        <f>IFERROR((C18-E18)/E18*100,"-")</f>
        <v/>
      </c>
    </row>
    <row r="19">
      <c r="B19" t="inlineStr">
        <is>
          <t>Pomidory typu "cherry"</t>
        </is>
      </c>
      <c r="C19" t="n">
        <v>1294.28</v>
      </c>
      <c r="D19" t="n">
        <v>1707.72</v>
      </c>
      <c r="E19" t="n">
        <v>1604.41</v>
      </c>
      <c r="F19">
        <f>(C19-D19)/D19*100</f>
        <v/>
      </c>
      <c r="G19">
        <f>IFERROR((C19-E19)/E19*100,"-")</f>
        <v/>
      </c>
    </row>
    <row r="20">
      <c r="B20" t="inlineStr">
        <is>
          <t>Ziemniaki</t>
        </is>
      </c>
      <c r="C20" t="n">
        <v>428.98</v>
      </c>
      <c r="D20" t="n">
        <v>456.39</v>
      </c>
      <c r="E20" t="n">
        <v>407.13</v>
      </c>
      <c r="F20">
        <f>(C20-D20)/D20*100</f>
        <v/>
      </c>
      <c r="G20">
        <f>IFERROR((C20-E20)/E20*100,"-")</f>
        <v/>
      </c>
    </row>
    <row r="22">
      <c r="B22" t="inlineStr">
        <is>
          <t>WARZYWA krajowe - opakowania do 2 kg</t>
        </is>
      </c>
    </row>
    <row r="23">
      <c r="B23" t="inlineStr">
        <is>
          <t>TOWAR</t>
        </is>
      </c>
      <c r="C23" t="inlineStr">
        <is>
          <t xml:space="preserve">03.05.2026 </t>
        </is>
      </c>
      <c r="D23" t="inlineStr">
        <is>
          <t>26.04.2026</t>
        </is>
      </c>
      <c r="E23" t="inlineStr">
        <is>
          <t>04.05.2025</t>
        </is>
      </c>
      <c r="F23" t="inlineStr">
        <is>
          <t>Zmiana ceny (%)
w stosunku do poprzedniego okresu</t>
        </is>
      </c>
      <c r="G23" t="inlineStr">
        <is>
          <t>Zmiana ceny (%)
 w stosunku do okresu sprzed roku</t>
        </is>
      </c>
    </row>
    <row r="24">
      <c r="B24" t="inlineStr">
        <is>
          <t>Marchew</t>
        </is>
      </c>
      <c r="C24" t="n">
        <v>460.81</v>
      </c>
      <c r="D24" t="n">
        <v>422.15</v>
      </c>
      <c r="E24" t="n">
        <v>382.63</v>
      </c>
      <c r="F24">
        <f>(C24-D24)/D24*100</f>
        <v/>
      </c>
      <c r="G24">
        <f>IFERROR((C24-E24)/E24*100,"-")</f>
        <v/>
      </c>
    </row>
    <row r="25">
      <c r="B25" t="inlineStr">
        <is>
          <t>Pomidory okrągłe</t>
        </is>
      </c>
      <c r="C25" t="n">
        <v>1055.71</v>
      </c>
      <c r="D25" t="n">
        <v>1430.89</v>
      </c>
      <c r="E25" t="n">
        <v>946.97</v>
      </c>
      <c r="F25">
        <f>(C25-D25)/D25*100</f>
        <v/>
      </c>
      <c r="G25">
        <f>IFERROR((C25-E25)/E25*100,"-")</f>
        <v/>
      </c>
    </row>
    <row r="26">
      <c r="B26" t="inlineStr">
        <is>
          <t>Pomidory typu "cherry"</t>
        </is>
      </c>
      <c r="C26" t="n">
        <v>1500.12</v>
      </c>
      <c r="D26" t="n">
        <v>1527.11</v>
      </c>
      <c r="E26" t="n">
        <v>1336.28</v>
      </c>
      <c r="F26">
        <f>(C26-D26)/D26*100</f>
        <v/>
      </c>
      <c r="G26">
        <f>IFERROR((C26-E26)/E26*100,"-")</f>
        <v/>
      </c>
    </row>
    <row r="27">
      <c r="B27" t="inlineStr">
        <is>
          <t>Ziemniaki</t>
        </is>
      </c>
      <c r="C27" t="n">
        <v>179.93</v>
      </c>
      <c r="D27" t="n">
        <v>175.19</v>
      </c>
      <c r="E27" t="n">
        <v>300.58</v>
      </c>
      <c r="F27">
        <f>(C27-D27)/D27*100</f>
        <v/>
      </c>
      <c r="G27">
        <f>IFERROR((C27-E27)/E27*100,"-")</f>
        <v/>
      </c>
    </row>
    <row r="29">
      <c r="B29" t="inlineStr">
        <is>
          <t>WARZYWA z importu - do 2 kg</t>
        </is>
      </c>
    </row>
    <row r="30">
      <c r="B30" t="inlineStr">
        <is>
          <t>TOWAR</t>
        </is>
      </c>
      <c r="C30" t="inlineStr">
        <is>
          <t xml:space="preserve">03.05.2026 </t>
        </is>
      </c>
      <c r="D30" t="inlineStr">
        <is>
          <t>26.04.2026</t>
        </is>
      </c>
      <c r="E30" t="inlineStr">
        <is>
          <t>04.05.2025</t>
        </is>
      </c>
      <c r="F30" t="inlineStr">
        <is>
          <t>Zmiana % w stosunku do poprzedniego okresu</t>
        </is>
      </c>
      <c r="G30" t="inlineStr">
        <is>
          <t>Zmiana %
 w stosunku do okresu sprzed roku</t>
        </is>
      </c>
    </row>
    <row r="31">
      <c r="B31" t="inlineStr">
        <is>
          <t>Marchew</t>
        </is>
      </c>
      <c r="C31" t="n">
        <v>710.09</v>
      </c>
      <c r="D31" t="n">
        <v>531.8099999999999</v>
      </c>
      <c r="E31" t="n">
        <v>704.48</v>
      </c>
      <c r="F31">
        <f>(C31-D31)/D31*100</f>
        <v/>
      </c>
      <c r="G31">
        <f>IFERROR((C31-E31)/E31*100,"-")</f>
        <v/>
      </c>
    </row>
    <row r="32">
      <c r="B32" t="inlineStr">
        <is>
          <t>Pomidory okrągłe</t>
        </is>
      </c>
      <c r="C32" t="n">
        <v>1004.75</v>
      </c>
      <c r="D32" t="n">
        <v>1318.58</v>
      </c>
      <c r="E32" t="inlineStr">
        <is>
          <t>nld</t>
        </is>
      </c>
      <c r="F32">
        <f>(C32-D32)/D32*100</f>
        <v/>
      </c>
      <c r="G32">
        <f>IFERROR((C32-E32)/E32*100,"-")</f>
        <v/>
      </c>
    </row>
    <row r="33">
      <c r="B33" t="inlineStr">
        <is>
          <t>Pomidory na gałązkach</t>
        </is>
      </c>
      <c r="C33" t="inlineStr">
        <is>
          <t>nld</t>
        </is>
      </c>
      <c r="D33" t="inlineStr">
        <is>
          <t>nld</t>
        </is>
      </c>
      <c r="E33" t="inlineStr">
        <is>
          <t>nld</t>
        </is>
      </c>
      <c r="F33" t="inlineStr">
        <is>
          <t>*</t>
        </is>
      </c>
      <c r="G33">
        <f>IFERROR((C33-E33)/E33*100,"-")</f>
        <v/>
      </c>
    </row>
    <row r="34">
      <c r="B34" t="inlineStr">
        <is>
          <t>Pomidory typu "cherry"</t>
        </is>
      </c>
      <c r="C34" t="n">
        <v>1597.25</v>
      </c>
      <c r="D34" t="n">
        <v>2167.11</v>
      </c>
      <c r="E34" t="n">
        <v>1629.7</v>
      </c>
      <c r="F34">
        <f>(C34-D34)/D34*100</f>
        <v/>
      </c>
      <c r="G34">
        <f>IFERROR((C34-E34)/E34*100,"-")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M69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Średnie ceny zakupu jabłek (luzem) płacone przez podmioty handlu detalicznego </t>
        </is>
      </c>
    </row>
    <row r="4">
      <c r="M4">
        <f>POMOC!B5</f>
        <v/>
      </c>
    </row>
    <row r="63">
      <c r="B63" t="inlineStr">
        <is>
          <t xml:space="preserve">03.05.2026 </t>
        </is>
      </c>
      <c r="C63" s="1" t="n">
        <v>46138</v>
      </c>
    </row>
    <row r="64">
      <c r="A64" t="inlineStr">
        <is>
          <t>Gala</t>
        </is>
      </c>
      <c r="B64" t="n">
        <v>3.6367</v>
      </c>
      <c r="C64" t="n">
        <v>3.6634</v>
      </c>
    </row>
    <row r="65">
      <c r="A65" t="inlineStr">
        <is>
          <t>Golden delicious</t>
        </is>
      </c>
      <c r="B65" t="n">
        <v>3.317</v>
      </c>
      <c r="C65" t="n">
        <v>3.2624</v>
      </c>
    </row>
    <row r="66">
      <c r="A66" t="inlineStr">
        <is>
          <t>Idared</t>
        </is>
      </c>
      <c r="B66" t="n">
        <v>3.0545</v>
      </c>
      <c r="C66" t="n">
        <v>2.5346</v>
      </c>
    </row>
    <row r="67">
      <c r="A67" t="inlineStr">
        <is>
          <t>Jonagold/jonagored</t>
        </is>
      </c>
      <c r="B67" t="n">
        <v>2.6258</v>
      </c>
      <c r="C67" t="n">
        <v>2.6193</v>
      </c>
    </row>
    <row r="68">
      <c r="A68" t="inlineStr">
        <is>
          <t>Ligol</t>
        </is>
      </c>
      <c r="B68" t="n">
        <v>3.1684</v>
      </c>
      <c r="C68" t="n">
        <v>3.1319</v>
      </c>
    </row>
    <row r="69">
      <c r="A69" t="inlineStr">
        <is>
          <t>Szampion</t>
        </is>
      </c>
      <c r="B69" t="n">
        <v>2.9572</v>
      </c>
      <c r="C69" t="n">
        <v>2.7893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M63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Średnie ceny zakupu warzyw (luzem) płacone przez podmioty handlu detalicznego </t>
        </is>
      </c>
    </row>
    <row r="4">
      <c r="M4">
        <f>POMOC!B5</f>
        <v/>
      </c>
    </row>
    <row r="60">
      <c r="B60" t="inlineStr">
        <is>
          <t xml:space="preserve">03.05.2026 </t>
        </is>
      </c>
      <c r="C60" s="1" t="n">
        <v>46138</v>
      </c>
    </row>
    <row r="61">
      <c r="A61" t="inlineStr">
        <is>
          <t>Marchew</t>
        </is>
      </c>
      <c r="B61" t="n">
        <v>3.1804</v>
      </c>
      <c r="C61" t="n">
        <v>2.7496</v>
      </c>
    </row>
    <row r="62">
      <c r="A62" t="inlineStr">
        <is>
          <t>Pomidory okrągłe</t>
        </is>
      </c>
      <c r="B62" t="n">
        <v>9.4518</v>
      </c>
      <c r="C62" t="n">
        <v>13.2576</v>
      </c>
    </row>
    <row r="63">
      <c r="A63" t="inlineStr">
        <is>
          <t>Ziemniaki</t>
        </is>
      </c>
      <c r="B63" t="n">
        <v>1.0757</v>
      </c>
      <c r="C63" t="n">
        <v>1.068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:L41"/>
  <sheetViews>
    <sheetView workbookViewId="0">
      <selection activeCell="A1" sqref="A1"/>
    </sheetView>
  </sheetViews>
  <sheetFormatPr baseColWidth="8" defaultRowHeight="15"/>
  <sheetData>
    <row r="5">
      <c r="A5" t="inlineStr">
        <is>
          <t>Ogrodniczy Informator Cenowy</t>
        </is>
      </c>
      <c r="L5" t="inlineStr">
        <is>
          <t>Warszawa</t>
        </is>
      </c>
    </row>
    <row r="6">
      <c r="L6" t="inlineStr">
        <is>
          <t>4 V</t>
        </is>
      </c>
    </row>
    <row r="7">
      <c r="L7" t="inlineStr">
        <is>
          <t>2026 r.</t>
        </is>
      </c>
    </row>
    <row r="8">
      <c r="B8" t="inlineStr">
        <is>
          <t>Instytut Ekonomiki Rolnictwa i Gospodarki Żywnościowej  Państwowy Instytut Badawczy</t>
        </is>
      </c>
    </row>
    <row r="9">
      <c r="B9" t="inlineStr">
        <is>
          <t xml:space="preserve">00-950 Warszawa, ul.Świętokrzyska 20, P.O. Box  984 </t>
        </is>
      </c>
    </row>
    <row r="10">
      <c r="B10" t="inlineStr">
        <is>
          <t>tel.  (22) 505 44 32, e-mail: Tomasz.Smolenski@ierigz.waw.pl</t>
        </is>
      </c>
    </row>
    <row r="11">
      <c r="B11" t="inlineStr">
        <is>
          <t>Ceny skupu netto warzyw i owoców w spółdzielniach ogrodniczych zbierane 4 V 2026 r.</t>
        </is>
      </c>
    </row>
    <row r="12">
      <c r="B12" t="inlineStr">
        <is>
          <t>Województwo</t>
        </is>
      </c>
      <c r="C12" t="inlineStr">
        <is>
          <t>Buraki ćwikłowe</t>
        </is>
      </c>
      <c r="D12" t="inlineStr">
        <is>
          <t xml:space="preserve">Cebula </t>
        </is>
      </c>
      <c r="E12" t="inlineStr">
        <is>
          <t xml:space="preserve">Kapusta biała </t>
        </is>
      </c>
      <c r="F12" t="inlineStr">
        <is>
          <t>Kapusta włoska</t>
        </is>
      </c>
      <c r="G12" t="inlineStr">
        <is>
          <t>Kapusta pekińska</t>
        </is>
      </c>
      <c r="H12" t="inlineStr">
        <is>
          <t>Brukselka</t>
        </is>
      </c>
      <c r="I12" t="inlineStr">
        <is>
          <t>Kiszona kapusta</t>
        </is>
      </c>
    </row>
    <row r="13">
      <c r="B13" t="inlineStr">
        <is>
          <t>kujawsko-pomorskie</t>
        </is>
      </c>
      <c r="C13" t="inlineStr">
        <is>
          <t>0,52-0,60</t>
        </is>
      </c>
      <c r="D13" t="inlineStr">
        <is>
          <t>0,54-0,57</t>
        </is>
      </c>
      <c r="E13" t="inlineStr">
        <is>
          <t>0,45-0,65</t>
        </is>
      </c>
      <c r="F13" t="inlineStr">
        <is>
          <t>1,68-1,89</t>
        </is>
      </c>
      <c r="G13" t="inlineStr">
        <is>
          <t>2,69-3,25</t>
        </is>
      </c>
      <c r="H13" t="inlineStr">
        <is>
          <t>3,35-4,56</t>
        </is>
      </c>
    </row>
    <row r="14">
      <c r="B14" t="inlineStr">
        <is>
          <t>lubelskie</t>
        </is>
      </c>
      <c r="C14" t="inlineStr">
        <is>
          <t>0,51-0,58</t>
        </is>
      </c>
      <c r="D14" t="inlineStr">
        <is>
          <t>0,61-0,68</t>
        </is>
      </c>
      <c r="E14" t="inlineStr">
        <is>
          <t>0,51-0,58</t>
        </is>
      </c>
      <c r="F14" t="inlineStr">
        <is>
          <t>1,59-1,87</t>
        </is>
      </c>
      <c r="I14" t="inlineStr">
        <is>
          <t>6,35-6,89</t>
        </is>
      </c>
    </row>
    <row r="15">
      <c r="B15" t="inlineStr">
        <is>
          <t>lubelskie</t>
        </is>
      </c>
      <c r="C15" t="inlineStr">
        <is>
          <t>0,52-0,55</t>
        </is>
      </c>
      <c r="D15" t="inlineStr">
        <is>
          <t>0,54-0,57</t>
        </is>
      </c>
      <c r="E15" t="inlineStr">
        <is>
          <t>0,48-0,58</t>
        </is>
      </c>
      <c r="G15" t="inlineStr">
        <is>
          <t>2,55-2,87</t>
        </is>
      </c>
      <c r="H15" t="inlineStr">
        <is>
          <t>3,78-4,51</t>
        </is>
      </c>
    </row>
    <row r="16">
      <c r="B16" t="inlineStr">
        <is>
          <t>łódzkie</t>
        </is>
      </c>
      <c r="C16" t="inlineStr">
        <is>
          <t>0,48-0,57</t>
        </is>
      </c>
      <c r="D16" t="inlineStr">
        <is>
          <t>0,54-0,66</t>
        </is>
      </c>
      <c r="E16" t="inlineStr">
        <is>
          <t>0,57-0,63</t>
        </is>
      </c>
      <c r="F16" t="inlineStr">
        <is>
          <t>1,56-1,99</t>
        </is>
      </c>
      <c r="I16" t="inlineStr">
        <is>
          <t>6,78-7,45</t>
        </is>
      </c>
    </row>
    <row r="17">
      <c r="B17" t="inlineStr">
        <is>
          <t>łódzkie</t>
        </is>
      </c>
      <c r="C17" t="inlineStr">
        <is>
          <t>0,50-0,64</t>
        </is>
      </c>
      <c r="D17" t="inlineStr">
        <is>
          <t>0,51-0,58</t>
        </is>
      </c>
      <c r="I17" t="inlineStr">
        <is>
          <t>6,35-6,98</t>
        </is>
      </c>
    </row>
    <row r="18">
      <c r="B18" t="inlineStr">
        <is>
          <t>małopol.</t>
        </is>
      </c>
      <c r="C18" t="inlineStr">
        <is>
          <t>0,47-0,56</t>
        </is>
      </c>
      <c r="D18" t="inlineStr">
        <is>
          <t>0,55-0,66</t>
        </is>
      </c>
      <c r="E18" t="inlineStr">
        <is>
          <t>0,48-0,59</t>
        </is>
      </c>
      <c r="F18" t="inlineStr">
        <is>
          <t>1,78-2,70</t>
        </is>
      </c>
      <c r="I18" t="inlineStr">
        <is>
          <t>6,65-7,36</t>
        </is>
      </c>
    </row>
    <row r="19">
      <c r="B19" t="inlineStr">
        <is>
          <t>małopol.</t>
        </is>
      </c>
      <c r="C19" t="inlineStr">
        <is>
          <t>0,50-0,55</t>
        </is>
      </c>
      <c r="D19" t="inlineStr">
        <is>
          <t>0,56-0,62</t>
        </is>
      </c>
      <c r="I19" t="inlineStr">
        <is>
          <t>5,94-6,89</t>
        </is>
      </c>
    </row>
    <row r="20">
      <c r="B20" t="inlineStr">
        <is>
          <t>małopol.</t>
        </is>
      </c>
      <c r="C20" t="inlineStr">
        <is>
          <t>0,51-0,56</t>
        </is>
      </c>
      <c r="D20" t="inlineStr">
        <is>
          <t>0,52-0,60</t>
        </is>
      </c>
      <c r="E20" t="inlineStr">
        <is>
          <t>0,46-0,57</t>
        </is>
      </c>
      <c r="H20" t="inlineStr">
        <is>
          <t>3,65-3,89</t>
        </is>
      </c>
      <c r="I20" t="inlineStr">
        <is>
          <t>5,98-6,77</t>
        </is>
      </c>
    </row>
    <row r="21">
      <c r="B21" t="inlineStr">
        <is>
          <t>małopol.</t>
        </is>
      </c>
      <c r="C21" t="inlineStr">
        <is>
          <t>0,50-0,62</t>
        </is>
      </c>
      <c r="D21" t="inlineStr">
        <is>
          <t>0,53-0,57</t>
        </is>
      </c>
      <c r="F21" t="inlineStr">
        <is>
          <t>1,88-2,40</t>
        </is>
      </c>
      <c r="G21" t="inlineStr">
        <is>
          <t>2,50-2,98</t>
        </is>
      </c>
    </row>
    <row r="22">
      <c r="B22" t="inlineStr">
        <is>
          <t>mazowiec.</t>
        </is>
      </c>
      <c r="C22" t="inlineStr">
        <is>
          <t>0,48-0,54</t>
        </is>
      </c>
      <c r="D22" t="inlineStr">
        <is>
          <t>0,58-0,63</t>
        </is>
      </c>
      <c r="E22" t="inlineStr">
        <is>
          <t>0,51-0,59</t>
        </is>
      </c>
      <c r="F22" t="inlineStr">
        <is>
          <t>1,88-2,45</t>
        </is>
      </c>
      <c r="G22" t="inlineStr">
        <is>
          <t>2,78-3,22</t>
        </is>
      </c>
      <c r="H22" t="inlineStr">
        <is>
          <t>3,45-3,87</t>
        </is>
      </c>
      <c r="I22" t="inlineStr">
        <is>
          <t>7,23-7,90</t>
        </is>
      </c>
    </row>
    <row r="23">
      <c r="B23" t="inlineStr">
        <is>
          <t>podkarp.</t>
        </is>
      </c>
      <c r="C23" t="inlineStr">
        <is>
          <t>0,54-0,66</t>
        </is>
      </c>
      <c r="D23" t="inlineStr">
        <is>
          <t>0,47-0,56</t>
        </is>
      </c>
      <c r="I23" t="inlineStr">
        <is>
          <t>6,58-7,69</t>
        </is>
      </c>
    </row>
    <row r="24">
      <c r="B24" t="inlineStr">
        <is>
          <t>podkarp.</t>
        </is>
      </c>
      <c r="C24" t="inlineStr">
        <is>
          <t>0,55-0,65</t>
        </is>
      </c>
      <c r="D24" t="inlineStr">
        <is>
          <t>0,48-0,55</t>
        </is>
      </c>
      <c r="H24" t="inlineStr">
        <is>
          <t>3,66-4,36</t>
        </is>
      </c>
    </row>
    <row r="25">
      <c r="C25" t="inlineStr">
        <is>
          <t>0,48-0,66</t>
        </is>
      </c>
      <c r="D25" t="inlineStr">
        <is>
          <t>0,47-0,68</t>
        </is>
      </c>
      <c r="E25" t="inlineStr">
        <is>
          <t>0,45-0,65</t>
        </is>
      </c>
      <c r="F25" t="inlineStr">
        <is>
          <t>1,56-2,70</t>
        </is>
      </c>
      <c r="G25" t="inlineStr">
        <is>
          <t>2,50-3,25</t>
        </is>
      </c>
      <c r="H25" t="inlineStr">
        <is>
          <t>3,35-4,68</t>
        </is>
      </c>
      <c r="I25" t="inlineStr">
        <is>
          <t>5,94-7,90</t>
        </is>
      </c>
    </row>
    <row r="26">
      <c r="B26" t="inlineStr">
        <is>
          <t>dwa tygodnie temu</t>
        </is>
      </c>
      <c r="C26" t="inlineStr">
        <is>
          <t>0,49-0,67</t>
        </is>
      </c>
      <c r="D26" t="inlineStr">
        <is>
          <t>0,48-0,69</t>
        </is>
      </c>
      <c r="E26" t="inlineStr">
        <is>
          <t>0,45-0,64</t>
        </is>
      </c>
      <c r="F26" t="inlineStr">
        <is>
          <t>1,66-2,66</t>
        </is>
      </c>
      <c r="G26" t="inlineStr">
        <is>
          <t>2,45-3,10</t>
        </is>
      </c>
      <c r="H26" t="inlineStr">
        <is>
          <t>3,51-4,70</t>
        </is>
      </c>
      <c r="I26" t="inlineStr">
        <is>
          <t>5,98-7,98</t>
        </is>
      </c>
    </row>
    <row r="27">
      <c r="B27" t="inlineStr">
        <is>
          <t>rok temu</t>
        </is>
      </c>
      <c r="C27" t="inlineStr">
        <is>
          <t>0,69-0,87</t>
        </is>
      </c>
      <c r="D27" t="inlineStr">
        <is>
          <t>0,89-1,10</t>
        </is>
      </c>
      <c r="E27" t="inlineStr">
        <is>
          <t>0,69-0,98</t>
        </is>
      </c>
      <c r="F27" t="inlineStr">
        <is>
          <t>1,88-2,74</t>
        </is>
      </c>
      <c r="G27" t="inlineStr">
        <is>
          <t>2,75-3,65</t>
        </is>
      </c>
      <c r="H27" t="inlineStr">
        <is>
          <t>3,45-4,98</t>
        </is>
      </c>
      <c r="I27" t="inlineStr">
        <is>
          <t>6,45-8,33</t>
        </is>
      </c>
    </row>
    <row r="29">
      <c r="B29" t="inlineStr">
        <is>
          <t>Województwo</t>
        </is>
      </c>
      <c r="C29" t="inlineStr">
        <is>
          <t>Marchew  (myta)</t>
        </is>
      </c>
      <c r="D29" t="inlineStr">
        <is>
          <t>Pieczarki</t>
        </is>
      </c>
      <c r="E29" t="inlineStr">
        <is>
          <t>Pietruszka</t>
        </is>
      </c>
      <c r="F29" t="inlineStr">
        <is>
          <t>Pory</t>
        </is>
      </c>
      <c r="G29" t="inlineStr">
        <is>
          <t>Czosnek/a</t>
        </is>
      </c>
      <c r="H29" t="inlineStr">
        <is>
          <t>Rzodkiewka/b</t>
        </is>
      </c>
      <c r="I29" t="inlineStr">
        <is>
          <t>Selery</t>
        </is>
      </c>
    </row>
    <row r="30">
      <c r="B30" t="inlineStr">
        <is>
          <t>kujawsko-pomorskie</t>
        </is>
      </c>
      <c r="C30" t="inlineStr">
        <is>
          <t>0,56-0,87</t>
        </is>
      </c>
      <c r="D30" t="inlineStr">
        <is>
          <t>5,65-5,98</t>
        </is>
      </c>
      <c r="E30" t="inlineStr">
        <is>
          <t>1,94-2,68</t>
        </is>
      </c>
      <c r="F30" t="inlineStr">
        <is>
          <t>2,56-2,66</t>
        </is>
      </c>
      <c r="G30" t="inlineStr">
        <is>
          <t>0,65-0,78</t>
        </is>
      </c>
      <c r="H30" t="inlineStr">
        <is>
          <t>1,56-1,89</t>
        </is>
      </c>
      <c r="I30" t="inlineStr">
        <is>
          <t>0,75-0,92</t>
        </is>
      </c>
    </row>
    <row r="31">
      <c r="B31" t="inlineStr">
        <is>
          <t>lubelskie</t>
        </is>
      </c>
      <c r="C31" t="inlineStr">
        <is>
          <t>0,64-0,77</t>
        </is>
      </c>
      <c r="D31" t="inlineStr">
        <is>
          <t>6,45-7,89</t>
        </is>
      </c>
      <c r="E31" t="inlineStr">
        <is>
          <t>2,56-2,78</t>
        </is>
      </c>
      <c r="F31" t="inlineStr">
        <is>
          <t>2,77-2,98</t>
        </is>
      </c>
      <c r="G31" t="inlineStr">
        <is>
          <t>0,84-0,90</t>
        </is>
      </c>
      <c r="I31" t="inlineStr">
        <is>
          <t>0,85-0,99</t>
        </is>
      </c>
    </row>
    <row r="32">
      <c r="B32" t="inlineStr">
        <is>
          <t>małopol.</t>
        </is>
      </c>
      <c r="C32" t="inlineStr">
        <is>
          <t>0,56-0,65</t>
        </is>
      </c>
      <c r="D32" t="inlineStr">
        <is>
          <t>7,56-8,66</t>
        </is>
      </c>
      <c r="E32" t="inlineStr">
        <is>
          <t>2,25-2,69</t>
        </is>
      </c>
      <c r="F32" t="inlineStr">
        <is>
          <t>2,69-3,15</t>
        </is>
      </c>
      <c r="H32" t="inlineStr">
        <is>
          <t>1,78-1,99</t>
        </is>
      </c>
      <c r="I32" t="inlineStr">
        <is>
          <t>0,84-0,96</t>
        </is>
      </c>
    </row>
    <row r="33">
      <c r="B33" t="inlineStr">
        <is>
          <t>małopol.</t>
        </is>
      </c>
      <c r="C33" t="inlineStr">
        <is>
          <t>0,64-0,73</t>
        </is>
      </c>
      <c r="D33" t="inlineStr">
        <is>
          <t>7,23-8,63</t>
        </is>
      </c>
      <c r="E33" t="inlineStr">
        <is>
          <t>2,45-2,98</t>
        </is>
      </c>
      <c r="F33" t="inlineStr">
        <is>
          <t>2,48-2,89</t>
        </is>
      </c>
      <c r="G33" t="inlineStr">
        <is>
          <t>0,75-0,96</t>
        </is>
      </c>
      <c r="I33" t="inlineStr">
        <is>
          <t>0,82-0,91</t>
        </is>
      </c>
    </row>
    <row r="34">
      <c r="B34" t="inlineStr">
        <is>
          <t>mazowiec.</t>
        </is>
      </c>
      <c r="C34" t="inlineStr">
        <is>
          <t>0,71-0,88</t>
        </is>
      </c>
      <c r="D34" t="inlineStr">
        <is>
          <t>7,68-8,36</t>
        </is>
      </c>
      <c r="E34" t="inlineStr">
        <is>
          <t>2,10-2,45</t>
        </is>
      </c>
      <c r="F34" t="inlineStr">
        <is>
          <t>2,88-3,12</t>
        </is>
      </c>
      <c r="G34" t="inlineStr">
        <is>
          <t>0,89-0,93</t>
        </is>
      </c>
      <c r="H34" t="inlineStr">
        <is>
          <t>1,98-2,10</t>
        </is>
      </c>
      <c r="I34" t="inlineStr">
        <is>
          <t>0,88-0,97</t>
        </is>
      </c>
    </row>
    <row r="35">
      <c r="B35" t="inlineStr">
        <is>
          <t>mazowiec.</t>
        </is>
      </c>
      <c r="C35" t="inlineStr">
        <is>
          <t>0,75-0,79</t>
        </is>
      </c>
      <c r="D35" t="inlineStr">
        <is>
          <t>7,25-8,45</t>
        </is>
      </c>
      <c r="E35" t="inlineStr">
        <is>
          <t>2,35-2,88</t>
        </is>
      </c>
      <c r="F35" t="inlineStr">
        <is>
          <t>2,65-3,10</t>
        </is>
      </c>
      <c r="G35" t="inlineStr">
        <is>
          <t>0,76-0,88</t>
        </is>
      </c>
      <c r="H35" t="inlineStr">
        <is>
          <t>1,68-1,98</t>
        </is>
      </c>
      <c r="I35" t="inlineStr">
        <is>
          <t>0,78-0,88</t>
        </is>
      </c>
    </row>
    <row r="36">
      <c r="B36" t="inlineStr">
        <is>
          <t>podkarp.</t>
        </is>
      </c>
      <c r="C36" t="inlineStr">
        <is>
          <t>0,88-0,93</t>
        </is>
      </c>
      <c r="D36" t="inlineStr">
        <is>
          <t>5,69-6,89</t>
        </is>
      </c>
      <c r="E36" t="inlineStr">
        <is>
          <t>2,45-2,95</t>
        </is>
      </c>
      <c r="F36" t="inlineStr">
        <is>
          <t>2,55-2,87</t>
        </is>
      </c>
      <c r="I36" t="inlineStr">
        <is>
          <t>0,70-0,88</t>
        </is>
      </c>
    </row>
    <row r="37">
      <c r="B37" t="inlineStr">
        <is>
          <t>podkarp.</t>
        </is>
      </c>
      <c r="C37" t="inlineStr">
        <is>
          <t>0,88-0,90</t>
        </is>
      </c>
      <c r="D37" t="inlineStr">
        <is>
          <t>6,32-6,86</t>
        </is>
      </c>
      <c r="E37" t="inlineStr">
        <is>
          <t>2,34-2,87</t>
        </is>
      </c>
      <c r="F37" t="inlineStr">
        <is>
          <t>2,65-2,98</t>
        </is>
      </c>
      <c r="G37" t="inlineStr">
        <is>
          <t>0,79-1,10</t>
        </is>
      </c>
      <c r="H37" t="inlineStr">
        <is>
          <t>1,45-1,66</t>
        </is>
      </c>
      <c r="I37" t="inlineStr">
        <is>
          <t>0,64-0,78</t>
        </is>
      </c>
    </row>
    <row r="38">
      <c r="B38" t="inlineStr">
        <is>
          <t>Cena średnia</t>
        </is>
      </c>
      <c r="C38" t="inlineStr">
        <is>
          <t>0,56-0,93</t>
        </is>
      </c>
      <c r="D38" t="inlineStr">
        <is>
          <t>5,65-8,66</t>
        </is>
      </c>
      <c r="E38" t="inlineStr">
        <is>
          <t>1,94-2,95</t>
        </is>
      </c>
      <c r="F38" t="inlineStr">
        <is>
          <t>2,48-3,15</t>
        </is>
      </c>
      <c r="G38" t="inlineStr">
        <is>
          <t>0,65-1,10</t>
        </is>
      </c>
      <c r="H38" t="inlineStr">
        <is>
          <t>1,45-2,10</t>
        </is>
      </c>
      <c r="I38" t="inlineStr">
        <is>
          <t>0,64-0,99</t>
        </is>
      </c>
    </row>
    <row r="39">
      <c r="B39" t="inlineStr">
        <is>
          <t>dwa tygodnie temu</t>
        </is>
      </c>
      <c r="C39" t="inlineStr">
        <is>
          <t>0,64-0,99</t>
        </is>
      </c>
      <c r="D39" t="inlineStr">
        <is>
          <t>4,89-8,45</t>
        </is>
      </c>
      <c r="E39" t="inlineStr">
        <is>
          <t>1,89-2,99</t>
        </is>
      </c>
      <c r="F39" t="inlineStr">
        <is>
          <t>2,45-3,25</t>
        </is>
      </c>
      <c r="G39" t="inlineStr">
        <is>
          <t>0,75-0,98</t>
        </is>
      </c>
      <c r="H39" t="inlineStr">
        <is>
          <t>1,35-1,98</t>
        </is>
      </c>
      <c r="I39" t="inlineStr">
        <is>
          <t>0,66-0,97</t>
        </is>
      </c>
    </row>
    <row r="40">
      <c r="B40" t="inlineStr">
        <is>
          <t>rok temu</t>
        </is>
      </c>
      <c r="C40" t="inlineStr">
        <is>
          <t>0,89-1,25</t>
        </is>
      </c>
      <c r="D40" t="inlineStr">
        <is>
          <t>6,98-9,23</t>
        </is>
      </c>
      <c r="E40" t="inlineStr">
        <is>
          <t>1,89-3,15</t>
        </is>
      </c>
      <c r="F40" t="inlineStr">
        <is>
          <t>2,68-3,45</t>
        </is>
      </c>
      <c r="G40" t="inlineStr">
        <is>
          <t>0,87-1,25</t>
        </is>
      </c>
      <c r="H40" t="inlineStr">
        <is>
          <t>1,56-1,98</t>
        </is>
      </c>
      <c r="I40" t="inlineStr">
        <is>
          <t>0,78-1,25</t>
        </is>
      </c>
    </row>
    <row r="41">
      <c r="B41" t="inlineStr">
        <is>
          <t>a/sztuka,b/peczek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Ogrodniczy Informator Cenowy</t>
        </is>
      </c>
    </row>
    <row r="4">
      <c r="A4" t="inlineStr">
        <is>
          <t>Instytut Ekonomiki Rolnictwa i Gospodarki Żywnościowej - Państwowy Instytut Badawczy</t>
        </is>
      </c>
    </row>
    <row r="5">
      <c r="A5" t="inlineStr">
        <is>
          <t xml:space="preserve">Zakład Ekonomiki Gospodarstw Rolnych i Ogrodniczych </t>
        </is>
      </c>
    </row>
    <row r="6">
      <c r="A6" t="inlineStr">
        <is>
          <t xml:space="preserve">00-950 Warszawa, ul.Świętokrzyska 20, P.O. Box  984 </t>
        </is>
      </c>
    </row>
    <row r="7">
      <c r="A7" t="inlineStr">
        <is>
          <t>Ceny skupu netto w zakładach przetwórczych i chłodniach zbierane 4 V 2026 r. (zł/kg)</t>
        </is>
      </c>
    </row>
    <row r="8">
      <c r="J8" t="inlineStr">
        <is>
          <t>Jabłka</t>
        </is>
      </c>
      <c r="N8" t="inlineStr">
        <is>
          <t>Cebula</t>
        </is>
      </c>
      <c r="O8" t="inlineStr">
        <is>
          <t>Buraki</t>
        </is>
      </c>
      <c r="Y8" t="inlineStr">
        <is>
          <t>Pory</t>
        </is>
      </c>
      <c r="Z8" t="inlineStr">
        <is>
          <t>Kapusta</t>
        </is>
      </c>
      <c r="AA8" t="inlineStr">
        <is>
          <t>Marchew</t>
        </is>
      </c>
      <c r="AB8" t="inlineStr">
        <is>
          <t>Jabłka</t>
        </is>
      </c>
    </row>
    <row r="9">
      <c r="J9" t="inlineStr">
        <is>
          <t>przemysłowe</t>
        </is>
      </c>
      <c r="N9" t="inlineStr">
        <is>
          <t>obrana</t>
        </is>
      </c>
      <c r="O9" t="inlineStr">
        <is>
          <t>ćwikłowe</t>
        </is>
      </c>
      <c r="Z9" t="inlineStr">
        <is>
          <t>biała</t>
        </is>
      </c>
      <c r="AA9" t="inlineStr">
        <is>
          <t>na plastry</t>
        </is>
      </c>
      <c r="AB9" t="inlineStr">
        <is>
          <t>przemyslowe</t>
        </is>
      </c>
    </row>
    <row r="10">
      <c r="A10" t="inlineStr">
        <is>
          <t>kujawsko-pomor.</t>
        </is>
      </c>
    </row>
    <row r="11">
      <c r="A11" t="inlineStr">
        <is>
          <t>kujawsko-pomor.</t>
        </is>
      </c>
      <c r="N11" t="inlineStr">
        <is>
          <t>1,15lz-1,20lz</t>
        </is>
      </c>
    </row>
    <row r="12">
      <c r="A12" t="inlineStr">
        <is>
          <t>kujawsko-pomor.</t>
        </is>
      </c>
    </row>
    <row r="13">
      <c r="A13" t="inlineStr">
        <is>
          <t>kujawsko-pomor.</t>
        </is>
      </c>
      <c r="N13" t="inlineStr">
        <is>
          <t>1,15lz-1,20lz</t>
        </is>
      </c>
      <c r="O13" t="inlineStr">
        <is>
          <t>0,60lz-0,63lz</t>
        </is>
      </c>
      <c r="Y13" t="inlineStr">
        <is>
          <t>1,20lz</t>
        </is>
      </c>
      <c r="Z13" t="inlineStr">
        <is>
          <t>0,50-0,60lz</t>
        </is>
      </c>
      <c r="AA13" t="inlineStr">
        <is>
          <t>0,60lz-0,65lz</t>
        </is>
      </c>
    </row>
    <row r="14">
      <c r="A14" t="inlineStr">
        <is>
          <t>lubelskie</t>
        </is>
      </c>
      <c r="J14" t="inlineStr">
        <is>
          <t>0,32-0,36lz</t>
        </is>
      </c>
      <c r="AB14" t="inlineStr">
        <is>
          <t>0,60lz-0,70lz</t>
        </is>
      </c>
    </row>
    <row r="15">
      <c r="A15" t="inlineStr">
        <is>
          <t>lubelskie</t>
        </is>
      </c>
      <c r="O15" t="inlineStr">
        <is>
          <t>0,55-0,60lz</t>
        </is>
      </c>
    </row>
    <row r="16">
      <c r="A16" t="inlineStr">
        <is>
          <t>lubelskie</t>
        </is>
      </c>
      <c r="N16" t="inlineStr">
        <is>
          <t>1,18lz-1,20lz</t>
        </is>
      </c>
      <c r="AA16" t="inlineStr">
        <is>
          <t>0,60lz/k</t>
        </is>
      </c>
      <c r="AB16" t="inlineStr">
        <is>
          <t>0,60lz-0,90lz-1,20lz</t>
        </is>
      </c>
    </row>
    <row r="17">
      <c r="A17" t="inlineStr">
        <is>
          <t>lubelskie</t>
        </is>
      </c>
      <c r="Y17" t="inlineStr">
        <is>
          <t>1,12lz-1,17lz</t>
        </is>
      </c>
      <c r="Z17" t="inlineStr">
        <is>
          <t>0,55-0,60lz-0,65lz</t>
        </is>
      </c>
      <c r="AB17" t="inlineStr">
        <is>
          <t>0,65lz-0,75lz</t>
        </is>
      </c>
    </row>
    <row r="18">
      <c r="A18" t="inlineStr">
        <is>
          <t>lubelskie</t>
        </is>
      </c>
    </row>
    <row r="19">
      <c r="A19" t="inlineStr">
        <is>
          <t>lubuskie</t>
        </is>
      </c>
      <c r="Z19" t="inlineStr">
        <is>
          <t>0,65lz</t>
        </is>
      </c>
    </row>
    <row r="20">
      <c r="A20" t="inlineStr">
        <is>
          <t>łódzkie</t>
        </is>
      </c>
      <c r="AA20" t="inlineStr">
        <is>
          <t>0,60lz-0,65lz</t>
        </is>
      </c>
      <c r="AB20" t="inlineStr">
        <is>
          <t>0,60lz-0,70lz</t>
        </is>
      </c>
    </row>
    <row r="21">
      <c r="A21" t="inlineStr">
        <is>
          <t>łódzkie</t>
        </is>
      </c>
      <c r="Y21" t="inlineStr">
        <is>
          <t>1,10lz-1,20lz</t>
        </is>
      </c>
    </row>
    <row r="22">
      <c r="A22" t="inlineStr">
        <is>
          <t>małopolskie</t>
        </is>
      </c>
      <c r="J22" t="inlineStr">
        <is>
          <t>0,31-0,35lz</t>
        </is>
      </c>
      <c r="N22" t="inlineStr">
        <is>
          <t>1,10-1,25lz-1,30lz</t>
        </is>
      </c>
      <c r="O22" t="inlineStr">
        <is>
          <t>0,50-0,65lz</t>
        </is>
      </c>
    </row>
    <row r="23">
      <c r="A23" t="inlineStr">
        <is>
          <t>mazowieckie</t>
        </is>
      </c>
      <c r="AB23" t="inlineStr">
        <is>
          <t>0,65lz-0,90lz-1,15lz-1,20lz</t>
        </is>
      </c>
    </row>
    <row r="24">
      <c r="A24" t="inlineStr">
        <is>
          <t>mazowieckie</t>
        </is>
      </c>
      <c r="J24" t="inlineStr">
        <is>
          <t>0,32-0,35lz</t>
        </is>
      </c>
    </row>
    <row r="25">
      <c r="A25" t="inlineStr">
        <is>
          <t>podkarpackie</t>
        </is>
      </c>
    </row>
    <row r="26">
      <c r="A26" t="inlineStr">
        <is>
          <t>podkarpackie</t>
        </is>
      </c>
    </row>
    <row r="27">
      <c r="A27" t="inlineStr">
        <is>
          <t>podlaskie</t>
        </is>
      </c>
      <c r="J27" t="inlineStr">
        <is>
          <t>0,36lz</t>
        </is>
      </c>
    </row>
    <row r="28">
      <c r="A28" t="inlineStr">
        <is>
          <t>podlaskie</t>
        </is>
      </c>
    </row>
    <row r="29">
      <c r="A29" t="inlineStr">
        <is>
          <t>śląskie</t>
        </is>
      </c>
    </row>
    <row r="30">
      <c r="A30" t="inlineStr">
        <is>
          <t>świętokrzyskie</t>
        </is>
      </c>
      <c r="Z30" t="inlineStr">
        <is>
          <t>0,55lz-0,60lz</t>
        </is>
      </c>
    </row>
    <row r="31">
      <c r="A31" t="inlineStr">
        <is>
          <t>wielkopolskie</t>
        </is>
      </c>
      <c r="N31" t="inlineStr">
        <is>
          <t>1,00-1,25lz</t>
        </is>
      </c>
    </row>
    <row r="32">
      <c r="A32" t="inlineStr">
        <is>
          <t>wielkopolskie</t>
        </is>
      </c>
      <c r="N32" t="inlineStr">
        <is>
          <t>1,10lz-1,27lz</t>
        </is>
      </c>
    </row>
    <row r="33">
      <c r="A33" t="inlineStr">
        <is>
          <t>zachodnio-pomor.</t>
        </is>
      </c>
    </row>
    <row r="35">
      <c r="A35" t="inlineStr">
        <is>
          <t>średnio</t>
        </is>
      </c>
      <c r="J35" t="inlineStr">
        <is>
          <t>0,32-0,36lz</t>
        </is>
      </c>
      <c r="N35" t="inlineStr">
        <is>
          <t>1,00-1,10-1,10lz-1,30lz</t>
        </is>
      </c>
      <c r="O35" t="inlineStr">
        <is>
          <t>0,50-0,55-0,60lz-0,65lz</t>
        </is>
      </c>
      <c r="Y35" t="inlineStr">
        <is>
          <t>1,10lz-1,20lz</t>
        </is>
      </c>
      <c r="Z35" t="inlineStr">
        <is>
          <t>0,50-0,55-0,60lz-0,65lz</t>
        </is>
      </c>
      <c r="AA35" t="inlineStr">
        <is>
          <t>0,60lz-0,65lz</t>
        </is>
      </c>
      <c r="AB35" t="inlineStr">
        <is>
          <t>0,60lz-0,75lz/na sok-0,90lz-1,20lz/do obierania</t>
        </is>
      </c>
    </row>
    <row r="37">
      <c r="A37" t="inlineStr">
        <is>
          <t>tydzień temu</t>
        </is>
      </c>
      <c r="J37" t="inlineStr">
        <is>
          <t>0,32-0,36lz</t>
        </is>
      </c>
      <c r="N37" t="inlineStr">
        <is>
          <t>1,00lz-1,27lz</t>
        </is>
      </c>
      <c r="O37" t="inlineStr">
        <is>
          <t>0,56-0,60lz-0,65lz</t>
        </is>
      </c>
      <c r="Y37" t="inlineStr">
        <is>
          <t>1,10lz-1,20lz</t>
        </is>
      </c>
      <c r="Z37" t="inlineStr">
        <is>
          <t>0,55-0,60lz-0,65lz</t>
        </is>
      </c>
      <c r="AA37" t="inlineStr">
        <is>
          <t>0,55-0,60lz-0,70lz</t>
        </is>
      </c>
      <c r="AB37" t="inlineStr">
        <is>
          <t>0,60lz-0,75lz/na sok-0,90lz-1,20lz/do obierania</t>
        </is>
      </c>
    </row>
    <row r="39">
      <c r="A39" t="inlineStr">
        <is>
          <t>rok temu</t>
        </is>
      </c>
      <c r="J39" t="inlineStr">
        <is>
          <t>0,27-0,33lz</t>
        </is>
      </c>
      <c r="N39" t="inlineStr">
        <is>
          <t>1,54lz-1,75lz</t>
        </is>
      </c>
      <c r="O39" t="inlineStr">
        <is>
          <t>0,70lz-0,85lz</t>
        </is>
      </c>
      <c r="Y39" t="inlineStr">
        <is>
          <t>1,40-1,40lz-1,60lz</t>
        </is>
      </c>
      <c r="Z39" t="inlineStr">
        <is>
          <t>0,90lz-1,20lz</t>
        </is>
      </c>
      <c r="AA39" t="inlineStr">
        <is>
          <t>0,95lz-1,15lz</t>
        </is>
      </c>
      <c r="AB39" t="inlineStr">
        <is>
          <t>1,00lz-1,25lz, 1,40lz-1,60lz/do obierania</t>
        </is>
      </c>
    </row>
    <row r="72">
      <c r="A72" t="inlineStr">
        <is>
          <t>lz/ cena loco zakład, k/kontraktacja,kl.I/klasa I, kl.II/klasa II,extra/klasa ekstra,m/"mokry" przemysł,s/ "suchy" przemysł,W/Węgierka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5:Z44"/>
  <sheetViews>
    <sheetView workbookViewId="0">
      <selection activeCell="A1" sqref="A1"/>
    </sheetView>
  </sheetViews>
  <sheetFormatPr baseColWidth="8" defaultRowHeight="15"/>
  <sheetData>
    <row r="5">
      <c r="A5" t="inlineStr">
        <is>
          <t>Ogrodniczy Informator Cenowy</t>
        </is>
      </c>
    </row>
    <row r="8">
      <c r="A8" t="inlineStr">
        <is>
          <t>Instytut Ekonomiki Rolnictwa i Gospodarki Żywnościowej - Państwowy Instytut Badawczy</t>
        </is>
      </c>
    </row>
    <row r="9">
      <c r="A9" t="inlineStr">
        <is>
          <t xml:space="preserve">Zakład Ekonomiki Gospodarstw Rolnych i Ogrodniczych </t>
        </is>
      </c>
    </row>
    <row r="10">
      <c r="A10" t="inlineStr">
        <is>
          <t xml:space="preserve">00-950 Warszawa, ul.Świętokrzyska 20, P.O. Box  984 </t>
        </is>
      </c>
    </row>
    <row r="12">
      <c r="A12" t="inlineStr">
        <is>
          <t>Ceny skupu netto w zakładach przetwórczych i chłodniach zbierane 4 V 2026 r. (zł/kg)</t>
        </is>
      </c>
    </row>
    <row r="13">
      <c r="J13" t="inlineStr">
        <is>
          <t>Jabłka</t>
        </is>
      </c>
      <c r="N13" t="inlineStr">
        <is>
          <t>Cebula</t>
        </is>
      </c>
      <c r="O13" t="inlineStr">
        <is>
          <t>Buraki</t>
        </is>
      </c>
      <c r="W13" t="inlineStr">
        <is>
          <t>Pory</t>
        </is>
      </c>
      <c r="X13" t="inlineStr">
        <is>
          <t>Kapusta</t>
        </is>
      </c>
      <c r="Y13" t="inlineStr">
        <is>
          <t>Marchew</t>
        </is>
      </c>
      <c r="Z13" t="inlineStr">
        <is>
          <t>Jabłka</t>
        </is>
      </c>
    </row>
    <row r="14">
      <c r="J14" t="inlineStr">
        <is>
          <t>przemysłowe</t>
        </is>
      </c>
      <c r="N14" t="inlineStr">
        <is>
          <t>obrana</t>
        </is>
      </c>
      <c r="O14" t="inlineStr">
        <is>
          <t>ćwikłowe</t>
        </is>
      </c>
      <c r="X14" t="inlineStr">
        <is>
          <t>biała</t>
        </is>
      </c>
      <c r="Y14" t="inlineStr">
        <is>
          <t>na plastry</t>
        </is>
      </c>
      <c r="Z14" t="inlineStr">
        <is>
          <t>przemyslowe</t>
        </is>
      </c>
    </row>
    <row r="15">
      <c r="A15" t="inlineStr">
        <is>
          <t>kujawsko-pomor.</t>
        </is>
      </c>
    </row>
    <row r="16">
      <c r="A16" t="inlineStr">
        <is>
          <t>kujawsko-pomor.</t>
        </is>
      </c>
      <c r="N16" t="inlineStr">
        <is>
          <t>1,15lz-1,20lz</t>
        </is>
      </c>
    </row>
    <row r="17">
      <c r="A17" t="inlineStr">
        <is>
          <t>kujawsko-pomor.</t>
        </is>
      </c>
    </row>
    <row r="18">
      <c r="A18" t="inlineStr">
        <is>
          <t>kujawsko-pomor.</t>
        </is>
      </c>
      <c r="N18" t="inlineStr">
        <is>
          <t>1,15lz-1,20lz</t>
        </is>
      </c>
      <c r="O18" t="inlineStr">
        <is>
          <t>0,60lz-0,63lz</t>
        </is>
      </c>
      <c r="W18" t="inlineStr">
        <is>
          <t>1,20lz</t>
        </is>
      </c>
      <c r="X18" t="inlineStr">
        <is>
          <t>0,50-0,60lz</t>
        </is>
      </c>
      <c r="Y18" t="inlineStr">
        <is>
          <t>0,60lz-0,65lz</t>
        </is>
      </c>
    </row>
    <row r="19">
      <c r="A19" t="inlineStr">
        <is>
          <t>lubelskie</t>
        </is>
      </c>
      <c r="J19" t="inlineStr">
        <is>
          <t>0,32-0,36lz</t>
        </is>
      </c>
      <c r="Z19" t="inlineStr">
        <is>
          <t>0,60lz-0,70lz</t>
        </is>
      </c>
    </row>
    <row r="20">
      <c r="A20" t="inlineStr">
        <is>
          <t>lubelskie</t>
        </is>
      </c>
      <c r="O20" t="inlineStr">
        <is>
          <t>0,55-0,60lz</t>
        </is>
      </c>
    </row>
    <row r="21">
      <c r="A21" t="inlineStr">
        <is>
          <t>lubelskie</t>
        </is>
      </c>
      <c r="N21" t="inlineStr">
        <is>
          <t>1,18lz-1,20lz</t>
        </is>
      </c>
      <c r="Y21" t="inlineStr">
        <is>
          <t>0,60lz/k</t>
        </is>
      </c>
      <c r="Z21" t="inlineStr">
        <is>
          <t>0,60lz-0,90lz-1,20lz</t>
        </is>
      </c>
    </row>
    <row r="22">
      <c r="A22" t="inlineStr">
        <is>
          <t>lubelskie</t>
        </is>
      </c>
      <c r="W22" t="inlineStr">
        <is>
          <t>1,12lz-1,17lz</t>
        </is>
      </c>
      <c r="X22" t="inlineStr">
        <is>
          <t>0,55-0,60lz-0,65lz</t>
        </is>
      </c>
      <c r="Z22" t="inlineStr">
        <is>
          <t>0,65lz-0,75lz</t>
        </is>
      </c>
    </row>
    <row r="23">
      <c r="A23" t="inlineStr">
        <is>
          <t>lubelskie</t>
        </is>
      </c>
    </row>
    <row r="24">
      <c r="A24" t="inlineStr">
        <is>
          <t>lubuskie</t>
        </is>
      </c>
      <c r="X24" t="inlineStr">
        <is>
          <t>0,65lz</t>
        </is>
      </c>
    </row>
    <row r="25">
      <c r="A25" t="inlineStr">
        <is>
          <t>łódzkie</t>
        </is>
      </c>
      <c r="Y25" t="inlineStr">
        <is>
          <t>0,60lz-0,65lz</t>
        </is>
      </c>
      <c r="Z25" t="inlineStr">
        <is>
          <t>0,60lz-0,70lz</t>
        </is>
      </c>
    </row>
    <row r="26">
      <c r="A26" t="inlineStr">
        <is>
          <t>łódzkie</t>
        </is>
      </c>
      <c r="W26" t="inlineStr">
        <is>
          <t>1,10lz-1,20lz</t>
        </is>
      </c>
    </row>
    <row r="27">
      <c r="A27" t="inlineStr">
        <is>
          <t>małopolskie</t>
        </is>
      </c>
      <c r="J27" t="inlineStr">
        <is>
          <t>0,31-0,35lz</t>
        </is>
      </c>
      <c r="N27" t="inlineStr">
        <is>
          <t>1,10-1,25lz-1,30lz</t>
        </is>
      </c>
      <c r="O27" t="inlineStr">
        <is>
          <t>0,50-0,65lz</t>
        </is>
      </c>
    </row>
    <row r="28">
      <c r="A28" t="inlineStr">
        <is>
          <t>mazowieckie</t>
        </is>
      </c>
      <c r="Z28" t="inlineStr">
        <is>
          <t>0,65lz-0,90lz-1,15lz-1,20lz</t>
        </is>
      </c>
    </row>
    <row r="29">
      <c r="A29" t="inlineStr">
        <is>
          <t>mazowieckie</t>
        </is>
      </c>
      <c r="J29" t="inlineStr">
        <is>
          <t>0,32-0,35lz</t>
        </is>
      </c>
    </row>
    <row r="30">
      <c r="A30" t="inlineStr">
        <is>
          <t>podkarpackie</t>
        </is>
      </c>
    </row>
    <row r="31">
      <c r="A31" t="inlineStr">
        <is>
          <t>podkarpackie</t>
        </is>
      </c>
    </row>
    <row r="32">
      <c r="A32" t="inlineStr">
        <is>
          <t>podlaskie</t>
        </is>
      </c>
      <c r="J32" t="inlineStr">
        <is>
          <t>0,36lz</t>
        </is>
      </c>
    </row>
    <row r="33">
      <c r="A33" t="inlineStr">
        <is>
          <t>podlaskie</t>
        </is>
      </c>
    </row>
    <row r="34">
      <c r="A34" t="inlineStr">
        <is>
          <t>śląskie</t>
        </is>
      </c>
    </row>
    <row r="35">
      <c r="A35" t="inlineStr">
        <is>
          <t>świętokrzyskie</t>
        </is>
      </c>
      <c r="X35" t="inlineStr">
        <is>
          <t>0,55lz-0,60lz</t>
        </is>
      </c>
    </row>
    <row r="36">
      <c r="A36" t="inlineStr">
        <is>
          <t>wielkopolskie</t>
        </is>
      </c>
      <c r="N36" t="inlineStr">
        <is>
          <t>1,00-1,25lz</t>
        </is>
      </c>
    </row>
    <row r="37">
      <c r="A37" t="inlineStr">
        <is>
          <t>wielkopolskie</t>
        </is>
      </c>
      <c r="N37" t="inlineStr">
        <is>
          <t>1,10lz-1,27lz</t>
        </is>
      </c>
    </row>
    <row r="38">
      <c r="A38" t="inlineStr">
        <is>
          <t>zachodnio-pomor.</t>
        </is>
      </c>
    </row>
    <row r="40">
      <c r="A40" t="inlineStr">
        <is>
          <t>średnio</t>
        </is>
      </c>
      <c r="J40" t="inlineStr">
        <is>
          <t>0,32-0,36lz</t>
        </is>
      </c>
      <c r="N40" t="inlineStr">
        <is>
          <t>1,00-1,10-1,10lz-1,30lz</t>
        </is>
      </c>
      <c r="O40" t="inlineStr">
        <is>
          <t>0,50-0,55-0,60lz-0,65lz</t>
        </is>
      </c>
      <c r="W40" t="inlineStr">
        <is>
          <t>1,10lz-1,20lz</t>
        </is>
      </c>
      <c r="X40" t="inlineStr">
        <is>
          <t>0,50-0,55-0,60lz-0,65lz</t>
        </is>
      </c>
      <c r="Y40" t="inlineStr">
        <is>
          <t>0,60lz-0,65lz</t>
        </is>
      </c>
      <c r="Z40" t="inlineStr">
        <is>
          <t>0,60lz-0,75lz/na sok-0,90lz-1,20lz/do obierania</t>
        </is>
      </c>
    </row>
    <row r="42">
      <c r="A42" t="inlineStr">
        <is>
          <t>tydzień temu</t>
        </is>
      </c>
      <c r="J42" t="inlineStr">
        <is>
          <t>0,32-0,36lz</t>
        </is>
      </c>
      <c r="N42" t="inlineStr">
        <is>
          <t>1,00lz-1,27lz</t>
        </is>
      </c>
      <c r="O42" t="inlineStr">
        <is>
          <t>0,56-0,60lz-0,65lz</t>
        </is>
      </c>
      <c r="W42" t="inlineStr">
        <is>
          <t>1,10lz-1,20lz</t>
        </is>
      </c>
      <c r="X42" t="inlineStr">
        <is>
          <t>0,55-0,60lz-0,65lz</t>
        </is>
      </c>
      <c r="Y42" t="inlineStr">
        <is>
          <t>0,55-0,60lz-0,70lz</t>
        </is>
      </c>
      <c r="Z42" t="inlineStr">
        <is>
          <t>0,60lz-0,75lz/na sok-0,90lz-1,20lz/do obierania</t>
        </is>
      </c>
    </row>
    <row r="44">
      <c r="A44" t="inlineStr">
        <is>
          <t>rok temu</t>
        </is>
      </c>
      <c r="J44" t="inlineStr">
        <is>
          <t>0,27-0,33lz</t>
        </is>
      </c>
      <c r="N44" t="inlineStr">
        <is>
          <t>1,54lz-1,75lz</t>
        </is>
      </c>
      <c r="O44" t="inlineStr">
        <is>
          <t>0,70lz-0,85lz</t>
        </is>
      </c>
      <c r="W44" t="inlineStr">
        <is>
          <t>1,40-1,40lz-1,60lz</t>
        </is>
      </c>
      <c r="X44" t="inlineStr">
        <is>
          <t>0,90lz-1,20lz</t>
        </is>
      </c>
      <c r="Y44" t="inlineStr">
        <is>
          <t>0,95lz-1,15lz</t>
        </is>
      </c>
      <c r="Z44" t="inlineStr">
        <is>
          <t>1,00lz-1,25lz, 1,40lz-1,60lz/do obierania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5:E22"/>
  <sheetViews>
    <sheetView workbookViewId="0">
      <selection activeCell="A1" sqref="A1"/>
    </sheetView>
  </sheetViews>
  <sheetFormatPr baseColWidth="8" defaultRowHeight="15"/>
  <sheetData>
    <row r="5">
      <c r="B5" t="inlineStr">
        <is>
          <t>Województwo</t>
        </is>
      </c>
      <c r="C5" t="inlineStr">
        <is>
          <t>Jabłka  deserowe</t>
        </is>
      </c>
      <c r="D5" t="inlineStr">
        <is>
          <t>Jabłka przemysłowe</t>
        </is>
      </c>
      <c r="E5" t="inlineStr">
        <is>
          <t>Gruszki</t>
        </is>
      </c>
    </row>
    <row r="6">
      <c r="B6" t="inlineStr">
        <is>
          <t>kujawsko-pomorskie</t>
        </is>
      </c>
      <c r="C6" t="inlineStr">
        <is>
          <t>1,60-2,20</t>
        </is>
      </c>
    </row>
    <row r="7">
      <c r="B7" t="inlineStr">
        <is>
          <t>lubelskie</t>
        </is>
      </c>
      <c r="C7" t="inlineStr">
        <is>
          <t>1,64-2,40</t>
        </is>
      </c>
      <c r="D7" t="inlineStr">
        <is>
          <t>0,55-0,65</t>
        </is>
      </c>
    </row>
    <row r="8">
      <c r="B8" t="inlineStr">
        <is>
          <t>łódzkie</t>
        </is>
      </c>
      <c r="C8" t="inlineStr">
        <is>
          <t>1,57-2,35</t>
        </is>
      </c>
      <c r="E8" t="inlineStr">
        <is>
          <t>3,25-3,68</t>
        </is>
      </c>
    </row>
    <row r="9">
      <c r="B9" t="inlineStr">
        <is>
          <t>łódzkie</t>
        </is>
      </c>
      <c r="C9" t="inlineStr">
        <is>
          <t>1,55-2,35</t>
        </is>
      </c>
      <c r="D9" t="inlineStr">
        <is>
          <t>0,60-0,67</t>
        </is>
      </c>
      <c r="E9" t="inlineStr">
        <is>
          <t>3,45-3,70</t>
        </is>
      </c>
    </row>
    <row r="10">
      <c r="B10" t="inlineStr">
        <is>
          <t>łódzkie</t>
        </is>
      </c>
    </row>
    <row r="11">
      <c r="B11" t="inlineStr">
        <is>
          <t>małopolskie</t>
        </is>
      </c>
      <c r="C11" t="inlineStr">
        <is>
          <t>1,69-1,87</t>
        </is>
      </c>
      <c r="E11" t="inlineStr">
        <is>
          <t>3,40-3,80</t>
        </is>
      </c>
    </row>
    <row r="12">
      <c r="B12" t="inlineStr">
        <is>
          <t>małopolskie</t>
        </is>
      </c>
      <c r="C12" t="inlineStr">
        <is>
          <t>1,70-2,64</t>
        </is>
      </c>
      <c r="D12" t="inlineStr">
        <is>
          <t>0,63-0,67</t>
        </is>
      </c>
    </row>
    <row r="13">
      <c r="B13" t="inlineStr">
        <is>
          <t>małopolskie</t>
        </is>
      </c>
      <c r="C13" t="inlineStr">
        <is>
          <t>1,65-2,67</t>
        </is>
      </c>
      <c r="D13" t="inlineStr">
        <is>
          <t>0,60-0,68</t>
        </is>
      </c>
      <c r="E13" t="inlineStr">
        <is>
          <t>3,55-3,68</t>
        </is>
      </c>
    </row>
    <row r="14">
      <c r="B14" t="inlineStr">
        <is>
          <t>małopolskie</t>
        </is>
      </c>
    </row>
    <row r="15">
      <c r="B15" t="inlineStr">
        <is>
          <t>małopolskie</t>
        </is>
      </c>
      <c r="D15" t="inlineStr">
        <is>
          <t>0,62-0,67</t>
        </is>
      </c>
    </row>
    <row r="16">
      <c r="B16" t="inlineStr">
        <is>
          <t>mazowiec.</t>
        </is>
      </c>
      <c r="C16" t="inlineStr">
        <is>
          <t>1,85-2,40</t>
        </is>
      </c>
      <c r="E16" t="inlineStr">
        <is>
          <t>3,43-3,68</t>
        </is>
      </c>
    </row>
    <row r="17">
      <c r="B17" t="inlineStr">
        <is>
          <t>podkarp.</t>
        </is>
      </c>
      <c r="C17" t="inlineStr">
        <is>
          <t>1,65-2,35</t>
        </is>
      </c>
      <c r="D17" t="inlineStr">
        <is>
          <t>0,60-0,68</t>
        </is>
      </c>
    </row>
    <row r="18">
      <c r="B18" t="inlineStr">
        <is>
          <t>podkarp.</t>
        </is>
      </c>
      <c r="E18" t="inlineStr">
        <is>
          <t>3,50-3,90</t>
        </is>
      </c>
    </row>
    <row r="19">
      <c r="B19" t="inlineStr">
        <is>
          <t>Cena średnia</t>
        </is>
      </c>
      <c r="C19" t="inlineStr">
        <is>
          <t>1,55-2,67</t>
        </is>
      </c>
      <c r="D19" t="inlineStr">
        <is>
          <t>0,55-0,68</t>
        </is>
      </c>
      <c r="E19" t="inlineStr">
        <is>
          <t>3,25-3,90</t>
        </is>
      </c>
    </row>
    <row r="20">
      <c r="B20" t="inlineStr">
        <is>
          <t>dwa tygodnie temu</t>
        </is>
      </c>
      <c r="C20" t="inlineStr">
        <is>
          <t>1,66-2,70</t>
        </is>
      </c>
      <c r="D20" t="inlineStr">
        <is>
          <t>0,60-0,70</t>
        </is>
      </c>
      <c r="E20" t="inlineStr">
        <is>
          <t>3,35-4,21</t>
        </is>
      </c>
    </row>
    <row r="21">
      <c r="B21" t="inlineStr">
        <is>
          <t>rok temu</t>
        </is>
      </c>
      <c r="C21" t="inlineStr">
        <is>
          <t>1,79-2,98</t>
        </is>
      </c>
      <c r="D21" t="inlineStr">
        <is>
          <t>0,75-0,98</t>
        </is>
      </c>
      <c r="E21" t="inlineStr">
        <is>
          <t>3,70-4,35</t>
        </is>
      </c>
    </row>
    <row r="22">
      <c r="B22" t="inlineStr">
        <is>
          <t>s/"suchy" przemysł, */jabłka w kal. 65+ i do średniej nie wliczana jest odmiana Antonówka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31"/>
  <sheetViews>
    <sheetView workbookViewId="0">
      <selection activeCell="A1" sqref="A1"/>
    </sheetView>
  </sheetViews>
  <sheetFormatPr baseColWidth="8" defaultRowHeight="15"/>
  <sheetData>
    <row r="1">
      <c r="C1" t="inlineStr">
        <is>
          <t xml:space="preserve">        Tygodniowy Serwis Cenowy</t>
        </is>
      </c>
    </row>
    <row r="2">
      <c r="B2" t="inlineStr">
        <is>
          <t>18 tydzień</t>
        </is>
      </c>
      <c r="C2" t="inlineStr">
        <is>
          <t xml:space="preserve">      dla producentów owoców i warzyw</t>
        </is>
      </c>
    </row>
    <row r="3">
      <c r="B3" t="inlineStr">
        <is>
          <t>27.04. - 03.05.2026 r</t>
        </is>
      </c>
      <c r="C3" t="inlineStr">
        <is>
          <t xml:space="preserve">     Krajowa Rada Izb Rolniczych    </t>
        </is>
      </c>
    </row>
    <row r="4">
      <c r="C4" t="inlineStr">
        <is>
          <t>Parzniew ul. Przyszłości 5, 05-804 Pruszków</t>
        </is>
      </c>
    </row>
    <row r="5">
      <c r="C5" t="inlineStr">
        <is>
          <t xml:space="preserve">      tel. 881-939-421, www.krir.pl, sekretariat@krir.pl </t>
        </is>
      </c>
    </row>
    <row r="6">
      <c r="B6" t="inlineStr">
        <is>
          <t xml:space="preserve">Serwis znajduje się obecnie w fazie rozwoju i dotyczy wybranych produktów w niektórych województwach.                                                                                                  </t>
        </is>
      </c>
    </row>
    <row r="8">
      <c r="B8" t="inlineStr">
        <is>
          <t>Województwo/Towar</t>
        </is>
      </c>
      <c r="C8" t="inlineStr">
        <is>
          <t>Mazowieckie</t>
        </is>
      </c>
      <c r="F8" t="inlineStr">
        <is>
          <t>Świętokrzyskie</t>
        </is>
      </c>
      <c r="I8" t="inlineStr">
        <is>
          <t>Wielkopolskie</t>
        </is>
      </c>
    </row>
    <row r="9">
      <c r="C9" t="inlineStr">
        <is>
          <t>27.04. - 03.05.2026r. cena w zł/kg (szt*)</t>
        </is>
      </c>
      <c r="D9" t="inlineStr">
        <is>
          <t>20.04. - 26.04.2026r. cena w zł/kg (szt*)</t>
        </is>
      </c>
      <c r="E9" t="inlineStr">
        <is>
          <t>tygodniowa zmiana ceny w %</t>
        </is>
      </c>
      <c r="F9" t="inlineStr">
        <is>
          <t>27.04. - 03.05.2026r. cena w zł/kg (szt*)</t>
        </is>
      </c>
      <c r="G9" t="inlineStr">
        <is>
          <t>20.04. - 26.04.2026r. cena w zł/kg (szt*)</t>
        </is>
      </c>
      <c r="H9" t="inlineStr">
        <is>
          <t>tygodniowa zmiana ceny w %</t>
        </is>
      </c>
      <c r="I9" t="inlineStr">
        <is>
          <t>27.04. - 03.05.2026r. cena w zł/kg (szt*)</t>
        </is>
      </c>
      <c r="J9" t="inlineStr">
        <is>
          <t>20.04. - 26.04.2026r. cena w zł/kg (szt*)</t>
        </is>
      </c>
      <c r="K9" t="inlineStr">
        <is>
          <t>tygodniowa zmiana ceny w %</t>
        </is>
      </c>
    </row>
    <row r="10">
      <c r="B10" t="inlineStr">
        <is>
          <t>Jabłka (op.5-20 kg) Golden delicious (70/80mm)</t>
        </is>
      </c>
      <c r="C10" t="n">
        <v>2.65</v>
      </c>
      <c r="D10" t="n">
        <v>2.65</v>
      </c>
      <c r="E10">
        <f>((C10-D10)/D10)*100</f>
        <v/>
      </c>
      <c r="F10" t="n">
        <v>1.45</v>
      </c>
      <c r="G10" t="n">
        <v>1.45</v>
      </c>
      <c r="H10">
        <f>((F10-G10)/G10)*100</f>
        <v/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B11" t="inlineStr">
        <is>
          <t>Jabłka (op.5-20 kg) Jonagold+Jonagored (70/80mm)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</row>
    <row r="12">
      <c r="B12" t="inlineStr">
        <is>
          <t>Jabłka (op.5-20 kg) Idared (70/80mm)</t>
        </is>
      </c>
      <c r="C12" t="n">
        <v>2</v>
      </c>
      <c r="D12" t="n">
        <v>2</v>
      </c>
      <c r="E12">
        <f>((C12-D12)/D12)*100</f>
        <v/>
      </c>
      <c r="F12" t="n">
        <v>1.35</v>
      </c>
      <c r="G12" t="n">
        <v>1.35</v>
      </c>
      <c r="H12">
        <f>((F12-G12)/G12)*100</f>
        <v/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</row>
    <row r="13">
      <c r="B13" t="inlineStr">
        <is>
          <t>Jabłka (op.5-20 kg) Shampion (70/80mm)</t>
        </is>
      </c>
      <c r="E13" t="inlineStr">
        <is>
          <t>--</t>
        </is>
      </c>
      <c r="F13" t="n">
        <v>1.45</v>
      </c>
      <c r="G13" t="n">
        <v>1.55</v>
      </c>
      <c r="H13">
        <f>((F13-G13)/G13)*100</f>
        <v/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</row>
    <row r="14">
      <c r="B14" t="inlineStr">
        <is>
          <t>Jabłka (op.5-20 kg) Boskoop (70/80mm)</t>
        </is>
      </c>
      <c r="C14" t="n">
        <v>3.3</v>
      </c>
      <c r="D14" t="n">
        <v>3.3</v>
      </c>
      <c r="E14" t="inlineStr">
        <is>
          <t>--</t>
        </is>
      </c>
      <c r="F14" t="n">
        <v>2.15</v>
      </c>
      <c r="G14" t="n">
        <v>2.15</v>
      </c>
      <c r="H14">
        <f>((F14-G14)/G14)*100</f>
        <v/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</row>
    <row r="15">
      <c r="B15" t="inlineStr">
        <is>
          <t>Jabłka (op.5-20 kg) Gala (65/70mm)</t>
        </is>
      </c>
      <c r="C15" t="n">
        <v>2</v>
      </c>
      <c r="D15" t="n">
        <v>2</v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</row>
    <row r="16">
      <c r="B16" t="inlineStr">
        <is>
          <t>Gruszki (op.5-20 kg) Lukasówka (65/70 mm)</t>
        </is>
      </c>
      <c r="C16" t="n">
        <v>5</v>
      </c>
      <c r="D16" t="n">
        <v>5</v>
      </c>
      <c r="E16">
        <f>((C16-D16)/D16)*100</f>
        <v/>
      </c>
      <c r="F16" t="n">
        <v>4.75</v>
      </c>
      <c r="G16" t="n">
        <v>4.75</v>
      </c>
      <c r="H16">
        <f>((F16-G16)/G16)*100</f>
        <v/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B17" t="inlineStr">
        <is>
          <t>Cebula żółta 40-80 mm; op.5-25 kg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</row>
    <row r="18">
      <c r="B18" t="inlineStr">
        <is>
          <t>Cebula biała 40-80 mm op.5-25 kg</t>
        </is>
      </c>
      <c r="C18" t="n">
        <v>1.06</v>
      </c>
      <c r="D18" t="n">
        <v>1.06</v>
      </c>
      <c r="E18">
        <f>((C18-D18)/D18)*100</f>
        <v/>
      </c>
      <c r="F18" t="n">
        <v>1</v>
      </c>
      <c r="G18" t="n">
        <v>1</v>
      </c>
      <c r="H18">
        <f>((F18-G18)/G18)*100</f>
        <v/>
      </c>
      <c r="I18" t="n">
        <v>0.6</v>
      </c>
      <c r="J18" t="n">
        <v>1</v>
      </c>
      <c r="K18">
        <f>((I18-J18)/J18)*100</f>
        <v/>
      </c>
    </row>
    <row r="19">
      <c r="B19" t="inlineStr">
        <is>
          <t>Marchew wszystkie odmiany pakowane luzem</t>
        </is>
      </c>
      <c r="C19" t="n">
        <v>1.97</v>
      </c>
      <c r="D19" t="n">
        <v>1.97</v>
      </c>
      <c r="E19">
        <f>((C19-D19)/D19)*100</f>
        <v/>
      </c>
      <c r="F19" t="n">
        <v>1.05</v>
      </c>
      <c r="G19" t="n">
        <v>1.1</v>
      </c>
      <c r="H19">
        <f>((F19-G19)/G19)*100</f>
        <v/>
      </c>
      <c r="I19" t="n">
        <v>1.5</v>
      </c>
      <c r="J19" t="n">
        <v>2.5</v>
      </c>
      <c r="K19">
        <f>((I19-J19)/J19)*100</f>
        <v/>
      </c>
    </row>
    <row r="20">
      <c r="B20" t="inlineStr">
        <is>
          <t>Pietruszka korzeń op. 10 kg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n">
        <v>2.5</v>
      </c>
      <c r="G20" t="n">
        <v>2.5</v>
      </c>
      <c r="H20">
        <f>((F20-G20)/G20)*100</f>
        <v/>
      </c>
      <c r="I20" t="n">
        <v>1.952222222222222</v>
      </c>
      <c r="J20" t="n">
        <v>3</v>
      </c>
      <c r="K20">
        <f>((I20-J20)/J20)*100</f>
        <v/>
      </c>
    </row>
    <row r="21">
      <c r="B21" t="inlineStr">
        <is>
          <t>Pomidory, typ okrągły; op. 5-6-kg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n">
        <v>10.8</v>
      </c>
      <c r="H21" t="inlineStr">
        <is>
          <t>--</t>
        </is>
      </c>
      <c r="I21" t="n">
        <v>6.247700854700855</v>
      </c>
      <c r="J21" t="n">
        <v>14.6</v>
      </c>
      <c r="K21">
        <f>((I21-J21)/J21)*100</f>
        <v/>
      </c>
    </row>
    <row r="22">
      <c r="B22" t="inlineStr">
        <is>
          <t>Ogórki, typ gładkie; op. 5-6 kg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n">
        <v>4.2</v>
      </c>
      <c r="G22" t="n">
        <v>3.1</v>
      </c>
      <c r="H22">
        <f>((F22-G22)/G22)*100</f>
        <v/>
      </c>
      <c r="I22" t="n">
        <v>14</v>
      </c>
      <c r="J22" t="n">
        <v>14</v>
      </c>
      <c r="K22">
        <f>((I22-J22)/J22)*100</f>
        <v/>
      </c>
    </row>
    <row r="23">
      <c r="B23" t="inlineStr">
        <is>
          <t>Seler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n">
        <v>1.8</v>
      </c>
      <c r="G23" t="n">
        <v>1.8</v>
      </c>
      <c r="H23">
        <f>((F23-G23)/G23)*100</f>
        <v/>
      </c>
      <c r="I23" t="n">
        <v>1</v>
      </c>
      <c r="J23" t="n">
        <v>1</v>
      </c>
      <c r="K23">
        <f>((I23-J23)/J23)*100</f>
        <v/>
      </c>
    </row>
    <row r="24">
      <c r="B24" t="inlineStr">
        <is>
          <t>Sałata masłowa za główkę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n">
        <v>2.4</v>
      </c>
      <c r="G24" t="n">
        <v>2.6</v>
      </c>
      <c r="H24">
        <f>((F24-G24)/G24)*100</f>
        <v/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B25" t="inlineStr">
        <is>
          <t>Szparagi biało/fioletowe &gt;16mm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B26" t="inlineStr">
        <is>
          <t>Burak ćwikłowy op. 10-15 kg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n">
        <v>0.85</v>
      </c>
      <c r="G26" t="n">
        <v>0.85</v>
      </c>
      <c r="H26">
        <f>((F26-G26)/G26)*100</f>
        <v/>
      </c>
      <c r="I26" t="inlineStr">
        <is>
          <t>--</t>
        </is>
      </c>
      <c r="J26" t="n">
        <v>0.9</v>
      </c>
      <c r="K26" t="inlineStr">
        <is>
          <t>--</t>
        </is>
      </c>
    </row>
    <row r="27">
      <c r="B27" t="inlineStr">
        <is>
          <t>Kalafiory 12-20 cm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n">
        <v>12</v>
      </c>
      <c r="G27" t="n">
        <v>12</v>
      </c>
      <c r="H27">
        <f>((F27-G27)/G27)*100</f>
        <v/>
      </c>
      <c r="I27" t="inlineStr">
        <is>
          <t>--</t>
        </is>
      </c>
      <c r="K27" t="inlineStr">
        <is>
          <t>--</t>
        </is>
      </c>
    </row>
    <row r="28">
      <c r="B28" t="inlineStr">
        <is>
          <t>Kapusta biała zł/kg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n">
        <v>0.65</v>
      </c>
      <c r="G28" t="n">
        <v>0.65</v>
      </c>
      <c r="H28">
        <f>((F28-G28)/G28)*100</f>
        <v/>
      </c>
      <c r="I28" t="inlineStr">
        <is>
          <t>--</t>
        </is>
      </c>
      <c r="J28" t="n">
        <v>0.5</v>
      </c>
      <c r="K28" t="inlineStr">
        <is>
          <t>--</t>
        </is>
      </c>
    </row>
    <row r="29">
      <c r="B29" t="inlineStr">
        <is>
          <t>Rzodkiewka za pęczek 1 szt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n">
        <v>1.9</v>
      </c>
      <c r="G29" t="n">
        <v>1.95</v>
      </c>
      <c r="H29">
        <f>((F29-G29)/G29)*100</f>
        <v/>
      </c>
      <c r="K29" t="inlineStr">
        <is>
          <t>--</t>
        </is>
      </c>
    </row>
    <row r="30">
      <c r="B30" t="inlineStr">
        <is>
          <t>Ziemniaki  (op. 15 kg)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n">
        <v>0.45</v>
      </c>
      <c r="G30" t="n">
        <v>0.48</v>
      </c>
      <c r="H30">
        <f>((F30-G30)/G30)*100</f>
        <v/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B31" t="inlineStr">
        <is>
          <t>Pieczarki 30-65 mm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n">
        <v>11.15</v>
      </c>
      <c r="G31" t="n">
        <v>11.15</v>
      </c>
      <c r="H31">
        <f>((F31-G31)/G31)*100</f>
        <v/>
      </c>
      <c r="I31" t="n">
        <v>8.405487054158959</v>
      </c>
      <c r="J31" t="n">
        <v>8.877563697989714</v>
      </c>
      <c r="K31">
        <f>((I31-J31)/J31)*100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M27"/>
  <sheetViews>
    <sheetView workbookViewId="0">
      <selection activeCell="A1" sqref="A1"/>
    </sheetView>
  </sheetViews>
  <sheetFormatPr baseColWidth="8" defaultRowHeight="15"/>
  <sheetData>
    <row r="1">
      <c r="D1" t="inlineStr">
        <is>
          <t>EKSPORT/WYWÓZ</t>
        </is>
      </c>
      <c r="H1" t="inlineStr">
        <is>
          <t>IMPORT/PRZYWÓZ</t>
        </is>
      </c>
      <c r="L1" t="inlineStr">
        <is>
          <t>SALDO</t>
        </is>
      </c>
    </row>
    <row r="2">
      <c r="B2" t="inlineStr">
        <is>
          <t>CN</t>
        </is>
      </c>
      <c r="C2" t="inlineStr">
        <is>
          <t>Nazwa towaru</t>
        </is>
      </c>
      <c r="D2" t="inlineStr">
        <is>
          <t>Wartość [tys. EUR]</t>
        </is>
      </c>
      <c r="F2" t="inlineStr">
        <is>
          <t>Wolumen [tony]</t>
        </is>
      </c>
      <c r="H2" t="inlineStr">
        <is>
          <t>Wartość [tys. EUR]</t>
        </is>
      </c>
      <c r="J2" t="inlineStr">
        <is>
          <t>Wolumen [tony]</t>
        </is>
      </c>
      <c r="L2" t="inlineStr">
        <is>
          <t>Wartość [tys. EUR]</t>
        </is>
      </c>
    </row>
    <row r="3">
      <c r="D3" t="inlineStr">
        <is>
          <t>I-XII 2024r.</t>
        </is>
      </c>
      <c r="E3" t="inlineStr">
        <is>
          <t>I-XII 2025r.*</t>
        </is>
      </c>
      <c r="F3" t="inlineStr">
        <is>
          <t>I-XII 2024r.</t>
        </is>
      </c>
      <c r="G3" t="inlineStr">
        <is>
          <t>I-XII 2025r.*</t>
        </is>
      </c>
      <c r="H3" t="inlineStr">
        <is>
          <t>I-XII 2024r.</t>
        </is>
      </c>
      <c r="I3" t="inlineStr">
        <is>
          <t>I-XII 2025r.*</t>
        </is>
      </c>
      <c r="J3" t="inlineStr">
        <is>
          <t>I-XII 2024r.</t>
        </is>
      </c>
      <c r="K3" t="inlineStr">
        <is>
          <t>I-XII 2025r.*</t>
        </is>
      </c>
      <c r="L3" t="inlineStr">
        <is>
          <t>I-XII 2024r.</t>
        </is>
      </c>
      <c r="M3" t="inlineStr">
        <is>
          <t>I-XII 2025r.*</t>
        </is>
      </c>
    </row>
    <row r="4">
      <c r="B4" t="inlineStr">
        <is>
          <t>0701</t>
        </is>
      </c>
      <c r="C4" t="inlineStr">
        <is>
          <t>Ziemniaki, świeże lub chłodzone</t>
        </is>
      </c>
      <c r="D4" t="n">
        <v>46460.788</v>
      </c>
      <c r="E4" t="n">
        <v>47534.142</v>
      </c>
      <c r="F4" t="n">
        <v>119743.264</v>
      </c>
      <c r="G4" t="n">
        <v>160663.391</v>
      </c>
      <c r="H4" t="n">
        <v>63341.138</v>
      </c>
      <c r="I4" t="n">
        <v>68038.95600000001</v>
      </c>
      <c r="J4" t="n">
        <v>157064.051</v>
      </c>
      <c r="K4" t="n">
        <v>179710.182</v>
      </c>
      <c r="L4" t="n">
        <v>-16880.35</v>
      </c>
      <c r="M4" t="n">
        <v>-20504.81400000001</v>
      </c>
    </row>
    <row r="5">
      <c r="B5" t="inlineStr">
        <is>
          <t>0702</t>
        </is>
      </c>
      <c r="C5" t="inlineStr">
        <is>
          <t>Pomidory świeże lub chłodzone</t>
        </is>
      </c>
      <c r="D5" t="n">
        <v>118770.49</v>
      </c>
      <c r="E5" t="n">
        <v>127718.806</v>
      </c>
      <c r="F5" t="n">
        <v>78265.073</v>
      </c>
      <c r="G5" t="n">
        <v>80423.129</v>
      </c>
      <c r="H5" t="n">
        <v>420922.978</v>
      </c>
      <c r="I5" t="n">
        <v>440881.68</v>
      </c>
      <c r="J5" t="n">
        <v>246260.812</v>
      </c>
      <c r="K5" t="n">
        <v>237223.773</v>
      </c>
      <c r="L5" t="n">
        <v>-302152.488</v>
      </c>
      <c r="M5" t="n">
        <v>-313162.874</v>
      </c>
    </row>
    <row r="6">
      <c r="B6" t="inlineStr">
        <is>
          <t>0703</t>
        </is>
      </c>
      <c r="C6" t="inlineStr">
        <is>
          <t>Cebula, szalotka, czosnek, pory oraz inne warzywa</t>
        </is>
      </c>
      <c r="D6" t="n">
        <v>129088.629</v>
      </c>
      <c r="E6" t="n">
        <v>114533.353</v>
      </c>
      <c r="F6" t="n">
        <v>170182.022</v>
      </c>
      <c r="G6" t="n">
        <v>161761.06</v>
      </c>
      <c r="H6" t="n">
        <v>102974.431</v>
      </c>
      <c r="I6" t="n">
        <v>90718.876</v>
      </c>
      <c r="J6" t="n">
        <v>228146.948</v>
      </c>
      <c r="K6" t="n">
        <v>178305.025</v>
      </c>
      <c r="L6" t="n">
        <v>26114.198</v>
      </c>
      <c r="M6" t="n">
        <v>23814.477</v>
      </c>
    </row>
    <row r="7">
      <c r="B7" t="inlineStr">
        <is>
          <t>0704</t>
        </is>
      </c>
      <c r="C7" t="inlineStr">
        <is>
          <t xml:space="preserve">Kapusta, kalafiory, kalarepa, kapusta włoska, </t>
        </is>
      </c>
      <c r="D7" t="n">
        <v>78418.27</v>
      </c>
      <c r="E7" t="n">
        <v>72408.86599999999</v>
      </c>
      <c r="F7" t="n">
        <v>103773.701</v>
      </c>
      <c r="G7" t="n">
        <v>93572.299</v>
      </c>
      <c r="H7" t="n">
        <v>91457.973</v>
      </c>
      <c r="I7" t="n">
        <v>96192.435</v>
      </c>
      <c r="J7" t="n">
        <v>85863.155</v>
      </c>
      <c r="K7" t="n">
        <v>87124.95699999999</v>
      </c>
      <c r="L7" t="n">
        <v>-13039.70299999999</v>
      </c>
      <c r="M7" t="n">
        <v>-23783.569</v>
      </c>
    </row>
    <row r="8">
      <c r="B8" t="inlineStr">
        <is>
          <t>0705</t>
        </is>
      </c>
      <c r="C8" t="inlineStr">
        <is>
          <t>Sałata (Lactuca sativa) i cykoria (Cichorium spp.),</t>
        </is>
      </c>
      <c r="D8" t="n">
        <v>32269.805</v>
      </c>
      <c r="E8" t="n">
        <v>32275.545</v>
      </c>
      <c r="F8" t="n">
        <v>26063.481</v>
      </c>
      <c r="G8" t="n">
        <v>24667.471</v>
      </c>
      <c r="H8" t="n">
        <v>97087.925</v>
      </c>
      <c r="I8" t="n">
        <v>103169.859</v>
      </c>
      <c r="J8" t="n">
        <v>73073.851</v>
      </c>
      <c r="K8" t="n">
        <v>79840.871</v>
      </c>
      <c r="L8" t="n">
        <v>-64818.12</v>
      </c>
      <c r="M8" t="n">
        <v>-70894.314</v>
      </c>
    </row>
    <row r="9">
      <c r="B9" t="inlineStr">
        <is>
          <t>0706</t>
        </is>
      </c>
      <c r="C9" t="inlineStr">
        <is>
          <t>Marchew, rzepa, buraki sałatkowe, salsefia, selery,</t>
        </is>
      </c>
      <c r="D9" t="n">
        <v>42404.232</v>
      </c>
      <c r="E9" t="n">
        <v>40859.998</v>
      </c>
      <c r="F9" t="n">
        <v>64597.357</v>
      </c>
      <c r="G9" t="n">
        <v>83701.753</v>
      </c>
      <c r="H9" t="n">
        <v>78545.05</v>
      </c>
      <c r="I9" t="n">
        <v>77346.817</v>
      </c>
      <c r="J9" t="n">
        <v>96386.33199999999</v>
      </c>
      <c r="K9" t="n">
        <v>108823.432</v>
      </c>
      <c r="L9" t="n">
        <v>-36140.818</v>
      </c>
      <c r="M9" t="n">
        <v>-36486.819</v>
      </c>
    </row>
    <row r="10">
      <c r="B10" t="inlineStr">
        <is>
          <t>0707</t>
        </is>
      </c>
      <c r="C10" t="inlineStr">
        <is>
          <t>Ogórki  i korniszony świeże</t>
        </is>
      </c>
      <c r="D10" t="n">
        <v>25426.211</v>
      </c>
      <c r="E10" t="n">
        <v>28415.476</v>
      </c>
      <c r="F10" t="n">
        <v>19346.303</v>
      </c>
      <c r="G10" t="n">
        <v>20608.521</v>
      </c>
      <c r="H10" t="n">
        <v>121899.388</v>
      </c>
      <c r="I10" t="n">
        <v>141998.663</v>
      </c>
      <c r="J10" t="n">
        <v>106985.876</v>
      </c>
      <c r="K10" t="n">
        <v>109228.174</v>
      </c>
      <c r="L10" t="n">
        <v>-96473.17700000001</v>
      </c>
      <c r="M10" t="n">
        <v>-113583.187</v>
      </c>
    </row>
    <row r="11">
      <c r="B11" t="inlineStr">
        <is>
          <t>0708</t>
        </is>
      </c>
      <c r="C11" t="inlineStr">
        <is>
          <t xml:space="preserve">Warzywa strączkowe, nawet łuskane, świeże </t>
        </is>
      </c>
      <c r="D11" t="n">
        <v>15052.011</v>
      </c>
      <c r="E11" t="n">
        <v>13872.72</v>
      </c>
      <c r="F11" t="n">
        <v>27324.965</v>
      </c>
      <c r="G11" t="n">
        <v>32373.875</v>
      </c>
      <c r="H11" t="n">
        <v>4006.423</v>
      </c>
      <c r="I11" t="n">
        <v>4059.883</v>
      </c>
      <c r="J11" t="n">
        <v>4157.331</v>
      </c>
      <c r="K11" t="n">
        <v>3804.698</v>
      </c>
      <c r="L11" t="n">
        <v>11045.588</v>
      </c>
      <c r="M11" t="n">
        <v>9812.837</v>
      </c>
    </row>
    <row r="12">
      <c r="B12" t="inlineStr">
        <is>
          <t>0709</t>
        </is>
      </c>
      <c r="C12" t="inlineStr">
        <is>
          <t>Inne warzywa świeże lub chłodzone</t>
        </is>
      </c>
      <c r="D12" t="n">
        <v>681523.481</v>
      </c>
      <c r="E12" t="n">
        <v>670939.823</v>
      </c>
      <c r="F12" t="n">
        <v>323321.088</v>
      </c>
      <c r="G12" t="n">
        <v>310841.701</v>
      </c>
      <c r="H12" t="n">
        <v>345498.757</v>
      </c>
      <c r="I12" t="n">
        <v>384711.158</v>
      </c>
      <c r="J12" t="n">
        <v>168142.902</v>
      </c>
      <c r="K12" t="n">
        <v>182179.815</v>
      </c>
      <c r="L12" t="n">
        <v>336024.724</v>
      </c>
      <c r="M12" t="n">
        <v>286228.665</v>
      </c>
    </row>
    <row r="13">
      <c r="B13" t="inlineStr">
        <is>
          <t>0710</t>
        </is>
      </c>
      <c r="C13" t="inlineStr">
        <is>
          <t>Warzywa niegotowane lub gotowane na parze, zamrożone</t>
        </is>
      </c>
      <c r="D13" t="n">
        <v>432572.373</v>
      </c>
      <c r="E13" t="n">
        <v>415272.976</v>
      </c>
      <c r="F13" t="n">
        <v>407308.912</v>
      </c>
      <c r="G13" t="n">
        <v>396677.509</v>
      </c>
      <c r="H13" t="n">
        <v>78589.33100000001</v>
      </c>
      <c r="I13" t="n">
        <v>92194.66800000001</v>
      </c>
      <c r="J13" t="n">
        <v>68252.73699999999</v>
      </c>
      <c r="K13" t="n">
        <v>78001.76700000001</v>
      </c>
      <c r="L13" t="n">
        <v>353983.042</v>
      </c>
      <c r="M13" t="n">
        <v>323078.308</v>
      </c>
    </row>
    <row r="14">
      <c r="B14" t="inlineStr">
        <is>
          <t>0711</t>
        </is>
      </c>
      <c r="C14" t="inlineStr">
        <is>
          <t>Warzywa zakonserwowane tymczasowo</t>
        </is>
      </c>
      <c r="D14" t="n">
        <v>16368.888</v>
      </c>
      <c r="E14" t="n">
        <v>16323.561</v>
      </c>
      <c r="F14" t="n">
        <v>8776.655000000001</v>
      </c>
      <c r="G14" t="n">
        <v>8581.733</v>
      </c>
      <c r="H14" t="n">
        <v>36676.991</v>
      </c>
      <c r="I14" t="n">
        <v>42908.572</v>
      </c>
      <c r="J14" t="n">
        <v>18377.683</v>
      </c>
      <c r="K14" t="n">
        <v>23606.869</v>
      </c>
      <c r="L14" t="n">
        <v>-20308.103</v>
      </c>
      <c r="M14" t="n">
        <v>-26585.011</v>
      </c>
    </row>
    <row r="15">
      <c r="B15" t="inlineStr">
        <is>
          <t>0712</t>
        </is>
      </c>
      <c r="C15" t="inlineStr">
        <is>
          <t>Warzywa suszone, całe, cięte w kawałki</t>
        </is>
      </c>
      <c r="D15" t="n">
        <v>110353.245</v>
      </c>
      <c r="E15" t="n">
        <v>110838.956</v>
      </c>
      <c r="F15" t="n">
        <v>45331.324</v>
      </c>
      <c r="G15" t="n">
        <v>33558.361</v>
      </c>
      <c r="H15" t="n">
        <v>71873.124</v>
      </c>
      <c r="I15" t="n">
        <v>66246.777</v>
      </c>
      <c r="J15" t="n">
        <v>22262.13</v>
      </c>
      <c r="K15" t="n">
        <v>21623.151</v>
      </c>
      <c r="L15" t="n">
        <v>38480.121</v>
      </c>
      <c r="M15" t="n">
        <v>44592.179</v>
      </c>
    </row>
    <row r="16">
      <c r="B16" t="inlineStr">
        <is>
          <t>0713</t>
        </is>
      </c>
      <c r="C16" t="inlineStr">
        <is>
          <t xml:space="preserve">Suszone warzywa strączkowe, łuskane, ze skórką </t>
        </is>
      </c>
      <c r="D16" t="n">
        <v>55082.138</v>
      </c>
      <c r="E16" t="n">
        <v>63847.168</v>
      </c>
      <c r="F16" t="n">
        <v>59904.607</v>
      </c>
      <c r="G16" t="n">
        <v>78259.262</v>
      </c>
      <c r="H16" t="n">
        <v>39170.149</v>
      </c>
      <c r="I16" t="n">
        <v>46729.094</v>
      </c>
      <c r="J16" t="n">
        <v>37214.814</v>
      </c>
      <c r="K16" t="n">
        <v>41273.748</v>
      </c>
      <c r="L16" t="n">
        <v>15911.989</v>
      </c>
      <c r="M16" t="n">
        <v>17118.074</v>
      </c>
    </row>
    <row r="17">
      <c r="B17" t="inlineStr">
        <is>
          <t>0714</t>
        </is>
      </c>
      <c r="C17" t="inlineStr">
        <is>
          <t>Maniok, maranta, salep, karczochy jerozolimskie,</t>
        </is>
      </c>
      <c r="D17" t="n">
        <v>2955.108</v>
      </c>
      <c r="E17" t="n">
        <v>1969.167</v>
      </c>
      <c r="F17" t="n">
        <v>5231.653</v>
      </c>
      <c r="G17" t="n">
        <v>4628.669</v>
      </c>
      <c r="H17" t="n">
        <v>15694.461</v>
      </c>
      <c r="I17" t="n">
        <v>18064.044</v>
      </c>
      <c r="J17" t="n">
        <v>13292.863</v>
      </c>
      <c r="K17" t="n">
        <v>13692.714</v>
      </c>
      <c r="L17" t="n">
        <v>-12739.353</v>
      </c>
      <c r="M17" t="n">
        <v>-16094.877</v>
      </c>
    </row>
    <row r="18">
      <c r="B18" t="inlineStr">
        <is>
          <t>0801</t>
        </is>
      </c>
      <c r="C18" t="inlineStr">
        <is>
          <t>Orzechy kokosowe, orzechy brazylijskie i orzechy</t>
        </is>
      </c>
      <c r="D18" t="n">
        <v>7851.583</v>
      </c>
      <c r="E18" t="n">
        <v>7143.363</v>
      </c>
      <c r="F18" t="n">
        <v>2318.867</v>
      </c>
      <c r="G18" t="n">
        <v>1537.518</v>
      </c>
      <c r="H18" t="n">
        <v>110115.17</v>
      </c>
      <c r="I18" t="n">
        <v>131974.163</v>
      </c>
      <c r="J18" t="n">
        <v>25099.96</v>
      </c>
      <c r="K18" t="n">
        <v>25363.729</v>
      </c>
      <c r="L18" t="n">
        <v>-102263.587</v>
      </c>
      <c r="M18" t="n">
        <v>-124830.8</v>
      </c>
    </row>
    <row r="19">
      <c r="B19" t="inlineStr">
        <is>
          <t>0802</t>
        </is>
      </c>
      <c r="C19" t="inlineStr">
        <is>
          <t>Pozostałe orzechy, świeże lub suszone, nawet łuskane</t>
        </is>
      </c>
      <c r="D19" t="n">
        <v>15313.968</v>
      </c>
      <c r="E19" t="n">
        <v>25671.537</v>
      </c>
      <c r="F19" t="n">
        <v>3571.24</v>
      </c>
      <c r="G19" t="n">
        <v>3957.093</v>
      </c>
      <c r="H19" t="n">
        <v>245253.537</v>
      </c>
      <c r="I19" t="n">
        <v>382864.162</v>
      </c>
      <c r="J19" t="n">
        <v>35186.319</v>
      </c>
      <c r="K19" t="n">
        <v>45446.812</v>
      </c>
      <c r="L19" t="n">
        <v>-229939.569</v>
      </c>
      <c r="M19" t="n">
        <v>-357192.625</v>
      </c>
    </row>
    <row r="20">
      <c r="B20" t="inlineStr">
        <is>
          <t>0803</t>
        </is>
      </c>
      <c r="C20" t="inlineStr">
        <is>
          <t>Banany</t>
        </is>
      </c>
      <c r="D20" t="n">
        <v>39439.761</v>
      </c>
      <c r="E20" t="n">
        <v>41341.321</v>
      </c>
      <c r="F20" t="n">
        <v>42826.396</v>
      </c>
      <c r="G20" t="n">
        <v>43041.178</v>
      </c>
      <c r="H20" t="n">
        <v>358825.075</v>
      </c>
      <c r="I20" t="n">
        <v>358529.705</v>
      </c>
      <c r="J20" t="n">
        <v>520864.969</v>
      </c>
      <c r="K20" t="n">
        <v>496169.039</v>
      </c>
      <c r="L20" t="n">
        <v>-319385.314</v>
      </c>
      <c r="M20" t="n">
        <v>-317188.384</v>
      </c>
    </row>
    <row r="21">
      <c r="B21" t="inlineStr">
        <is>
          <t>0804</t>
        </is>
      </c>
      <c r="C21" t="inlineStr">
        <is>
          <t xml:space="preserve">Daktyle, figi, ananasy, avokado, guawa, mango </t>
        </is>
      </c>
      <c r="D21" t="n">
        <v>25378.289</v>
      </c>
      <c r="E21" t="n">
        <v>34319.896</v>
      </c>
      <c r="F21" t="n">
        <v>11064.236</v>
      </c>
      <c r="G21" t="n">
        <v>14672.114</v>
      </c>
      <c r="H21" t="n">
        <v>209006.728</v>
      </c>
      <c r="I21" t="n">
        <v>228684.935</v>
      </c>
      <c r="J21" t="n">
        <v>85670.935</v>
      </c>
      <c r="K21" t="n">
        <v>97641.572</v>
      </c>
      <c r="L21" t="n">
        <v>-183628.439</v>
      </c>
      <c r="M21" t="n">
        <v>-194365.039</v>
      </c>
    </row>
    <row r="22">
      <c r="B22" t="inlineStr">
        <is>
          <t>0805</t>
        </is>
      </c>
      <c r="C22" t="inlineStr">
        <is>
          <t>Owoce cytrusowe, świeże lub suszone</t>
        </is>
      </c>
      <c r="D22" t="n">
        <v>32473.886</v>
      </c>
      <c r="E22" t="n">
        <v>37089.072</v>
      </c>
      <c r="F22" t="n">
        <v>32746.687</v>
      </c>
      <c r="G22" t="n">
        <v>36387.131</v>
      </c>
      <c r="H22" t="n">
        <v>528723.622</v>
      </c>
      <c r="I22" t="n">
        <v>565251.224</v>
      </c>
      <c r="J22" t="n">
        <v>517739.526</v>
      </c>
      <c r="K22" t="n">
        <v>492664.905</v>
      </c>
      <c r="L22" t="n">
        <v>-496249.736</v>
      </c>
      <c r="M22" t="n">
        <v>-528162.152</v>
      </c>
    </row>
    <row r="23">
      <c r="B23" t="inlineStr">
        <is>
          <t>0806</t>
        </is>
      </c>
      <c r="C23" t="inlineStr">
        <is>
          <t>Winogrona, świeże lub suszone</t>
        </is>
      </c>
      <c r="D23" t="n">
        <v>8341.968999999999</v>
      </c>
      <c r="E23" t="n">
        <v>9850.944</v>
      </c>
      <c r="F23" t="n">
        <v>4305.21</v>
      </c>
      <c r="G23" t="n">
        <v>4062.34</v>
      </c>
      <c r="H23" t="n">
        <v>285879.581</v>
      </c>
      <c r="I23" t="n">
        <v>305314.12</v>
      </c>
      <c r="J23" t="n">
        <v>139383.431</v>
      </c>
      <c r="K23" t="n">
        <v>153358.814</v>
      </c>
      <c r="L23" t="n">
        <v>-277537.612</v>
      </c>
      <c r="M23" t="n">
        <v>-295463.176</v>
      </c>
    </row>
    <row r="24">
      <c r="B24" t="inlineStr">
        <is>
          <t>0807</t>
        </is>
      </c>
      <c r="C24" t="inlineStr">
        <is>
          <t>Melony (łącznie z arbuzami) i papaje, świeże</t>
        </is>
      </c>
      <c r="D24" t="n">
        <v>2835.806</v>
      </c>
      <c r="E24" t="n">
        <v>2998.338</v>
      </c>
      <c r="F24" t="n">
        <v>3636.685</v>
      </c>
      <c r="G24" t="n">
        <v>4519.533</v>
      </c>
      <c r="H24" t="n">
        <v>144339.302</v>
      </c>
      <c r="I24" t="n">
        <v>142134.19</v>
      </c>
      <c r="J24" t="n">
        <v>223717.346</v>
      </c>
      <c r="K24" t="n">
        <v>224839.501</v>
      </c>
      <c r="L24" t="n">
        <v>-141503.496</v>
      </c>
      <c r="M24" t="n">
        <v>-139135.852</v>
      </c>
    </row>
    <row r="25">
      <c r="B25" t="inlineStr">
        <is>
          <t>0808</t>
        </is>
      </c>
      <c r="C25" t="inlineStr">
        <is>
          <t>Jabłka, gruszki i pigwy, świeże</t>
        </is>
      </c>
      <c r="D25" t="n">
        <v>524745.563</v>
      </c>
      <c r="E25" t="n">
        <v>530111.899</v>
      </c>
      <c r="F25" t="n">
        <v>900138.341</v>
      </c>
      <c r="G25" t="n">
        <v>789208.525</v>
      </c>
      <c r="H25" t="n">
        <v>43104.131</v>
      </c>
      <c r="I25" t="n">
        <v>57694.887</v>
      </c>
      <c r="J25" t="n">
        <v>36921.964</v>
      </c>
      <c r="K25" t="n">
        <v>45733.737</v>
      </c>
      <c r="L25" t="n">
        <v>481641.432</v>
      </c>
      <c r="M25" t="n">
        <v>472417.012</v>
      </c>
    </row>
    <row r="26">
      <c r="B26" t="inlineStr">
        <is>
          <t>0809</t>
        </is>
      </c>
      <c r="C26" t="inlineStr">
        <is>
          <t>Morele, wiśnie, brzoskwinie (łącznie z nektarynami),</t>
        </is>
      </c>
      <c r="D26" t="n">
        <v>24011.463</v>
      </c>
      <c r="E26" t="n">
        <v>27182.379</v>
      </c>
      <c r="F26" t="n">
        <v>22161.883</v>
      </c>
      <c r="G26" t="n">
        <v>18836.449</v>
      </c>
      <c r="H26" t="n">
        <v>219973.759</v>
      </c>
      <c r="I26" t="n">
        <v>216723.535</v>
      </c>
      <c r="J26" t="n">
        <v>149121.49</v>
      </c>
      <c r="K26" t="n">
        <v>117018.872</v>
      </c>
      <c r="L26" t="n">
        <v>-195962.296</v>
      </c>
      <c r="M26" t="n">
        <v>-189541.156</v>
      </c>
    </row>
    <row r="27">
      <c r="B27" t="inlineStr">
        <is>
          <t>0810</t>
        </is>
      </c>
      <c r="C27" t="inlineStr">
        <is>
          <t>Pozostałe owoce, świeże</t>
        </is>
      </c>
      <c r="D27" t="n">
        <v>292567.882</v>
      </c>
      <c r="E27" t="n">
        <v>281130.082</v>
      </c>
      <c r="F27" t="n">
        <v>70540.003</v>
      </c>
      <c r="G27" t="n">
        <v>65970.394</v>
      </c>
      <c r="H27" t="n">
        <v>423150.097</v>
      </c>
      <c r="I27" t="n">
        <v>516564.964</v>
      </c>
      <c r="J27" t="n">
        <v>109894.761</v>
      </c>
      <c r="K27" t="n">
        <v>124926.082</v>
      </c>
      <c r="L27" t="n">
        <v>-130582.215</v>
      </c>
      <c r="M27" t="n">
        <v>-235434.882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5:M212"/>
  <sheetViews>
    <sheetView workbookViewId="0">
      <selection activeCell="A1" sqref="A1"/>
    </sheetView>
  </sheetViews>
  <sheetFormatPr baseColWidth="8" defaultRowHeight="15"/>
  <sheetData>
    <row r="5">
      <c r="D5" t="inlineStr">
        <is>
          <t>EKSPORT/WYWÓZ</t>
        </is>
      </c>
      <c r="H5" t="inlineStr">
        <is>
          <t>IMPORT/PRZYWÓZ</t>
        </is>
      </c>
      <c r="L5" t="inlineStr">
        <is>
          <t>SALDO</t>
        </is>
      </c>
    </row>
    <row r="6">
      <c r="B6" t="inlineStr">
        <is>
          <t>CN</t>
        </is>
      </c>
      <c r="C6" t="inlineStr">
        <is>
          <t>Nazwa towaru</t>
        </is>
      </c>
      <c r="D6" t="inlineStr">
        <is>
          <t>Wartość [tys. EUR]</t>
        </is>
      </c>
      <c r="F6" t="inlineStr">
        <is>
          <t>Wolumen [tony]</t>
        </is>
      </c>
      <c r="H6" t="inlineStr">
        <is>
          <t>Wartość [tys. EUR]</t>
        </is>
      </c>
      <c r="J6" t="inlineStr">
        <is>
          <t>Wolumen [tony]</t>
        </is>
      </c>
      <c r="L6" t="inlineStr">
        <is>
          <t>Wartość [tys. EUR]</t>
        </is>
      </c>
    </row>
    <row r="7">
      <c r="D7" t="inlineStr">
        <is>
          <t>I-II 2025r.*</t>
        </is>
      </c>
      <c r="E7" t="inlineStr">
        <is>
          <t>I-II 2026r.*</t>
        </is>
      </c>
      <c r="F7" t="inlineStr">
        <is>
          <t>I-II 2025r.*</t>
        </is>
      </c>
      <c r="G7" t="inlineStr">
        <is>
          <t>I-II 2026r.*</t>
        </is>
      </c>
      <c r="H7" t="inlineStr">
        <is>
          <t>I-II 2025r.*</t>
        </is>
      </c>
      <c r="I7" t="inlineStr">
        <is>
          <t>I-II 2026r.*</t>
        </is>
      </c>
      <c r="J7" t="inlineStr">
        <is>
          <t>I-II 2025r.*</t>
        </is>
      </c>
      <c r="K7" t="inlineStr">
        <is>
          <t>I-II 2026r.*</t>
        </is>
      </c>
      <c r="L7" t="inlineStr">
        <is>
          <t>I-II 2025r.*</t>
        </is>
      </c>
      <c r="M7" t="inlineStr">
        <is>
          <t>I-II 2026r.*</t>
        </is>
      </c>
    </row>
    <row r="8">
      <c r="B8" t="inlineStr">
        <is>
          <t>RAZEM  (poz. HS - 0101 do 2403)</t>
        </is>
      </c>
      <c r="D8" t="n">
        <v>9137168.775999997</v>
      </c>
      <c r="E8" t="n">
        <v>8975386.382000007</v>
      </c>
      <c r="H8" t="n">
        <v>6391246.928000001</v>
      </c>
      <c r="I8" t="n">
        <v>6228661.42</v>
      </c>
      <c r="L8" t="n">
        <v>2745921.848</v>
      </c>
      <c r="M8" t="n">
        <v>2746724.962</v>
      </c>
    </row>
    <row r="9">
      <c r="B9" t="inlineStr">
        <is>
          <t>0101</t>
        </is>
      </c>
      <c r="C9" t="inlineStr">
        <is>
          <t>Konie żywe</t>
        </is>
      </c>
      <c r="D9" t="n">
        <v>2168.434</v>
      </c>
      <c r="E9" t="n">
        <v>2355.474</v>
      </c>
      <c r="F9" t="n">
        <v>687.066</v>
      </c>
      <c r="G9" t="n">
        <v>702.048</v>
      </c>
      <c r="H9" t="n">
        <v>947.103</v>
      </c>
      <c r="I9" t="n">
        <v>39.005</v>
      </c>
      <c r="J9" t="n">
        <v>16.309</v>
      </c>
      <c r="K9" t="n">
        <v>6.78</v>
      </c>
      <c r="L9" t="n">
        <v>1221.331</v>
      </c>
      <c r="M9" t="n">
        <v>2316.469</v>
      </c>
    </row>
    <row r="10">
      <c r="B10" t="inlineStr">
        <is>
          <t>0102</t>
        </is>
      </c>
      <c r="C10" t="inlineStr">
        <is>
          <t>Bydło żywe</t>
        </is>
      </c>
      <c r="D10" t="n">
        <v>4970.304</v>
      </c>
      <c r="E10" t="n">
        <v>3107.643</v>
      </c>
      <c r="F10" t="n">
        <v>1227.627</v>
      </c>
      <c r="G10" t="n">
        <v>636.153</v>
      </c>
      <c r="H10" t="n">
        <v>37111.526</v>
      </c>
      <c r="I10" t="n">
        <v>48789.892</v>
      </c>
      <c r="J10" t="n">
        <v>12712.87</v>
      </c>
      <c r="K10" t="n">
        <v>11093.652</v>
      </c>
      <c r="L10" t="n">
        <v>-32141.222</v>
      </c>
      <c r="M10" t="n">
        <v>-45682.249</v>
      </c>
    </row>
    <row r="11">
      <c r="B11" t="inlineStr">
        <is>
          <t>0103</t>
        </is>
      </c>
      <c r="C11" t="inlineStr">
        <is>
          <t>Trzoda chlewna żywa</t>
        </is>
      </c>
      <c r="D11" t="n">
        <v>396.382</v>
      </c>
      <c r="E11" t="n">
        <v>873.732</v>
      </c>
      <c r="F11" t="n">
        <v>231.43</v>
      </c>
      <c r="G11" t="n">
        <v>514.745</v>
      </c>
      <c r="H11" t="n">
        <v>107798.94</v>
      </c>
      <c r="I11" t="n">
        <v>95540.035</v>
      </c>
      <c r="J11" t="n">
        <v>46282.3</v>
      </c>
      <c r="K11" t="n">
        <v>52769.733</v>
      </c>
      <c r="L11" t="n">
        <v>-107402.558</v>
      </c>
      <c r="M11" t="n">
        <v>-94666.303</v>
      </c>
    </row>
    <row r="12">
      <c r="B12" t="inlineStr">
        <is>
          <t>0104</t>
        </is>
      </c>
      <c r="C12" t="inlineStr">
        <is>
          <t>Owce i kozy żywe</t>
        </is>
      </c>
      <c r="D12" t="n">
        <v>0</v>
      </c>
      <c r="E12" t="n">
        <v>0</v>
      </c>
      <c r="F12" t="n">
        <v>0</v>
      </c>
      <c r="G12" t="n">
        <v>0</v>
      </c>
      <c r="H12" t="n">
        <v>2.616</v>
      </c>
      <c r="I12" t="n">
        <v>23.534</v>
      </c>
      <c r="J12" t="n">
        <v>0.6929999999999999</v>
      </c>
      <c r="K12" t="n">
        <v>7.682</v>
      </c>
      <c r="L12" t="n">
        <v>-2.616</v>
      </c>
      <c r="M12" t="n">
        <v>-23.534</v>
      </c>
    </row>
    <row r="13">
      <c r="B13" t="inlineStr">
        <is>
          <t>0105</t>
        </is>
      </c>
      <c r="C13" t="inlineStr">
        <is>
          <t>Drób domowy żywy</t>
        </is>
      </c>
      <c r="D13" t="n">
        <v>11065.506</v>
      </c>
      <c r="E13" t="n">
        <v>9751.566999999999</v>
      </c>
      <c r="F13" t="n">
        <v>3408.966</v>
      </c>
      <c r="G13" t="n">
        <v>1257.86</v>
      </c>
      <c r="H13" t="n">
        <v>52530.589</v>
      </c>
      <c r="I13" t="n">
        <v>52152.514</v>
      </c>
      <c r="J13" t="n">
        <v>29791.661</v>
      </c>
      <c r="K13" t="n">
        <v>24215.579</v>
      </c>
      <c r="L13" t="n">
        <v>-41465.083</v>
      </c>
      <c r="M13" t="n">
        <v>-42400.947</v>
      </c>
    </row>
    <row r="14">
      <c r="B14" t="inlineStr">
        <is>
          <t>0106</t>
        </is>
      </c>
      <c r="C14" t="inlineStr">
        <is>
          <t>Pozostałe zwierzęta żywe</t>
        </is>
      </c>
      <c r="D14" t="n">
        <v>1241.482</v>
      </c>
      <c r="E14" t="n">
        <v>1364.316</v>
      </c>
      <c r="F14" t="n">
        <v>98.90900000000001</v>
      </c>
      <c r="G14" t="n">
        <v>89.768</v>
      </c>
      <c r="H14" t="n">
        <v>2565.806</v>
      </c>
      <c r="I14" t="n">
        <v>2177.348</v>
      </c>
      <c r="J14" t="n">
        <v>106.263</v>
      </c>
      <c r="K14" t="n">
        <v>66.46299999999999</v>
      </c>
      <c r="L14" t="n">
        <v>-1324.324</v>
      </c>
      <c r="M14" t="n">
        <v>-813.0319999999999</v>
      </c>
    </row>
    <row r="15">
      <c r="B15" t="inlineStr">
        <is>
          <t>0201</t>
        </is>
      </c>
      <c r="C15" t="inlineStr">
        <is>
          <t>Mięso wołowe świeże lub chłodzone</t>
        </is>
      </c>
      <c r="D15" t="n">
        <v>384663.821</v>
      </c>
      <c r="E15" t="n">
        <v>377013.474</v>
      </c>
      <c r="F15" t="n">
        <v>58727.561</v>
      </c>
      <c r="G15" t="n">
        <v>45297.701</v>
      </c>
      <c r="H15" t="n">
        <v>23191.852</v>
      </c>
      <c r="I15" t="n">
        <v>41781.213</v>
      </c>
      <c r="J15" t="n">
        <v>4201.716</v>
      </c>
      <c r="K15" t="n">
        <v>6563.634</v>
      </c>
      <c r="L15" t="n">
        <v>361471.969</v>
      </c>
      <c r="M15" t="n">
        <v>335232.261</v>
      </c>
    </row>
    <row r="16">
      <c r="B16" t="inlineStr">
        <is>
          <t>0202</t>
        </is>
      </c>
      <c r="C16" t="inlineStr">
        <is>
          <t>Mięso wołowe mrożone</t>
        </is>
      </c>
      <c r="D16" t="n">
        <v>107823.693</v>
      </c>
      <c r="E16" t="n">
        <v>114219.358</v>
      </c>
      <c r="F16" t="n">
        <v>17372.557</v>
      </c>
      <c r="G16" t="n">
        <v>14986.385</v>
      </c>
      <c r="H16" t="n">
        <v>6563.412</v>
      </c>
      <c r="I16" t="n">
        <v>10822.307</v>
      </c>
      <c r="J16" t="n">
        <v>1259.906</v>
      </c>
      <c r="K16" t="n">
        <v>1761.363</v>
      </c>
      <c r="L16" t="n">
        <v>101260.281</v>
      </c>
      <c r="M16" t="n">
        <v>103397.051</v>
      </c>
    </row>
    <row r="17">
      <c r="B17" t="inlineStr">
        <is>
          <t>0203</t>
        </is>
      </c>
      <c r="C17" t="inlineStr">
        <is>
          <t>Mięso wieprzowe świeże, chłodzone lub mrożone</t>
        </is>
      </c>
      <c r="D17" t="n">
        <v>147301.845</v>
      </c>
      <c r="E17" t="n">
        <v>129770.637</v>
      </c>
      <c r="F17" t="n">
        <v>62385.355</v>
      </c>
      <c r="G17" t="n">
        <v>63150.712</v>
      </c>
      <c r="H17" t="n">
        <v>270409.135</v>
      </c>
      <c r="I17" t="n">
        <v>232582.252</v>
      </c>
      <c r="J17" t="n">
        <v>114577.526</v>
      </c>
      <c r="K17" t="n">
        <v>122164.173</v>
      </c>
      <c r="L17" t="n">
        <v>-123107.29</v>
      </c>
      <c r="M17" t="n">
        <v>-102811.615</v>
      </c>
    </row>
    <row r="18">
      <c r="B18" t="inlineStr">
        <is>
          <t>0204</t>
        </is>
      </c>
      <c r="C18" t="inlineStr">
        <is>
          <t>Mięso baranie i kozie - świeże, chłodzone l. mrożone</t>
        </is>
      </c>
      <c r="D18" t="n">
        <v>462.102</v>
      </c>
      <c r="E18" t="n">
        <v>1697.403</v>
      </c>
      <c r="F18" t="n">
        <v>54.843</v>
      </c>
      <c r="G18" t="n">
        <v>222.042</v>
      </c>
      <c r="H18" t="n">
        <v>1203.407</v>
      </c>
      <c r="I18" t="n">
        <v>1891.023</v>
      </c>
      <c r="J18" t="n">
        <v>158.835</v>
      </c>
      <c r="K18" t="n">
        <v>224.268</v>
      </c>
      <c r="L18" t="n">
        <v>-741.3049999999999</v>
      </c>
      <c r="M18" t="n">
        <v>-193.6199999999999</v>
      </c>
    </row>
    <row r="19">
      <c r="B19" t="inlineStr">
        <is>
          <t>0205</t>
        </is>
      </c>
      <c r="C19" t="inlineStr">
        <is>
          <t>Mięso końskie</t>
        </is>
      </c>
      <c r="D19" t="n">
        <v>6574.573</v>
      </c>
      <c r="E19" t="n">
        <v>8514.852999999999</v>
      </c>
      <c r="F19" t="n">
        <v>1245.902</v>
      </c>
      <c r="G19" t="n">
        <v>1597.648</v>
      </c>
      <c r="H19" t="n">
        <v>164.778</v>
      </c>
      <c r="I19" t="n">
        <v>175.794</v>
      </c>
      <c r="J19" t="n">
        <v>22.609</v>
      </c>
      <c r="K19" t="n">
        <v>15.989</v>
      </c>
      <c r="L19" t="n">
        <v>6409.795</v>
      </c>
      <c r="M19" t="n">
        <v>8339.058999999999</v>
      </c>
    </row>
    <row r="20">
      <c r="B20" t="inlineStr">
        <is>
          <t>0206</t>
        </is>
      </c>
      <c r="C20" t="inlineStr">
        <is>
          <t>Jadalne podroby wołowe, wieprzowe, baranie, kozie,</t>
        </is>
      </c>
      <c r="D20" t="n">
        <v>31754.643</v>
      </c>
      <c r="E20" t="n">
        <v>31600.962</v>
      </c>
      <c r="F20" t="n">
        <v>30556.266</v>
      </c>
      <c r="G20" t="n">
        <v>29334.897</v>
      </c>
      <c r="H20" t="n">
        <v>3679.421</v>
      </c>
      <c r="I20" t="n">
        <v>5547.717</v>
      </c>
      <c r="J20" t="n">
        <v>2358.441</v>
      </c>
      <c r="K20" t="n">
        <v>3959.303</v>
      </c>
      <c r="L20" t="n">
        <v>28075.222</v>
      </c>
      <c r="M20" t="n">
        <v>26053.245</v>
      </c>
    </row>
    <row r="21">
      <c r="B21" t="inlineStr">
        <is>
          <t>0207</t>
        </is>
      </c>
      <c r="C21" t="inlineStr">
        <is>
          <t>Mięso i jadalne podroby z drobiu z pozycji nr 0105,</t>
        </is>
      </c>
      <c r="D21" t="n">
        <v>778150.785</v>
      </c>
      <c r="E21" t="n">
        <v>834039.3419999999</v>
      </c>
      <c r="F21" t="n">
        <v>299068.37</v>
      </c>
      <c r="G21" t="n">
        <v>302285.969</v>
      </c>
      <c r="H21" t="n">
        <v>18399.844</v>
      </c>
      <c r="I21" t="n">
        <v>24176.991</v>
      </c>
      <c r="J21" t="n">
        <v>9199.703</v>
      </c>
      <c r="K21" t="n">
        <v>14115.962</v>
      </c>
      <c r="L21" t="n">
        <v>759750.941</v>
      </c>
      <c r="M21" t="n">
        <v>809862.3509999999</v>
      </c>
    </row>
    <row r="22">
      <c r="B22" t="inlineStr">
        <is>
          <t>0208</t>
        </is>
      </c>
      <c r="C22" t="inlineStr">
        <is>
          <t>Pozostałe mięso i podroby jadalne, świeże, chłodzone</t>
        </is>
      </c>
      <c r="D22" t="n">
        <v>7283.972</v>
      </c>
      <c r="E22" t="n">
        <v>6639.167</v>
      </c>
      <c r="F22" t="n">
        <v>1112.441</v>
      </c>
      <c r="G22" t="n">
        <v>1053.804</v>
      </c>
      <c r="H22" t="n">
        <v>1481.846</v>
      </c>
      <c r="I22" t="n">
        <v>1167.191</v>
      </c>
      <c r="J22" t="n">
        <v>244.536</v>
      </c>
      <c r="K22" t="n">
        <v>193.458</v>
      </c>
      <c r="L22" t="n">
        <v>5802.126</v>
      </c>
      <c r="M22" t="n">
        <v>5471.976000000001</v>
      </c>
    </row>
    <row r="23">
      <c r="B23" t="inlineStr">
        <is>
          <t>0209</t>
        </is>
      </c>
      <c r="C23" t="inlineStr">
        <is>
          <t>Tłuszcz wieprzowy, drobiowy</t>
        </is>
      </c>
      <c r="D23" t="n">
        <v>10624.133</v>
      </c>
      <c r="E23" t="n">
        <v>9631.102000000001</v>
      </c>
      <c r="F23" t="n">
        <v>11566.12</v>
      </c>
      <c r="G23" t="n">
        <v>10774.552</v>
      </c>
      <c r="H23" t="n">
        <v>960.583</v>
      </c>
      <c r="I23" t="n">
        <v>1526.085</v>
      </c>
      <c r="J23" t="n">
        <v>807.171</v>
      </c>
      <c r="K23" t="n">
        <v>1269.693</v>
      </c>
      <c r="L23" t="n">
        <v>9663.549999999999</v>
      </c>
      <c r="M23" t="n">
        <v>8105.017000000001</v>
      </c>
    </row>
    <row r="24">
      <c r="B24" t="inlineStr">
        <is>
          <t>0210</t>
        </is>
      </c>
      <c r="C24" t="inlineStr">
        <is>
          <t>Mięso i podroby jadalne, solone, w solance, suszone</t>
        </is>
      </c>
      <c r="D24" t="n">
        <v>5556.635</v>
      </c>
      <c r="E24" t="n">
        <v>6867.22</v>
      </c>
      <c r="F24" t="n">
        <v>1066.183</v>
      </c>
      <c r="G24" t="n">
        <v>1430.051</v>
      </c>
      <c r="H24" t="n">
        <v>14287.917</v>
      </c>
      <c r="I24" t="n">
        <v>12866.044</v>
      </c>
      <c r="J24" t="n">
        <v>1936.109</v>
      </c>
      <c r="K24" t="n">
        <v>1368.465</v>
      </c>
      <c r="L24" t="n">
        <v>-8731.281999999999</v>
      </c>
      <c r="M24" t="n">
        <v>-5998.824</v>
      </c>
    </row>
    <row r="25">
      <c r="B25" t="inlineStr">
        <is>
          <t>0301</t>
        </is>
      </c>
      <c r="C25" t="inlineStr">
        <is>
          <t>Ryby żywe</t>
        </is>
      </c>
      <c r="D25" t="n">
        <v>899.025</v>
      </c>
      <c r="E25" t="n">
        <v>390.361</v>
      </c>
      <c r="F25" t="n">
        <v>232.434</v>
      </c>
      <c r="G25" t="n">
        <v>100.944</v>
      </c>
      <c r="H25" t="n">
        <v>1503.662</v>
      </c>
      <c r="I25" t="n">
        <v>678.487</v>
      </c>
      <c r="J25" t="n">
        <v>192.31</v>
      </c>
      <c r="K25" t="n">
        <v>25.609</v>
      </c>
      <c r="L25" t="n">
        <v>-604.6370000000001</v>
      </c>
      <c r="M25" t="n">
        <v>-288.126</v>
      </c>
    </row>
    <row r="26">
      <c r="B26" t="inlineStr">
        <is>
          <t>0302</t>
        </is>
      </c>
      <c r="C26" t="inlineStr">
        <is>
          <t>Ryby świeże lub chłodzone, z wyjątkiem filetów</t>
        </is>
      </c>
      <c r="D26" t="n">
        <v>2932.323</v>
      </c>
      <c r="E26" t="n">
        <v>5700.11</v>
      </c>
      <c r="F26" t="n">
        <v>674.383</v>
      </c>
      <c r="G26" t="n">
        <v>734.458</v>
      </c>
      <c r="H26" t="n">
        <v>180199.905</v>
      </c>
      <c r="I26" t="n">
        <v>241383.18</v>
      </c>
      <c r="J26" t="n">
        <v>26802.974</v>
      </c>
      <c r="K26" t="n">
        <v>35751.909</v>
      </c>
      <c r="L26" t="n">
        <v>-177267.582</v>
      </c>
      <c r="M26" t="n">
        <v>-235683.07</v>
      </c>
    </row>
    <row r="27">
      <c r="B27" t="inlineStr">
        <is>
          <t>0303</t>
        </is>
      </c>
      <c r="C27" t="inlineStr">
        <is>
          <t>Ryby mrożone, z wyłączeniem filetów rybnych</t>
        </is>
      </c>
      <c r="D27" t="n">
        <v>27515.577</v>
      </c>
      <c r="E27" t="n">
        <v>23288.48</v>
      </c>
      <c r="F27" t="n">
        <v>5590.034</v>
      </c>
      <c r="G27" t="n">
        <v>4000.365</v>
      </c>
      <c r="H27" t="n">
        <v>77094.772</v>
      </c>
      <c r="I27" t="n">
        <v>69032.732</v>
      </c>
      <c r="J27" t="n">
        <v>19143.361</v>
      </c>
      <c r="K27" t="n">
        <v>15592.272</v>
      </c>
      <c r="L27" t="n">
        <v>-49579.19499999999</v>
      </c>
      <c r="M27" t="n">
        <v>-45744.25200000001</v>
      </c>
    </row>
    <row r="28">
      <c r="B28" t="inlineStr">
        <is>
          <t>0304</t>
        </is>
      </c>
      <c r="C28" t="inlineStr">
        <is>
          <t>Filety rybne i inne mięso rybie (rozdrobnione)</t>
        </is>
      </c>
      <c r="D28" t="n">
        <v>179909.549</v>
      </c>
      <c r="E28" t="n">
        <v>183717.127</v>
      </c>
      <c r="F28" t="n">
        <v>17469.299</v>
      </c>
      <c r="G28" t="n">
        <v>16468.981</v>
      </c>
      <c r="H28" t="n">
        <v>209679.747</v>
      </c>
      <c r="I28" t="n">
        <v>201617.271</v>
      </c>
      <c r="J28" t="n">
        <v>43044.849</v>
      </c>
      <c r="K28" t="n">
        <v>42996.116</v>
      </c>
      <c r="L28" t="n">
        <v>-29770.198</v>
      </c>
      <c r="M28" t="n">
        <v>-17900.144</v>
      </c>
    </row>
    <row r="29">
      <c r="B29" t="inlineStr">
        <is>
          <t>0305</t>
        </is>
      </c>
      <c r="C29" t="inlineStr">
        <is>
          <t>Ryby suszone, solone lub w solance; ryby wędzone</t>
        </is>
      </c>
      <c r="D29" t="n">
        <v>174276.401</v>
      </c>
      <c r="E29" t="n">
        <v>177873.936</v>
      </c>
      <c r="F29" t="n">
        <v>10519.102</v>
      </c>
      <c r="G29" t="n">
        <v>11206.638</v>
      </c>
      <c r="H29" t="n">
        <v>2127.187</v>
      </c>
      <c r="I29" t="n">
        <v>3221.26</v>
      </c>
      <c r="J29" t="n">
        <v>233.767</v>
      </c>
      <c r="K29" t="n">
        <v>335.903</v>
      </c>
      <c r="L29" t="n">
        <v>172149.214</v>
      </c>
      <c r="M29" t="n">
        <v>174652.676</v>
      </c>
    </row>
    <row r="30">
      <c r="B30" t="inlineStr">
        <is>
          <t>0306</t>
        </is>
      </c>
      <c r="C30" t="inlineStr">
        <is>
          <t>Skorupiaki w skorupach lub bez, żywe, świeże,</t>
        </is>
      </c>
      <c r="D30" t="n">
        <v>1674.832</v>
      </c>
      <c r="E30" t="n">
        <v>1916.354</v>
      </c>
      <c r="F30" t="n">
        <v>211.032</v>
      </c>
      <c r="G30" t="n">
        <v>256.099</v>
      </c>
      <c r="H30" t="n">
        <v>8858.825999999999</v>
      </c>
      <c r="I30" t="n">
        <v>16276.351</v>
      </c>
      <c r="J30" t="n">
        <v>1323.382</v>
      </c>
      <c r="K30" t="n">
        <v>2381.178</v>
      </c>
      <c r="L30" t="n">
        <v>-7183.993999999999</v>
      </c>
      <c r="M30" t="n">
        <v>-14359.997</v>
      </c>
    </row>
    <row r="31">
      <c r="B31" t="inlineStr">
        <is>
          <t>0307</t>
        </is>
      </c>
      <c r="C31" t="inlineStr">
        <is>
          <t>Mięczaki w skorupach lub bez, żywe, świeże,</t>
        </is>
      </c>
      <c r="D31" t="n">
        <v>434.735</v>
      </c>
      <c r="E31" t="n">
        <v>86.515</v>
      </c>
      <c r="F31" t="n">
        <v>21.454</v>
      </c>
      <c r="G31" t="n">
        <v>6.762</v>
      </c>
      <c r="H31" t="n">
        <v>1850.44</v>
      </c>
      <c r="I31" t="n">
        <v>2663.657</v>
      </c>
      <c r="J31" t="n">
        <v>292.88</v>
      </c>
      <c r="K31" t="n">
        <v>478.24</v>
      </c>
      <c r="L31" t="n">
        <v>-1415.705</v>
      </c>
      <c r="M31" t="n">
        <v>-2577.142</v>
      </c>
    </row>
    <row r="32">
      <c r="B32" t="inlineStr">
        <is>
          <t>0308</t>
        </is>
      </c>
      <c r="C32" t="inlineStr">
        <is>
          <t>Bezkręgowce wodne, inne niż skorupiaki i mięczaki,</t>
        </is>
      </c>
      <c r="D32" t="n">
        <v>822.859</v>
      </c>
      <c r="E32" t="n">
        <v>549.117</v>
      </c>
      <c r="F32" t="n">
        <v>61.073</v>
      </c>
      <c r="G32" t="n">
        <v>34.716</v>
      </c>
      <c r="H32" t="n">
        <v>1103.618</v>
      </c>
      <c r="I32" t="n">
        <v>491.005</v>
      </c>
      <c r="J32" t="n">
        <v>225.522</v>
      </c>
      <c r="K32" t="n">
        <v>78.21899999999999</v>
      </c>
      <c r="L32" t="n">
        <v>-280.7589999999999</v>
      </c>
      <c r="M32" t="n">
        <v>58.11199999999997</v>
      </c>
    </row>
    <row r="33">
      <c r="B33" t="inlineStr">
        <is>
          <t>0309</t>
        </is>
      </c>
      <c r="C33" t="inlineStr">
        <is>
          <t>Mąki, mączki i granulki z ryb, skorup., mięcz. i pozost., do spoż. przez ludzi:</t>
        </is>
      </c>
      <c r="D33" t="n">
        <v>0.64</v>
      </c>
      <c r="E33" t="n">
        <v>16.206</v>
      </c>
      <c r="F33" t="n">
        <v>0.008999999999999999</v>
      </c>
      <c r="G33" t="n">
        <v>21.027</v>
      </c>
      <c r="H33" t="n">
        <v>54.158</v>
      </c>
      <c r="I33" t="n">
        <v>0.967</v>
      </c>
      <c r="J33" t="n">
        <v>23.743</v>
      </c>
      <c r="K33" t="n">
        <v>0.031</v>
      </c>
      <c r="L33" t="n">
        <v>-53.518</v>
      </c>
      <c r="M33" t="n">
        <v>15.239</v>
      </c>
    </row>
    <row r="34">
      <c r="B34" t="inlineStr">
        <is>
          <t>0401</t>
        </is>
      </c>
      <c r="C34" t="inlineStr">
        <is>
          <t xml:space="preserve">Mleko i śmietana, nie zagęszczone </t>
        </is>
      </c>
      <c r="D34" t="n">
        <v>128175.666</v>
      </c>
      <c r="E34" t="n">
        <v>88028.10400000001</v>
      </c>
      <c r="F34" t="n">
        <v>149571.503</v>
      </c>
      <c r="G34" t="n">
        <v>146893.619</v>
      </c>
      <c r="H34" t="n">
        <v>43078.637</v>
      </c>
      <c r="I34" t="n">
        <v>32643.708</v>
      </c>
      <c r="J34" t="n">
        <v>23214.55</v>
      </c>
      <c r="K34" t="n">
        <v>25032.757</v>
      </c>
      <c r="L34" t="n">
        <v>85097.02899999999</v>
      </c>
      <c r="M34" t="n">
        <v>55384.39600000001</v>
      </c>
    </row>
    <row r="35">
      <c r="B35" t="inlineStr">
        <is>
          <t>0402</t>
        </is>
      </c>
      <c r="C35" t="inlineStr">
        <is>
          <t xml:space="preserve">Mleko i śmietana, zagęszczone </t>
        </is>
      </c>
      <c r="D35" t="n">
        <v>57971.237</v>
      </c>
      <c r="E35" t="n">
        <v>49967.671</v>
      </c>
      <c r="F35" t="n">
        <v>22058.088</v>
      </c>
      <c r="G35" t="n">
        <v>23065.936</v>
      </c>
      <c r="H35" t="n">
        <v>52995.423</v>
      </c>
      <c r="I35" t="n">
        <v>46902.716</v>
      </c>
      <c r="J35" t="n">
        <v>23959.256</v>
      </c>
      <c r="K35" t="n">
        <v>29900.943</v>
      </c>
      <c r="L35" t="n">
        <v>4975.813999999998</v>
      </c>
      <c r="M35" t="n">
        <v>3064.955000000002</v>
      </c>
    </row>
    <row r="36">
      <c r="B36" t="inlineStr">
        <is>
          <t>0403</t>
        </is>
      </c>
      <c r="C36" t="inlineStr">
        <is>
          <t>Maślanka, mleko zsiadłe i śmietana kwaśna, jogurt</t>
        </is>
      </c>
      <c r="D36" t="n">
        <v>44575.825</v>
      </c>
      <c r="E36" t="n">
        <v>50629.498</v>
      </c>
      <c r="F36" t="n">
        <v>25129.464</v>
      </c>
      <c r="G36" t="n">
        <v>27521.288</v>
      </c>
      <c r="H36" t="n">
        <v>16703.224</v>
      </c>
      <c r="I36" t="n">
        <v>16373.394</v>
      </c>
      <c r="J36" t="n">
        <v>10529.985</v>
      </c>
      <c r="K36" t="n">
        <v>10606.306</v>
      </c>
      <c r="L36" t="n">
        <v>27872.601</v>
      </c>
      <c r="M36" t="n">
        <v>34256.104</v>
      </c>
    </row>
    <row r="37">
      <c r="B37" t="inlineStr">
        <is>
          <t>0404</t>
        </is>
      </c>
      <c r="C37" t="inlineStr">
        <is>
          <t>Serwatka, nawet zagęszczona, lub zawierająca dodatek cukru</t>
        </is>
      </c>
      <c r="D37" t="n">
        <v>38258.09</v>
      </c>
      <c r="E37" t="n">
        <v>37798.079</v>
      </c>
      <c r="F37" t="n">
        <v>33813.046</v>
      </c>
      <c r="G37" t="n">
        <v>36279.059</v>
      </c>
      <c r="H37" t="n">
        <v>13088.678</v>
      </c>
      <c r="I37" t="n">
        <v>15642.086</v>
      </c>
      <c r="J37" t="n">
        <v>10397.177</v>
      </c>
      <c r="K37" t="n">
        <v>10639.751</v>
      </c>
      <c r="L37" t="n">
        <v>25169.412</v>
      </c>
      <c r="M37" t="n">
        <v>22155.993</v>
      </c>
    </row>
    <row r="38">
      <c r="B38" t="inlineStr">
        <is>
          <t>0405</t>
        </is>
      </c>
      <c r="C38" t="inlineStr">
        <is>
          <t>Masło oraz inne tłuszcze otrzymywanie z mleka</t>
        </is>
      </c>
      <c r="D38" t="n">
        <v>82068.41800000001</v>
      </c>
      <c r="E38" t="n">
        <v>60039.134</v>
      </c>
      <c r="F38" t="n">
        <v>11189.176</v>
      </c>
      <c r="G38" t="n">
        <v>13639.295</v>
      </c>
      <c r="H38" t="n">
        <v>24621.94</v>
      </c>
      <c r="I38" t="n">
        <v>15831.805</v>
      </c>
      <c r="J38" t="n">
        <v>2903.393</v>
      </c>
      <c r="K38" t="n">
        <v>2349.606</v>
      </c>
      <c r="L38" t="n">
        <v>57446.478</v>
      </c>
      <c r="M38" t="n">
        <v>44207.329</v>
      </c>
    </row>
    <row r="39">
      <c r="B39" t="inlineStr">
        <is>
          <t>0406</t>
        </is>
      </c>
      <c r="C39" t="inlineStr">
        <is>
          <t>Sery i twarogi</t>
        </is>
      </c>
      <c r="D39" t="n">
        <v>201891.949</v>
      </c>
      <c r="E39" t="n">
        <v>193951.852</v>
      </c>
      <c r="F39" t="n">
        <v>44864.532</v>
      </c>
      <c r="G39" t="n">
        <v>48168.998</v>
      </c>
      <c r="H39" t="n">
        <v>121104.375</v>
      </c>
      <c r="I39" t="n">
        <v>109112.337</v>
      </c>
      <c r="J39" t="n">
        <v>23132.871</v>
      </c>
      <c r="K39" t="n">
        <v>21644.999</v>
      </c>
      <c r="L39" t="n">
        <v>80787.57399999999</v>
      </c>
      <c r="M39" t="n">
        <v>84839.51500000001</v>
      </c>
    </row>
    <row r="40">
      <c r="B40" t="inlineStr">
        <is>
          <t>0407</t>
        </is>
      </c>
      <c r="C40" t="inlineStr">
        <is>
          <t>Jaja ptasie w skorupkach</t>
        </is>
      </c>
      <c r="D40" t="n">
        <v>98584.56600000001</v>
      </c>
      <c r="E40" t="n">
        <v>89454.746</v>
      </c>
      <c r="F40" t="n">
        <v>43561.011</v>
      </c>
      <c r="G40" t="n">
        <v>29305.559</v>
      </c>
      <c r="H40" t="n">
        <v>16973.068</v>
      </c>
      <c r="I40" t="n">
        <v>34508.135</v>
      </c>
      <c r="J40" t="n">
        <v>5726.702</v>
      </c>
      <c r="K40" t="n">
        <v>9574.673000000001</v>
      </c>
      <c r="L40" t="n">
        <v>81611.49800000001</v>
      </c>
      <c r="M40" t="n">
        <v>54946.611</v>
      </c>
    </row>
    <row r="41">
      <c r="B41" t="inlineStr">
        <is>
          <t>0408</t>
        </is>
      </c>
      <c r="C41" t="inlineStr">
        <is>
          <t>Jaja ptasie bez skorupek i żółtka jaj, świeże,</t>
        </is>
      </c>
      <c r="D41" t="n">
        <v>28925.938</v>
      </c>
      <c r="E41" t="n">
        <v>28842.431</v>
      </c>
      <c r="F41" t="n">
        <v>10496.083</v>
      </c>
      <c r="G41" t="n">
        <v>7466.22</v>
      </c>
      <c r="H41" t="n">
        <v>12430.623</v>
      </c>
      <c r="I41" t="n">
        <v>21044.563</v>
      </c>
      <c r="J41" t="n">
        <v>4028.478</v>
      </c>
      <c r="K41" t="n">
        <v>5172.896</v>
      </c>
      <c r="L41" t="n">
        <v>16495.315</v>
      </c>
      <c r="M41" t="n">
        <v>7797.868000000002</v>
      </c>
    </row>
    <row r="42">
      <c r="B42" t="inlineStr">
        <is>
          <t>0409</t>
        </is>
      </c>
      <c r="C42" t="inlineStr">
        <is>
          <t>Miód naturalny</t>
        </is>
      </c>
      <c r="D42" t="n">
        <v>6013.431</v>
      </c>
      <c r="E42" t="n">
        <v>5425.274</v>
      </c>
      <c r="F42" t="n">
        <v>2234.005</v>
      </c>
      <c r="G42" t="n">
        <v>1559.709</v>
      </c>
      <c r="H42" t="n">
        <v>9778.805</v>
      </c>
      <c r="I42" t="n">
        <v>11708.404</v>
      </c>
      <c r="J42" t="n">
        <v>5930.099</v>
      </c>
      <c r="K42" t="n">
        <v>5815.321</v>
      </c>
      <c r="L42" t="n">
        <v>-3765.374000000001</v>
      </c>
      <c r="M42" t="n">
        <v>-6283.13</v>
      </c>
    </row>
    <row r="43">
      <c r="B43" t="inlineStr">
        <is>
          <t>0410</t>
        </is>
      </c>
      <c r="C43" t="inlineStr">
        <is>
          <t>Jadalne prod. poch. zwierzęcego gdzie indziej nie wym.</t>
        </is>
      </c>
      <c r="D43" t="n">
        <v>22.601</v>
      </c>
      <c r="E43" t="n">
        <v>2.353</v>
      </c>
      <c r="F43" t="n">
        <v>17.104</v>
      </c>
      <c r="G43" t="n">
        <v>0.207</v>
      </c>
      <c r="H43" t="n">
        <v>45.229</v>
      </c>
      <c r="I43" t="n">
        <v>150.756</v>
      </c>
      <c r="J43" t="n">
        <v>22.2</v>
      </c>
      <c r="K43" t="n">
        <v>88.84</v>
      </c>
      <c r="L43" t="n">
        <v>-22.628</v>
      </c>
      <c r="M43" t="n">
        <v>-148.403</v>
      </c>
    </row>
    <row r="44">
      <c r="B44" t="inlineStr">
        <is>
          <t>0501</t>
        </is>
      </c>
      <c r="C44" t="inlineStr">
        <is>
          <t>Włosy ludzkie nieobrob. odtłusz.; odpadki ludz. włosów</t>
        </is>
      </c>
      <c r="D44" t="n">
        <v>14.263</v>
      </c>
      <c r="E44" t="n">
        <v>54.996</v>
      </c>
      <c r="F44" t="n">
        <v>0.007</v>
      </c>
      <c r="G44" t="n">
        <v>0.064</v>
      </c>
      <c r="H44" t="n">
        <v>33.535</v>
      </c>
      <c r="I44" t="n">
        <v>0.877</v>
      </c>
      <c r="J44" t="n">
        <v>0.028</v>
      </c>
      <c r="K44" t="n">
        <v>0.028</v>
      </c>
      <c r="L44" t="n">
        <v>-19.272</v>
      </c>
      <c r="M44" t="n">
        <v>54.119</v>
      </c>
    </row>
    <row r="45">
      <c r="B45" t="inlineStr">
        <is>
          <t>0502</t>
        </is>
      </c>
      <c r="C45" t="inlineStr">
        <is>
          <t xml:space="preserve">Szczecina i sierść świń lub dzików; sierść borsuka </t>
        </is>
      </c>
      <c r="D45" t="n">
        <v>0.23</v>
      </c>
      <c r="E45" t="n">
        <v>0.51</v>
      </c>
      <c r="F45" t="n">
        <v>0.011</v>
      </c>
      <c r="G45" t="n">
        <v>0.033</v>
      </c>
      <c r="H45" t="n">
        <v>152.957</v>
      </c>
      <c r="I45" t="n">
        <v>203.672</v>
      </c>
      <c r="J45" t="n">
        <v>25.134</v>
      </c>
      <c r="K45" t="n">
        <v>31.002</v>
      </c>
      <c r="L45" t="n">
        <v>-152.727</v>
      </c>
      <c r="M45" t="n">
        <v>-203.162</v>
      </c>
    </row>
    <row r="46">
      <c r="B46" t="inlineStr">
        <is>
          <t>0503</t>
        </is>
      </c>
      <c r="C46" t="inlineStr">
        <is>
          <t>Włosie końskie i odpadki z niego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B47" t="inlineStr">
        <is>
          <t>0504</t>
        </is>
      </c>
      <c r="C47" t="inlineStr">
        <is>
          <t>Jelita, pęcherze i żołądki zwierzęce (oprócz rybich),</t>
        </is>
      </c>
      <c r="D47" t="n">
        <v>30352.337</v>
      </c>
      <c r="E47" t="n">
        <v>26529.735</v>
      </c>
      <c r="F47" t="n">
        <v>8356.388000000001</v>
      </c>
      <c r="G47" t="n">
        <v>7327.36</v>
      </c>
      <c r="H47" t="n">
        <v>34790.561</v>
      </c>
      <c r="I47" t="n">
        <v>33633.95</v>
      </c>
      <c r="J47" t="n">
        <v>5837.982</v>
      </c>
      <c r="K47" t="n">
        <v>5671.879</v>
      </c>
      <c r="L47" t="n">
        <v>-4438.224000000002</v>
      </c>
      <c r="M47" t="n">
        <v>-7104.214999999997</v>
      </c>
    </row>
    <row r="48">
      <c r="B48" t="inlineStr">
        <is>
          <t>0505</t>
        </is>
      </c>
      <c r="C48" t="inlineStr">
        <is>
          <t>Skóry i inne części ptaków z ich piórami lub puchem,</t>
        </is>
      </c>
      <c r="D48" t="n">
        <v>15569.647</v>
      </c>
      <c r="E48" t="n">
        <v>15555.678</v>
      </c>
      <c r="F48" t="n">
        <v>4323.102</v>
      </c>
      <c r="G48" t="n">
        <v>5138.321</v>
      </c>
      <c r="H48" t="n">
        <v>8526.286</v>
      </c>
      <c r="I48" t="n">
        <v>5381.489</v>
      </c>
      <c r="J48" t="n">
        <v>1008.934</v>
      </c>
      <c r="K48" t="n">
        <v>827.1369999999999</v>
      </c>
      <c r="L48" t="n">
        <v>7043.361000000001</v>
      </c>
      <c r="M48" t="n">
        <v>10174.189</v>
      </c>
    </row>
    <row r="49">
      <c r="B49" t="inlineStr">
        <is>
          <t>0506</t>
        </is>
      </c>
      <c r="C49" t="inlineStr">
        <is>
          <t>Kości i rdzenie rogów, nie obrobione, odtłuszczone,</t>
        </is>
      </c>
      <c r="D49" t="n">
        <v>1936.614</v>
      </c>
      <c r="E49" t="n">
        <v>1810.393</v>
      </c>
      <c r="F49" t="n">
        <v>11718.13</v>
      </c>
      <c r="G49" t="n">
        <v>9011.959999999999</v>
      </c>
      <c r="H49" t="n">
        <v>89.47199999999999</v>
      </c>
      <c r="I49" t="n">
        <v>177.214</v>
      </c>
      <c r="J49" t="n">
        <v>35.799</v>
      </c>
      <c r="K49" t="n">
        <v>196.602</v>
      </c>
      <c r="L49" t="n">
        <v>1847.142</v>
      </c>
      <c r="M49" t="n">
        <v>1633.179</v>
      </c>
    </row>
    <row r="50">
      <c r="B50" t="inlineStr">
        <is>
          <t>0507</t>
        </is>
      </c>
      <c r="C50" t="inlineStr">
        <is>
          <t>Kość słoniowa, skorupy żółwiowe, fiszbiny i frędzle,</t>
        </is>
      </c>
      <c r="D50" t="n">
        <v>530.7329999999999</v>
      </c>
      <c r="E50" t="n">
        <v>385.1</v>
      </c>
      <c r="F50" t="n">
        <v>38.422</v>
      </c>
      <c r="G50" t="n">
        <v>38.023</v>
      </c>
      <c r="H50" t="n">
        <v>44.83</v>
      </c>
      <c r="I50" t="n">
        <v>87.514</v>
      </c>
      <c r="J50" t="n">
        <v>26.16</v>
      </c>
      <c r="K50" t="n">
        <v>460.873</v>
      </c>
      <c r="L50" t="n">
        <v>485.903</v>
      </c>
      <c r="M50" t="n">
        <v>297.586</v>
      </c>
    </row>
    <row r="51">
      <c r="B51" t="inlineStr">
        <is>
          <t>0508</t>
        </is>
      </c>
      <c r="C51" t="inlineStr">
        <is>
          <t>Koral i podobne materiały</t>
        </is>
      </c>
      <c r="D51" t="n">
        <v>9.935</v>
      </c>
      <c r="E51" t="n">
        <v>55.082</v>
      </c>
      <c r="F51" t="n">
        <v>16.529</v>
      </c>
      <c r="G51" t="n">
        <v>50.605</v>
      </c>
      <c r="H51" t="n">
        <v>37.461</v>
      </c>
      <c r="I51" t="n">
        <v>19.532</v>
      </c>
      <c r="J51" t="n">
        <v>55.551</v>
      </c>
      <c r="K51" t="n">
        <v>48.215</v>
      </c>
      <c r="L51" t="n">
        <v>-27.526</v>
      </c>
      <c r="M51" t="n">
        <v>35.55</v>
      </c>
    </row>
    <row r="52">
      <c r="B52" t="inlineStr">
        <is>
          <t>0509</t>
        </is>
      </c>
      <c r="C52" t="inlineStr">
        <is>
          <t>Gąbki naturalne pochodzenia zwierzęcego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B53" t="inlineStr">
        <is>
          <t>0510</t>
        </is>
      </c>
      <c r="C53" t="inlineStr">
        <is>
          <t>Ambra sz.,str.bobr.,cib.i piżmo;musz.hiszp.,żółć;grucz.</t>
        </is>
      </c>
      <c r="D53" t="n">
        <v>27.833</v>
      </c>
      <c r="E53" t="n">
        <v>22.808</v>
      </c>
      <c r="F53" t="n">
        <v>30.61</v>
      </c>
      <c r="G53" t="n">
        <v>27.9</v>
      </c>
      <c r="H53" t="n">
        <v>0.221</v>
      </c>
      <c r="I53" t="n">
        <v>0.306</v>
      </c>
      <c r="J53" t="n">
        <v>0</v>
      </c>
      <c r="K53" t="n">
        <v>0</v>
      </c>
      <c r="L53" t="n">
        <v>27.612</v>
      </c>
      <c r="M53" t="n">
        <v>22.502</v>
      </c>
    </row>
    <row r="54">
      <c r="B54" t="inlineStr">
        <is>
          <t>0511</t>
        </is>
      </c>
      <c r="C54" t="inlineStr">
        <is>
          <t>Produkty pochodzenia zwierzęcego, gdzie indziej nie wym.</t>
        </is>
      </c>
      <c r="D54" t="n">
        <v>25272.762</v>
      </c>
      <c r="E54" t="n">
        <v>24666.404</v>
      </c>
      <c r="F54" t="n">
        <v>27287.386</v>
      </c>
      <c r="G54" t="n">
        <v>29447.246</v>
      </c>
      <c r="H54" t="n">
        <v>17142.15</v>
      </c>
      <c r="I54" t="n">
        <v>18382.08</v>
      </c>
      <c r="J54" t="n">
        <v>16558.022</v>
      </c>
      <c r="K54" t="n">
        <v>17949.987</v>
      </c>
      <c r="L54" t="n">
        <v>8130.611999999997</v>
      </c>
      <c r="M54" t="n">
        <v>6284.323999999997</v>
      </c>
    </row>
    <row r="55">
      <c r="B55" t="inlineStr">
        <is>
          <t>0601</t>
        </is>
      </c>
      <c r="C55" t="inlineStr">
        <is>
          <t>Bulwy, korzenie bulwiaste, cebulki, łodygi podziemne</t>
        </is>
      </c>
      <c r="D55" t="n">
        <v>5341.271</v>
      </c>
      <c r="E55" t="n">
        <v>3033.77</v>
      </c>
      <c r="F55" t="n">
        <v>1883.75</v>
      </c>
      <c r="G55" t="n">
        <v>857.261</v>
      </c>
      <c r="H55" t="n">
        <v>15061.372</v>
      </c>
      <c r="I55" t="n">
        <v>17261.761</v>
      </c>
      <c r="J55" t="n">
        <v>3392.391</v>
      </c>
      <c r="K55" t="n">
        <v>3589.262</v>
      </c>
      <c r="L55" t="n">
        <v>-9720.100999999999</v>
      </c>
      <c r="M55" t="n">
        <v>-14227.991</v>
      </c>
    </row>
    <row r="56">
      <c r="B56" t="inlineStr">
        <is>
          <t>0602</t>
        </is>
      </c>
      <c r="C56" t="inlineStr">
        <is>
          <t>Pozostałe rośliny żywe (łącznie z ich korzeniami),</t>
        </is>
      </c>
      <c r="D56" t="n">
        <v>24054.399</v>
      </c>
      <c r="E56" t="n">
        <v>16446.612</v>
      </c>
      <c r="F56" t="n">
        <v>16178.86</v>
      </c>
      <c r="G56" t="n">
        <v>11208.849</v>
      </c>
      <c r="H56" t="n">
        <v>56444.563</v>
      </c>
      <c r="I56" t="n">
        <v>46149.035</v>
      </c>
      <c r="J56" t="n">
        <v>16315.64</v>
      </c>
      <c r="K56" t="n">
        <v>13865.307</v>
      </c>
      <c r="L56" t="n">
        <v>-32390.164</v>
      </c>
      <c r="M56" t="n">
        <v>-29702.423</v>
      </c>
    </row>
    <row r="57">
      <c r="B57" t="inlineStr">
        <is>
          <t>0603</t>
        </is>
      </c>
      <c r="C57" t="inlineStr">
        <is>
          <t xml:space="preserve">Kwiaty cięte i pąki kwiatowe </t>
        </is>
      </c>
      <c r="D57" t="n">
        <v>10865.942</v>
      </c>
      <c r="E57" t="n">
        <v>9578.446</v>
      </c>
      <c r="F57" t="n">
        <v>2021.722</v>
      </c>
      <c r="G57" t="n">
        <v>2001.491</v>
      </c>
      <c r="H57" t="n">
        <v>59784.406</v>
      </c>
      <c r="I57" t="n">
        <v>56483.156</v>
      </c>
      <c r="J57" t="n">
        <v>7886.752</v>
      </c>
      <c r="K57" t="n">
        <v>7771.455</v>
      </c>
      <c r="L57" t="n">
        <v>-48918.46400000001</v>
      </c>
      <c r="M57" t="n">
        <v>-46904.71000000001</v>
      </c>
    </row>
    <row r="58">
      <c r="B58" t="inlineStr">
        <is>
          <t>0604</t>
        </is>
      </c>
      <c r="C58" t="inlineStr">
        <is>
          <t>Liście, gałęzie i inne części roślin, bez kwiatów</t>
        </is>
      </c>
      <c r="D58" t="n">
        <v>2315.914</v>
      </c>
      <c r="E58" t="n">
        <v>781.114</v>
      </c>
      <c r="F58" t="n">
        <v>625.5890000000001</v>
      </c>
      <c r="G58" t="n">
        <v>167.892</v>
      </c>
      <c r="H58" t="n">
        <v>3059.255</v>
      </c>
      <c r="I58" t="n">
        <v>2734.825</v>
      </c>
      <c r="J58" t="n">
        <v>754.7329999999999</v>
      </c>
      <c r="K58" t="n">
        <v>513.533</v>
      </c>
      <c r="L58" t="n">
        <v>-743.3409999999999</v>
      </c>
      <c r="M58" t="n">
        <v>-1953.711</v>
      </c>
    </row>
    <row r="59">
      <c r="B59" t="inlineStr">
        <is>
          <t>0701</t>
        </is>
      </c>
      <c r="C59" t="inlineStr">
        <is>
          <t>Ziemniaki, świeże lub chłodzone</t>
        </is>
      </c>
      <c r="D59" t="n">
        <v>11065.071</v>
      </c>
      <c r="E59" t="n">
        <v>3042.868</v>
      </c>
      <c r="F59" t="n">
        <v>33525.737</v>
      </c>
      <c r="G59" t="n">
        <v>15297.019</v>
      </c>
      <c r="H59" t="n">
        <v>7175.035</v>
      </c>
      <c r="I59" t="n">
        <v>2530.706</v>
      </c>
      <c r="J59" t="n">
        <v>17552.255</v>
      </c>
      <c r="K59" t="n">
        <v>6910.594</v>
      </c>
      <c r="L59" t="n">
        <v>3890.036</v>
      </c>
      <c r="M59" t="n">
        <v>512.1619999999998</v>
      </c>
    </row>
    <row r="60">
      <c r="B60" t="inlineStr">
        <is>
          <t>0702</t>
        </is>
      </c>
      <c r="C60" t="inlineStr">
        <is>
          <t>Pomidory świeże lub chłodzone</t>
        </is>
      </c>
      <c r="D60" t="n">
        <v>16504.714</v>
      </c>
      <c r="E60" t="n">
        <v>8599.366</v>
      </c>
      <c r="F60" t="n">
        <v>6524.635</v>
      </c>
      <c r="G60" t="n">
        <v>3283.061</v>
      </c>
      <c r="H60" t="n">
        <v>109951.742</v>
      </c>
      <c r="I60" t="n">
        <v>112530.263</v>
      </c>
      <c r="J60" t="n">
        <v>55242.488</v>
      </c>
      <c r="K60" t="n">
        <v>47822.445</v>
      </c>
      <c r="L60" t="n">
        <v>-93447.02799999999</v>
      </c>
      <c r="M60" t="n">
        <v>-103930.897</v>
      </c>
    </row>
    <row r="61">
      <c r="B61" t="inlineStr">
        <is>
          <t>0703</t>
        </is>
      </c>
      <c r="C61" t="inlineStr">
        <is>
          <t>Cebula, szalotka, czosnek, pory oraz inne warzywa</t>
        </is>
      </c>
      <c r="D61" t="n">
        <v>19752.584</v>
      </c>
      <c r="E61" t="n">
        <v>18641.12</v>
      </c>
      <c r="F61" t="n">
        <v>29467.773</v>
      </c>
      <c r="G61" t="n">
        <v>30161.9</v>
      </c>
      <c r="H61" t="n">
        <v>17748.303</v>
      </c>
      <c r="I61" t="n">
        <v>13480.531</v>
      </c>
      <c r="J61" t="n">
        <v>36333.294</v>
      </c>
      <c r="K61" t="n">
        <v>26393.94</v>
      </c>
      <c r="L61" t="n">
        <v>2004.280999999999</v>
      </c>
      <c r="M61" t="n">
        <v>5160.588999999998</v>
      </c>
    </row>
    <row r="62">
      <c r="B62" t="inlineStr">
        <is>
          <t>0704</t>
        </is>
      </c>
      <c r="C62" t="inlineStr">
        <is>
          <t xml:space="preserve">Kapusta, kalafiory, kalarepa, kapusta włoska, </t>
        </is>
      </c>
      <c r="D62" t="n">
        <v>15104.374</v>
      </c>
      <c r="E62" t="n">
        <v>6806.807</v>
      </c>
      <c r="F62" t="n">
        <v>22352.11</v>
      </c>
      <c r="G62" t="n">
        <v>10043.244</v>
      </c>
      <c r="H62" t="n">
        <v>29247.3</v>
      </c>
      <c r="I62" t="n">
        <v>26525.303</v>
      </c>
      <c r="J62" t="n">
        <v>24270.556</v>
      </c>
      <c r="K62" t="n">
        <v>21761.586</v>
      </c>
      <c r="L62" t="n">
        <v>-14142.926</v>
      </c>
      <c r="M62" t="n">
        <v>-19718.496</v>
      </c>
    </row>
    <row r="63">
      <c r="B63" t="inlineStr">
        <is>
          <t>0705</t>
        </is>
      </c>
      <c r="C63" t="inlineStr">
        <is>
          <t>Sałata (Lactuca sativa) i cykoria (Cichorium spp.),</t>
        </is>
      </c>
      <c r="D63" t="n">
        <v>6480.489</v>
      </c>
      <c r="E63" t="n">
        <v>5173.362</v>
      </c>
      <c r="F63" t="n">
        <v>3935.839</v>
      </c>
      <c r="G63" t="n">
        <v>2949.444</v>
      </c>
      <c r="H63" t="n">
        <v>32337.38</v>
      </c>
      <c r="I63" t="n">
        <v>25626.034</v>
      </c>
      <c r="J63" t="n">
        <v>25629.479</v>
      </c>
      <c r="K63" t="n">
        <v>17679.741</v>
      </c>
      <c r="L63" t="n">
        <v>-25856.891</v>
      </c>
      <c r="M63" t="n">
        <v>-20452.672</v>
      </c>
    </row>
    <row r="64">
      <c r="B64" t="inlineStr">
        <is>
          <t>0706</t>
        </is>
      </c>
      <c r="C64" t="inlineStr">
        <is>
          <t>Marchew, rzepa, buraki sałatkowe, salsefia, selery,</t>
        </is>
      </c>
      <c r="D64" t="n">
        <v>8030.925</v>
      </c>
      <c r="E64" t="n">
        <v>5073.144</v>
      </c>
      <c r="F64" t="n">
        <v>17697.705</v>
      </c>
      <c r="G64" t="n">
        <v>11869.43</v>
      </c>
      <c r="H64" t="n">
        <v>18825.451</v>
      </c>
      <c r="I64" t="n">
        <v>13625.225</v>
      </c>
      <c r="J64" t="n">
        <v>24384.021</v>
      </c>
      <c r="K64" t="n">
        <v>13789.949</v>
      </c>
      <c r="L64" t="n">
        <v>-10794.526</v>
      </c>
      <c r="M64" t="n">
        <v>-8552.081</v>
      </c>
    </row>
    <row r="65">
      <c r="B65" t="inlineStr">
        <is>
          <t>0707</t>
        </is>
      </c>
      <c r="C65" t="inlineStr">
        <is>
          <t>Ogórki  i korniszony świeże</t>
        </is>
      </c>
      <c r="D65" t="n">
        <v>3031.419</v>
      </c>
      <c r="E65" t="n">
        <v>2357.203</v>
      </c>
      <c r="F65" t="n">
        <v>1402.856</v>
      </c>
      <c r="G65" t="n">
        <v>1131.727</v>
      </c>
      <c r="H65" t="n">
        <v>41245.461</v>
      </c>
      <c r="I65" t="n">
        <v>48464.854</v>
      </c>
      <c r="J65" t="n">
        <v>23178.792</v>
      </c>
      <c r="K65" t="n">
        <v>21694.044</v>
      </c>
      <c r="L65" t="n">
        <v>-38214.042</v>
      </c>
      <c r="M65" t="n">
        <v>-46107.651</v>
      </c>
    </row>
    <row r="66">
      <c r="B66" t="inlineStr">
        <is>
          <t>0708</t>
        </is>
      </c>
      <c r="C66" t="inlineStr">
        <is>
          <t xml:space="preserve">Warzywa strączkowe, nawet łuskane, świeże </t>
        </is>
      </c>
      <c r="D66" t="n">
        <v>1912.398</v>
      </c>
      <c r="E66" t="n">
        <v>1698.074</v>
      </c>
      <c r="F66" t="n">
        <v>3222.755</v>
      </c>
      <c r="G66" t="n">
        <v>3018.749</v>
      </c>
      <c r="H66" t="n">
        <v>420.648</v>
      </c>
      <c r="I66" t="n">
        <v>423.421</v>
      </c>
      <c r="J66" t="n">
        <v>294.019</v>
      </c>
      <c r="K66" t="n">
        <v>250.977</v>
      </c>
      <c r="L66" t="n">
        <v>1491.75</v>
      </c>
      <c r="M66" t="n">
        <v>1274.653</v>
      </c>
    </row>
    <row r="67">
      <c r="B67" t="inlineStr">
        <is>
          <t>0709</t>
        </is>
      </c>
      <c r="C67" t="inlineStr">
        <is>
          <t>Inne warzywa świeże lub chłodzone</t>
        </is>
      </c>
      <c r="D67" t="n">
        <v>108360.508</v>
      </c>
      <c r="E67" t="n">
        <v>100918.403</v>
      </c>
      <c r="F67" t="n">
        <v>49646.847</v>
      </c>
      <c r="G67" t="n">
        <v>44598.119</v>
      </c>
      <c r="H67" t="n">
        <v>88857.923</v>
      </c>
      <c r="I67" t="n">
        <v>91620.61500000001</v>
      </c>
      <c r="J67" t="n">
        <v>41233.654</v>
      </c>
      <c r="K67" t="n">
        <v>34939.198</v>
      </c>
      <c r="L67" t="n">
        <v>19502.58500000001</v>
      </c>
      <c r="M67" t="n">
        <v>9297.788</v>
      </c>
    </row>
    <row r="68">
      <c r="B68" t="inlineStr">
        <is>
          <t>0710</t>
        </is>
      </c>
      <c r="C68" t="inlineStr">
        <is>
          <t>Warzywa niegotowane lub gotowane na parze, zamrożone</t>
        </is>
      </c>
      <c r="D68" t="n">
        <v>76345.24800000001</v>
      </c>
      <c r="E68" t="n">
        <v>67256.197</v>
      </c>
      <c r="F68" t="n">
        <v>71604.03</v>
      </c>
      <c r="G68" t="n">
        <v>69051.61</v>
      </c>
      <c r="H68" t="n">
        <v>16988.313</v>
      </c>
      <c r="I68" t="n">
        <v>15551.631</v>
      </c>
      <c r="J68" t="n">
        <v>14411.737</v>
      </c>
      <c r="K68" t="n">
        <v>12710.142</v>
      </c>
      <c r="L68" t="n">
        <v>59356.93500000001</v>
      </c>
      <c r="M68" t="n">
        <v>51704.566</v>
      </c>
    </row>
    <row r="69">
      <c r="B69" t="inlineStr">
        <is>
          <t>0711</t>
        </is>
      </c>
      <c r="C69" t="inlineStr">
        <is>
          <t>Warzywa zakonserwowane tymczasowo</t>
        </is>
      </c>
      <c r="D69" t="n">
        <v>2726.604</v>
      </c>
      <c r="E69" t="n">
        <v>2756.84</v>
      </c>
      <c r="F69" t="n">
        <v>1418.483</v>
      </c>
      <c r="G69" t="n">
        <v>1402.453</v>
      </c>
      <c r="H69" t="n">
        <v>6704.373</v>
      </c>
      <c r="I69" t="n">
        <v>7246.287</v>
      </c>
      <c r="J69" t="n">
        <v>3205.083</v>
      </c>
      <c r="K69" t="n">
        <v>3655.967</v>
      </c>
      <c r="L69" t="n">
        <v>-3977.769</v>
      </c>
      <c r="M69" t="n">
        <v>-4489.447</v>
      </c>
    </row>
    <row r="70">
      <c r="B70" t="inlineStr">
        <is>
          <t>0712</t>
        </is>
      </c>
      <c r="C70" t="inlineStr">
        <is>
          <t>Warzywa suszone, całe, cięte w kawałki</t>
        </is>
      </c>
      <c r="D70" t="n">
        <v>22457.84</v>
      </c>
      <c r="E70" t="n">
        <v>18889.886</v>
      </c>
      <c r="F70" t="n">
        <v>7571.375</v>
      </c>
      <c r="G70" t="n">
        <v>4931.276</v>
      </c>
      <c r="H70" t="n">
        <v>12170.835</v>
      </c>
      <c r="I70" t="n">
        <v>10416.883</v>
      </c>
      <c r="J70" t="n">
        <v>3603.851</v>
      </c>
      <c r="K70" t="n">
        <v>3306.682</v>
      </c>
      <c r="L70" t="n">
        <v>10287.005</v>
      </c>
      <c r="M70" t="n">
        <v>8473.002999999999</v>
      </c>
    </row>
    <row r="71">
      <c r="B71" t="inlineStr">
        <is>
          <t>0713</t>
        </is>
      </c>
      <c r="C71" t="inlineStr">
        <is>
          <t xml:space="preserve">Suszone warzywa strączkowe, łuskane, ze skórką </t>
        </is>
      </c>
      <c r="D71" t="n">
        <v>10783.545</v>
      </c>
      <c r="E71" t="n">
        <v>11862.572</v>
      </c>
      <c r="F71" t="n">
        <v>11517.585</v>
      </c>
      <c r="G71" t="n">
        <v>16142.164</v>
      </c>
      <c r="H71" t="n">
        <v>6751.507</v>
      </c>
      <c r="I71" t="n">
        <v>7499.157</v>
      </c>
      <c r="J71" t="n">
        <v>6231.911</v>
      </c>
      <c r="K71" t="n">
        <v>6467.625</v>
      </c>
      <c r="L71" t="n">
        <v>4032.038</v>
      </c>
      <c r="M71" t="n">
        <v>4363.415</v>
      </c>
    </row>
    <row r="72">
      <c r="B72" t="inlineStr">
        <is>
          <t>0714</t>
        </is>
      </c>
      <c r="C72" t="inlineStr">
        <is>
          <t>Maniok, maranta, salep, karczochy jerozolimskie,</t>
        </is>
      </c>
      <c r="D72" t="n">
        <v>445.596</v>
      </c>
      <c r="E72" t="n">
        <v>83.04300000000001</v>
      </c>
      <c r="F72" t="n">
        <v>672.383</v>
      </c>
      <c r="G72" t="n">
        <v>68.84399999999999</v>
      </c>
      <c r="H72" t="n">
        <v>3113.697</v>
      </c>
      <c r="I72" t="n">
        <v>3590.707</v>
      </c>
      <c r="J72" t="n">
        <v>2527.185</v>
      </c>
      <c r="K72" t="n">
        <v>2887.86</v>
      </c>
      <c r="L72" t="n">
        <v>-2668.101</v>
      </c>
      <c r="M72" t="n">
        <v>-3507.664</v>
      </c>
    </row>
    <row r="73">
      <c r="B73" t="inlineStr">
        <is>
          <t>0801</t>
        </is>
      </c>
      <c r="C73" t="inlineStr">
        <is>
          <t>Orzechy kokosowe, orzechy brazylijskie i orzechy</t>
        </is>
      </c>
      <c r="D73" t="n">
        <v>1081.935</v>
      </c>
      <c r="E73" t="n">
        <v>1024.02</v>
      </c>
      <c r="F73" t="n">
        <v>252.064</v>
      </c>
      <c r="G73" t="n">
        <v>220.697</v>
      </c>
      <c r="H73" t="n">
        <v>19306.613</v>
      </c>
      <c r="I73" t="n">
        <v>22985.429</v>
      </c>
      <c r="J73" t="n">
        <v>3630.891</v>
      </c>
      <c r="K73" t="n">
        <v>4288.164</v>
      </c>
      <c r="L73" t="n">
        <v>-18224.678</v>
      </c>
      <c r="M73" t="n">
        <v>-21961.409</v>
      </c>
    </row>
    <row r="74">
      <c r="B74" t="inlineStr">
        <is>
          <t>0802</t>
        </is>
      </c>
      <c r="C74" t="inlineStr">
        <is>
          <t>Pozostałe orzechy, świeże lub suszone, nawet łuskane</t>
        </is>
      </c>
      <c r="D74" t="n">
        <v>2098.109</v>
      </c>
      <c r="E74" t="n">
        <v>3469.931</v>
      </c>
      <c r="F74" t="n">
        <v>316.489</v>
      </c>
      <c r="G74" t="n">
        <v>685.36</v>
      </c>
      <c r="H74" t="n">
        <v>61027.044</v>
      </c>
      <c r="I74" t="n">
        <v>87800.99400000001</v>
      </c>
      <c r="J74" t="n">
        <v>7818.613</v>
      </c>
      <c r="K74" t="n">
        <v>9702.675999999999</v>
      </c>
      <c r="L74" t="n">
        <v>-58928.935</v>
      </c>
      <c r="M74" t="n">
        <v>-84331.06300000001</v>
      </c>
    </row>
    <row r="75">
      <c r="B75" t="inlineStr">
        <is>
          <t>0803</t>
        </is>
      </c>
      <c r="C75" t="inlineStr">
        <is>
          <t>Banany</t>
        </is>
      </c>
      <c r="D75" t="n">
        <v>8306.394</v>
      </c>
      <c r="E75" t="n">
        <v>6348.896</v>
      </c>
      <c r="F75" t="n">
        <v>8833.012000000001</v>
      </c>
      <c r="G75" t="n">
        <v>6636.902</v>
      </c>
      <c r="H75" t="n">
        <v>64672.415</v>
      </c>
      <c r="I75" t="n">
        <v>62468.864</v>
      </c>
      <c r="J75" t="n">
        <v>89105.848</v>
      </c>
      <c r="K75" t="n">
        <v>86946.632</v>
      </c>
      <c r="L75" t="n">
        <v>-56366.021</v>
      </c>
      <c r="M75" t="n">
        <v>-56119.968</v>
      </c>
    </row>
    <row r="76">
      <c r="B76" t="inlineStr">
        <is>
          <t>0804</t>
        </is>
      </c>
      <c r="C76" t="inlineStr">
        <is>
          <t xml:space="preserve">Daktyle, figi, ananasy, avokado, guawa, mango </t>
        </is>
      </c>
      <c r="D76" t="n">
        <v>6656.29</v>
      </c>
      <c r="E76" t="n">
        <v>5488.433</v>
      </c>
      <c r="F76" t="n">
        <v>2641.573</v>
      </c>
      <c r="G76" t="n">
        <v>2311.458</v>
      </c>
      <c r="H76" t="n">
        <v>39945.899</v>
      </c>
      <c r="I76" t="n">
        <v>35230.344</v>
      </c>
      <c r="J76" t="n">
        <v>16594.73</v>
      </c>
      <c r="K76" t="n">
        <v>15044.502</v>
      </c>
      <c r="L76" t="n">
        <v>-33289.609</v>
      </c>
      <c r="M76" t="n">
        <v>-29741.911</v>
      </c>
    </row>
    <row r="77">
      <c r="B77" t="inlineStr">
        <is>
          <t>0805</t>
        </is>
      </c>
      <c r="C77" t="inlineStr">
        <is>
          <t>Owoce cytrusowe, świeże lub suszone</t>
        </is>
      </c>
      <c r="D77" t="n">
        <v>5076.701</v>
      </c>
      <c r="E77" t="n">
        <v>5336.065</v>
      </c>
      <c r="F77" t="n">
        <v>5022.089</v>
      </c>
      <c r="G77" t="n">
        <v>4884.16</v>
      </c>
      <c r="H77" t="n">
        <v>128594.909</v>
      </c>
      <c r="I77" t="n">
        <v>134502.282</v>
      </c>
      <c r="J77" t="n">
        <v>125481.89</v>
      </c>
      <c r="K77" t="n">
        <v>122890.178</v>
      </c>
      <c r="L77" t="n">
        <v>-123518.208</v>
      </c>
      <c r="M77" t="n">
        <v>-129166.217</v>
      </c>
    </row>
    <row r="78">
      <c r="B78" t="inlineStr">
        <is>
          <t>0806</t>
        </is>
      </c>
      <c r="C78" t="inlineStr">
        <is>
          <t>Winogrona, świeże lub suszone</t>
        </is>
      </c>
      <c r="D78" t="n">
        <v>1939.57</v>
      </c>
      <c r="E78" t="n">
        <v>2114.021</v>
      </c>
      <c r="F78" t="n">
        <v>720.158</v>
      </c>
      <c r="G78" t="n">
        <v>832.048</v>
      </c>
      <c r="H78" t="n">
        <v>39366.47</v>
      </c>
      <c r="I78" t="n">
        <v>38094.285</v>
      </c>
      <c r="J78" t="n">
        <v>15340.037</v>
      </c>
      <c r="K78" t="n">
        <v>15374.436</v>
      </c>
      <c r="L78" t="n">
        <v>-37426.9</v>
      </c>
      <c r="M78" t="n">
        <v>-35980.264</v>
      </c>
    </row>
    <row r="79">
      <c r="B79" t="inlineStr">
        <is>
          <t>0807</t>
        </is>
      </c>
      <c r="C79" t="inlineStr">
        <is>
          <t>Melony (łącznie z arbuzami) i papaje, świeże</t>
        </is>
      </c>
      <c r="D79" t="n">
        <v>109.767</v>
      </c>
      <c r="E79" t="n">
        <v>64.22199999999999</v>
      </c>
      <c r="F79" t="n">
        <v>61.612</v>
      </c>
      <c r="G79" t="n">
        <v>32.244</v>
      </c>
      <c r="H79" t="n">
        <v>6249.969</v>
      </c>
      <c r="I79" t="n">
        <v>4573.575</v>
      </c>
      <c r="J79" t="n">
        <v>5541.651</v>
      </c>
      <c r="K79" t="n">
        <v>3883.727</v>
      </c>
      <c r="L79" t="n">
        <v>-6140.202</v>
      </c>
      <c r="M79" t="n">
        <v>-4509.353</v>
      </c>
    </row>
    <row r="80">
      <c r="B80" t="inlineStr">
        <is>
          <t>0808</t>
        </is>
      </c>
      <c r="C80" t="inlineStr">
        <is>
          <t>Jabłka, gruszki i pigwy, świeże</t>
        </is>
      </c>
      <c r="D80" t="n">
        <v>105225.605</v>
      </c>
      <c r="E80" t="n">
        <v>112458.229</v>
      </c>
      <c r="F80" t="n">
        <v>163475.165</v>
      </c>
      <c r="G80" t="n">
        <v>188288.236</v>
      </c>
      <c r="H80" t="n">
        <v>9130.665000000001</v>
      </c>
      <c r="I80" t="n">
        <v>5794.188</v>
      </c>
      <c r="J80" t="n">
        <v>8409.360000000001</v>
      </c>
      <c r="K80" t="n">
        <v>5296.446</v>
      </c>
      <c r="L80" t="n">
        <v>96094.94</v>
      </c>
      <c r="M80" t="n">
        <v>106664.041</v>
      </c>
    </row>
    <row r="81">
      <c r="B81" t="inlineStr">
        <is>
          <t>0809</t>
        </is>
      </c>
      <c r="C81" t="inlineStr">
        <is>
          <t>Morele, wiśnie, brzoskwinie (łącznie z nektarynami),</t>
        </is>
      </c>
      <c r="D81" t="n">
        <v>541.116</v>
      </c>
      <c r="E81" t="n">
        <v>974.399</v>
      </c>
      <c r="F81" t="n">
        <v>200.999</v>
      </c>
      <c r="G81" t="n">
        <v>166.96</v>
      </c>
      <c r="H81" t="n">
        <v>6681.175</v>
      </c>
      <c r="I81" t="n">
        <v>3563.107</v>
      </c>
      <c r="J81" t="n">
        <v>2942.173</v>
      </c>
      <c r="K81" t="n">
        <v>1723.216</v>
      </c>
      <c r="L81" t="n">
        <v>-6140.059</v>
      </c>
      <c r="M81" t="n">
        <v>-2588.708</v>
      </c>
    </row>
    <row r="82">
      <c r="B82" t="inlineStr">
        <is>
          <t>0810</t>
        </is>
      </c>
      <c r="C82" t="inlineStr">
        <is>
          <t>Pozostałe owoce, świeże</t>
        </is>
      </c>
      <c r="D82" t="n">
        <v>16442.071</v>
      </c>
      <c r="E82" t="n">
        <v>16054.7</v>
      </c>
      <c r="F82" t="n">
        <v>5917.462</v>
      </c>
      <c r="G82" t="n">
        <v>6284.376</v>
      </c>
      <c r="H82" t="n">
        <v>94782.454</v>
      </c>
      <c r="I82" t="n">
        <v>100559.366</v>
      </c>
      <c r="J82" t="n">
        <v>23052.852</v>
      </c>
      <c r="K82" t="n">
        <v>22191.289</v>
      </c>
      <c r="L82" t="n">
        <v>-78340.383</v>
      </c>
      <c r="M82" t="n">
        <v>-84504.666</v>
      </c>
    </row>
    <row r="83">
      <c r="B83" t="inlineStr">
        <is>
          <t>0811</t>
        </is>
      </c>
      <c r="C83" t="inlineStr">
        <is>
          <t>Owoce i orzechy, niegotowane lub gotowane na parze, zamrożone</t>
        </is>
      </c>
      <c r="D83" t="n">
        <v>120867.445</v>
      </c>
      <c r="E83" t="n">
        <v>150002.881</v>
      </c>
      <c r="F83" t="n">
        <v>52920.783</v>
      </c>
      <c r="G83" t="n">
        <v>48821.563</v>
      </c>
      <c r="H83" t="n">
        <v>49180.872</v>
      </c>
      <c r="I83" t="n">
        <v>52878.841</v>
      </c>
      <c r="J83" t="n">
        <v>23367.289</v>
      </c>
      <c r="K83" t="n">
        <v>20235.761</v>
      </c>
      <c r="L83" t="n">
        <v>71686.573</v>
      </c>
      <c r="M83" t="n">
        <v>97124.03999999999</v>
      </c>
    </row>
    <row r="84">
      <c r="B84" t="inlineStr">
        <is>
          <t>0812</t>
        </is>
      </c>
      <c r="C84" t="inlineStr">
        <is>
          <t xml:space="preserve">Owoce i orzechy zakonserwowane tymczasowo </t>
        </is>
      </c>
      <c r="D84" t="n">
        <v>114.942</v>
      </c>
      <c r="E84" t="n">
        <v>170.72</v>
      </c>
      <c r="F84" t="n">
        <v>43.732</v>
      </c>
      <c r="G84" t="n">
        <v>55.672</v>
      </c>
      <c r="H84" t="n">
        <v>125.062</v>
      </c>
      <c r="I84" t="n">
        <v>143.434</v>
      </c>
      <c r="J84" t="n">
        <v>110.278</v>
      </c>
      <c r="K84" t="n">
        <v>176.721</v>
      </c>
      <c r="L84" t="n">
        <v>-10.12</v>
      </c>
      <c r="M84" t="n">
        <v>27.286</v>
      </c>
    </row>
    <row r="85">
      <c r="B85" t="inlineStr">
        <is>
          <t>0813</t>
        </is>
      </c>
      <c r="C85" t="inlineStr">
        <is>
          <t>Owoce suszone, inne niż z pozycji od nr 0801 do 0812</t>
        </is>
      </c>
      <c r="D85" t="n">
        <v>10474.046</v>
      </c>
      <c r="E85" t="n">
        <v>14856.034</v>
      </c>
      <c r="F85" t="n">
        <v>1595.899</v>
      </c>
      <c r="G85" t="n">
        <v>1911.425</v>
      </c>
      <c r="H85" t="n">
        <v>13270.915</v>
      </c>
      <c r="I85" t="n">
        <v>16468.208</v>
      </c>
      <c r="J85" t="n">
        <v>3108.782</v>
      </c>
      <c r="K85" t="n">
        <v>3274.002</v>
      </c>
      <c r="L85" t="n">
        <v>-2796.869000000001</v>
      </c>
      <c r="M85" t="n">
        <v>-1612.173999999999</v>
      </c>
    </row>
    <row r="86">
      <c r="B86" t="inlineStr">
        <is>
          <t>0814</t>
        </is>
      </c>
      <c r="C86" t="inlineStr">
        <is>
          <t xml:space="preserve">Skórki owoców cytrusowych i melonów </t>
        </is>
      </c>
      <c r="D86" t="n">
        <v>46.431</v>
      </c>
      <c r="E86" t="n">
        <v>119.169</v>
      </c>
      <c r="F86" t="n">
        <v>6.85</v>
      </c>
      <c r="G86" t="n">
        <v>11.974</v>
      </c>
      <c r="H86" t="n">
        <v>417.059</v>
      </c>
      <c r="I86" t="n">
        <v>207.775</v>
      </c>
      <c r="J86" t="n">
        <v>132.056</v>
      </c>
      <c r="K86" t="n">
        <v>43.112</v>
      </c>
      <c r="L86" t="n">
        <v>-370.628</v>
      </c>
      <c r="M86" t="n">
        <v>-88.60600000000001</v>
      </c>
    </row>
    <row r="87">
      <c r="B87" t="inlineStr">
        <is>
          <t>0901</t>
        </is>
      </c>
      <c r="C87" t="inlineStr">
        <is>
          <t>Kawa, nawet palona lub bezkofeinowa; łupinki i łuski</t>
        </is>
      </c>
      <c r="D87" t="n">
        <v>120562.368</v>
      </c>
      <c r="E87" t="n">
        <v>120178.756</v>
      </c>
      <c r="F87" t="n">
        <v>13545.824</v>
      </c>
      <c r="G87" t="n">
        <v>12130.142</v>
      </c>
      <c r="H87" t="n">
        <v>237667.6</v>
      </c>
      <c r="I87" t="n">
        <v>262894.25</v>
      </c>
      <c r="J87" t="n">
        <v>34726.468</v>
      </c>
      <c r="K87" t="n">
        <v>36075.333</v>
      </c>
      <c r="L87" t="n">
        <v>-117105.232</v>
      </c>
      <c r="M87" t="n">
        <v>-142715.494</v>
      </c>
    </row>
    <row r="88">
      <c r="B88" t="inlineStr">
        <is>
          <t>0902</t>
        </is>
      </c>
      <c r="C88" t="inlineStr">
        <is>
          <t>Herbata, nawet aromatyzowana</t>
        </is>
      </c>
      <c r="D88" t="n">
        <v>36792.247</v>
      </c>
      <c r="E88" t="n">
        <v>40378.87</v>
      </c>
      <c r="F88" t="n">
        <v>3056.388</v>
      </c>
      <c r="G88" t="n">
        <v>3179.608</v>
      </c>
      <c r="H88" t="n">
        <v>27691.815</v>
      </c>
      <c r="I88" t="n">
        <v>23095.775</v>
      </c>
      <c r="J88" t="n">
        <v>8862.053</v>
      </c>
      <c r="K88" t="n">
        <v>6955.601</v>
      </c>
      <c r="L88" t="n">
        <v>9100.432000000004</v>
      </c>
      <c r="M88" t="n">
        <v>17283.095</v>
      </c>
    </row>
    <row r="89">
      <c r="B89" t="inlineStr">
        <is>
          <t>0903</t>
        </is>
      </c>
      <c r="C89" t="inlineStr">
        <is>
          <t>Herbata paragwajska</t>
        </is>
      </c>
      <c r="D89" t="n">
        <v>44.627</v>
      </c>
      <c r="E89" t="n">
        <v>48.353</v>
      </c>
      <c r="F89" t="n">
        <v>3.433</v>
      </c>
      <c r="G89" t="n">
        <v>5.329</v>
      </c>
      <c r="H89" t="n">
        <v>76.307</v>
      </c>
      <c r="I89" t="n">
        <v>67.386</v>
      </c>
      <c r="J89" t="n">
        <v>13.242</v>
      </c>
      <c r="K89" t="n">
        <v>21.201</v>
      </c>
      <c r="L89" t="n">
        <v>-31.68</v>
      </c>
      <c r="M89" t="n">
        <v>-19.03299999999999</v>
      </c>
    </row>
    <row r="90">
      <c r="B90" t="inlineStr">
        <is>
          <t>0904</t>
        </is>
      </c>
      <c r="C90" t="inlineStr">
        <is>
          <t xml:space="preserve">Pieprz z rodzaju Piper; suszone lub rozgniatane </t>
        </is>
      </c>
      <c r="D90" t="n">
        <v>6125.499</v>
      </c>
      <c r="E90" t="n">
        <v>5756.465</v>
      </c>
      <c r="F90" t="n">
        <v>890.9450000000001</v>
      </c>
      <c r="G90" t="n">
        <v>764.5839999999999</v>
      </c>
      <c r="H90" t="n">
        <v>18474.187</v>
      </c>
      <c r="I90" t="n">
        <v>11765.167</v>
      </c>
      <c r="J90" t="n">
        <v>3232.735</v>
      </c>
      <c r="K90" t="n">
        <v>2335.069</v>
      </c>
      <c r="L90" t="n">
        <v>-12348.688</v>
      </c>
      <c r="M90" t="n">
        <v>-6008.701999999999</v>
      </c>
    </row>
    <row r="91">
      <c r="B91" t="inlineStr">
        <is>
          <t>0905</t>
        </is>
      </c>
      <c r="C91" t="inlineStr">
        <is>
          <t>Wanilia</t>
        </is>
      </c>
      <c r="D91" t="n">
        <v>417.089</v>
      </c>
      <c r="E91" t="n">
        <v>389.546</v>
      </c>
      <c r="F91" t="n">
        <v>2.157</v>
      </c>
      <c r="G91" t="n">
        <v>2.029</v>
      </c>
      <c r="H91" t="n">
        <v>672.946</v>
      </c>
      <c r="I91" t="n">
        <v>495.638</v>
      </c>
      <c r="J91" t="n">
        <v>8.589</v>
      </c>
      <c r="K91" t="n">
        <v>6.448</v>
      </c>
      <c r="L91" t="n">
        <v>-255.857</v>
      </c>
      <c r="M91" t="n">
        <v>-106.092</v>
      </c>
    </row>
    <row r="92">
      <c r="B92" t="inlineStr">
        <is>
          <t>0906</t>
        </is>
      </c>
      <c r="C92" t="inlineStr">
        <is>
          <t>Cynamon i kwiaty cynamonowca</t>
        </is>
      </c>
      <c r="D92" t="n">
        <v>787.51</v>
      </c>
      <c r="E92" t="n">
        <v>1087.188</v>
      </c>
      <c r="F92" t="n">
        <v>96.081</v>
      </c>
      <c r="G92" t="n">
        <v>141.474</v>
      </c>
      <c r="H92" t="n">
        <v>1741.039</v>
      </c>
      <c r="I92" t="n">
        <v>1405.334</v>
      </c>
      <c r="J92" t="n">
        <v>366.38</v>
      </c>
      <c r="K92" t="n">
        <v>326.827</v>
      </c>
      <c r="L92" t="n">
        <v>-953.529</v>
      </c>
      <c r="M92" t="n">
        <v>-318.146</v>
      </c>
    </row>
    <row r="93">
      <c r="B93" t="inlineStr">
        <is>
          <t>0907</t>
        </is>
      </c>
      <c r="C93" t="inlineStr">
        <is>
          <t>Goździki (całe owoce, kwiaty i szypułki)</t>
        </is>
      </c>
      <c r="D93" t="n">
        <v>303.885</v>
      </c>
      <c r="E93" t="n">
        <v>348.762</v>
      </c>
      <c r="F93" t="n">
        <v>30.455</v>
      </c>
      <c r="G93" t="n">
        <v>29.096</v>
      </c>
      <c r="H93" t="n">
        <v>429.99</v>
      </c>
      <c r="I93" t="n">
        <v>334.576</v>
      </c>
      <c r="J93" t="n">
        <v>39.522</v>
      </c>
      <c r="K93" t="n">
        <v>47.495</v>
      </c>
      <c r="L93" t="n">
        <v>-126.105</v>
      </c>
      <c r="M93" t="n">
        <v>14.18599999999998</v>
      </c>
    </row>
    <row r="94">
      <c r="B94" t="inlineStr">
        <is>
          <t>0908</t>
        </is>
      </c>
      <c r="C94" t="inlineStr">
        <is>
          <t>Gałka muszkatołowa, kwiat muszkatołowy i kardamony</t>
        </is>
      </c>
      <c r="D94" t="n">
        <v>357.096</v>
      </c>
      <c r="E94" t="n">
        <v>328.25</v>
      </c>
      <c r="F94" t="n">
        <v>24.153</v>
      </c>
      <c r="G94" t="n">
        <v>20.571</v>
      </c>
      <c r="H94" t="n">
        <v>571.556</v>
      </c>
      <c r="I94" t="n">
        <v>928.157</v>
      </c>
      <c r="J94" t="n">
        <v>35.744</v>
      </c>
      <c r="K94" t="n">
        <v>53.32</v>
      </c>
      <c r="L94" t="n">
        <v>-214.46</v>
      </c>
      <c r="M94" t="n">
        <v>-599.907</v>
      </c>
    </row>
    <row r="95">
      <c r="B95" t="inlineStr">
        <is>
          <t>0909</t>
        </is>
      </c>
      <c r="C95" t="inlineStr">
        <is>
          <t xml:space="preserve">Nasiona anyżku, badianu, kopru, kolendry, kminu </t>
        </is>
      </c>
      <c r="D95" t="n">
        <v>1941.011</v>
      </c>
      <c r="E95" t="n">
        <v>2007.128</v>
      </c>
      <c r="F95" t="n">
        <v>838.6559999999999</v>
      </c>
      <c r="G95" t="n">
        <v>760.0890000000001</v>
      </c>
      <c r="H95" t="n">
        <v>1314.41</v>
      </c>
      <c r="I95" t="n">
        <v>2044.254</v>
      </c>
      <c r="J95" t="n">
        <v>601.697</v>
      </c>
      <c r="K95" t="n">
        <v>1550.959</v>
      </c>
      <c r="L95" t="n">
        <v>626.6009999999999</v>
      </c>
      <c r="M95" t="n">
        <v>-37.12599999999998</v>
      </c>
    </row>
    <row r="96">
      <c r="B96" t="inlineStr">
        <is>
          <t>0910</t>
        </is>
      </c>
      <c r="C96" t="inlineStr">
        <is>
          <t>Imbir, szafran, kurkuma, tymianek, liście laurowe,</t>
        </is>
      </c>
      <c r="D96" t="n">
        <v>3886.785</v>
      </c>
      <c r="E96" t="n">
        <v>4403.238</v>
      </c>
      <c r="F96" t="n">
        <v>655.649</v>
      </c>
      <c r="G96" t="n">
        <v>923.102</v>
      </c>
      <c r="H96" t="n">
        <v>12687.128</v>
      </c>
      <c r="I96" t="n">
        <v>10664.397</v>
      </c>
      <c r="J96" t="n">
        <v>3409.203</v>
      </c>
      <c r="K96" t="n">
        <v>3126.983</v>
      </c>
      <c r="L96" t="n">
        <v>-8800.343000000001</v>
      </c>
      <c r="M96" t="n">
        <v>-6261.159000000001</v>
      </c>
    </row>
    <row r="97">
      <c r="B97" t="inlineStr">
        <is>
          <t>1001</t>
        </is>
      </c>
      <c r="C97" t="inlineStr">
        <is>
          <t>Pszenica i meslin</t>
        </is>
      </c>
      <c r="D97" t="n">
        <v>99898.01700000001</v>
      </c>
      <c r="E97" t="n">
        <v>119367.218</v>
      </c>
      <c r="F97" t="n">
        <v>407883.81</v>
      </c>
      <c r="G97" t="n">
        <v>589675.5060000001</v>
      </c>
      <c r="H97" t="n">
        <v>12505.161</v>
      </c>
      <c r="I97" t="n">
        <v>7813.759</v>
      </c>
      <c r="J97" t="n">
        <v>56163.722</v>
      </c>
      <c r="K97" t="n">
        <v>37163.747</v>
      </c>
      <c r="L97" t="n">
        <v>87392.856</v>
      </c>
      <c r="M97" t="n">
        <v>111553.459</v>
      </c>
    </row>
    <row r="98">
      <c r="B98" t="inlineStr">
        <is>
          <t>1002</t>
        </is>
      </c>
      <c r="C98" t="inlineStr">
        <is>
          <t>Żyto</t>
        </is>
      </c>
      <c r="D98" t="n">
        <v>18622.09</v>
      </c>
      <c r="E98" t="n">
        <v>8090.781</v>
      </c>
      <c r="F98" t="n">
        <v>91136.83500000001</v>
      </c>
      <c r="G98" t="n">
        <v>42717.161</v>
      </c>
      <c r="H98" t="n">
        <v>6.981</v>
      </c>
      <c r="I98" t="n">
        <v>4.456</v>
      </c>
      <c r="J98" t="n">
        <v>11.3</v>
      </c>
      <c r="K98" t="n">
        <v>7.35</v>
      </c>
      <c r="L98" t="n">
        <v>18615.109</v>
      </c>
      <c r="M98" t="n">
        <v>8086.325</v>
      </c>
    </row>
    <row r="99">
      <c r="B99" t="inlineStr">
        <is>
          <t>1003</t>
        </is>
      </c>
      <c r="C99" t="inlineStr">
        <is>
          <t>Jęczmień</t>
        </is>
      </c>
      <c r="D99" t="n">
        <v>6035.52</v>
      </c>
      <c r="E99" t="n">
        <v>3663.99</v>
      </c>
      <c r="F99" t="n">
        <v>26688.233</v>
      </c>
      <c r="G99" t="n">
        <v>16932.364</v>
      </c>
      <c r="H99" t="n">
        <v>3147.095</v>
      </c>
      <c r="I99" t="n">
        <v>1540.951</v>
      </c>
      <c r="J99" t="n">
        <v>14672.506</v>
      </c>
      <c r="K99" t="n">
        <v>7617.163</v>
      </c>
      <c r="L99" t="n">
        <v>2888.425000000001</v>
      </c>
      <c r="M99" t="n">
        <v>2123.039</v>
      </c>
    </row>
    <row r="100">
      <c r="B100" t="inlineStr">
        <is>
          <t>1004</t>
        </is>
      </c>
      <c r="C100" t="inlineStr">
        <is>
          <t>Owies</t>
        </is>
      </c>
      <c r="D100" t="n">
        <v>5962.167</v>
      </c>
      <c r="E100" t="n">
        <v>4599.194</v>
      </c>
      <c r="F100" t="n">
        <v>23949.156</v>
      </c>
      <c r="G100" t="n">
        <v>23241.599</v>
      </c>
      <c r="H100" t="n">
        <v>137.29</v>
      </c>
      <c r="I100" t="n">
        <v>84.08799999999999</v>
      </c>
      <c r="J100" t="n">
        <v>662.807</v>
      </c>
      <c r="K100" t="n">
        <v>383.577</v>
      </c>
      <c r="L100" t="n">
        <v>5824.877</v>
      </c>
      <c r="M100" t="n">
        <v>4515.106000000001</v>
      </c>
    </row>
    <row r="101">
      <c r="B101" t="inlineStr">
        <is>
          <t>1005</t>
        </is>
      </c>
      <c r="C101" t="inlineStr">
        <is>
          <t>Kukurydza (ziarna)</t>
        </is>
      </c>
      <c r="D101" t="n">
        <v>143137.26</v>
      </c>
      <c r="E101" t="n">
        <v>143596.379</v>
      </c>
      <c r="F101" t="n">
        <v>627501.008</v>
      </c>
      <c r="G101" t="n">
        <v>679353.442</v>
      </c>
      <c r="H101" t="n">
        <v>92879.978</v>
      </c>
      <c r="I101" t="n">
        <v>105111.411</v>
      </c>
      <c r="J101" t="n">
        <v>24912.288</v>
      </c>
      <c r="K101" t="n">
        <v>27843.191</v>
      </c>
      <c r="L101" t="n">
        <v>50257.28200000001</v>
      </c>
      <c r="M101" t="n">
        <v>38484.96799999999</v>
      </c>
    </row>
    <row r="102">
      <c r="B102" t="inlineStr">
        <is>
          <t>1006</t>
        </is>
      </c>
      <c r="C102" t="inlineStr">
        <is>
          <t>Ryż</t>
        </is>
      </c>
      <c r="D102" t="n">
        <v>10576.806</v>
      </c>
      <c r="E102" t="n">
        <v>11209.188</v>
      </c>
      <c r="F102" t="n">
        <v>7606.657</v>
      </c>
      <c r="G102" t="n">
        <v>8787.017</v>
      </c>
      <c r="H102" t="n">
        <v>24463.474</v>
      </c>
      <c r="I102" t="n">
        <v>20225.036</v>
      </c>
      <c r="J102" t="n">
        <v>31064.739</v>
      </c>
      <c r="K102" t="n">
        <v>34697.134</v>
      </c>
      <c r="L102" t="n">
        <v>-13886.668</v>
      </c>
      <c r="M102" t="n">
        <v>-9015.848</v>
      </c>
    </row>
    <row r="103">
      <c r="B103" t="inlineStr">
        <is>
          <t>1007</t>
        </is>
      </c>
      <c r="C103" t="inlineStr">
        <is>
          <t>Sorgo</t>
        </is>
      </c>
      <c r="D103" t="n">
        <v>331.564</v>
      </c>
      <c r="E103" t="n">
        <v>222.547</v>
      </c>
      <c r="F103" t="n">
        <v>773.3339999999999</v>
      </c>
      <c r="G103" t="n">
        <v>445.249</v>
      </c>
      <c r="H103" t="n">
        <v>439.048</v>
      </c>
      <c r="I103" t="n">
        <v>455.082</v>
      </c>
      <c r="J103" t="n">
        <v>1412.656</v>
      </c>
      <c r="K103" t="n">
        <v>2120.663</v>
      </c>
      <c r="L103" t="n">
        <v>-107.484</v>
      </c>
      <c r="M103" t="n">
        <v>-232.535</v>
      </c>
    </row>
    <row r="104">
      <c r="B104" t="inlineStr">
        <is>
          <t>1008</t>
        </is>
      </c>
      <c r="C104" t="inlineStr">
        <is>
          <t>Nasiona gryki, prosa i mozgi kanaryjskiej; pozostałe</t>
        </is>
      </c>
      <c r="D104" t="n">
        <v>20540.221</v>
      </c>
      <c r="E104" t="n">
        <v>11119.167</v>
      </c>
      <c r="F104" t="n">
        <v>82212.54300000001</v>
      </c>
      <c r="G104" t="n">
        <v>48800.444</v>
      </c>
      <c r="H104" t="n">
        <v>2231.695</v>
      </c>
      <c r="I104" t="n">
        <v>1863.373</v>
      </c>
      <c r="J104" t="n">
        <v>7291.1</v>
      </c>
      <c r="K104" t="n">
        <v>4558.146</v>
      </c>
      <c r="L104" t="n">
        <v>18308.526</v>
      </c>
      <c r="M104" t="n">
        <v>9255.794</v>
      </c>
    </row>
    <row r="105">
      <c r="B105" t="inlineStr">
        <is>
          <t>1101</t>
        </is>
      </c>
      <c r="C105" t="inlineStr">
        <is>
          <t>Mąka pszenna i żytnio-pszenna</t>
        </is>
      </c>
      <c r="D105" t="n">
        <v>8115.895</v>
      </c>
      <c r="E105" t="n">
        <v>8746.239</v>
      </c>
      <c r="F105" t="n">
        <v>19433.579</v>
      </c>
      <c r="G105" t="n">
        <v>20847.523</v>
      </c>
      <c r="H105" t="n">
        <v>5938.625</v>
      </c>
      <c r="I105" t="n">
        <v>7311.109</v>
      </c>
      <c r="J105" t="n">
        <v>9106.842000000001</v>
      </c>
      <c r="K105" t="n">
        <v>11542.649</v>
      </c>
      <c r="L105" t="n">
        <v>2177.27</v>
      </c>
      <c r="M105" t="n">
        <v>1435.129999999999</v>
      </c>
    </row>
    <row r="106">
      <c r="B106" t="inlineStr">
        <is>
          <t>1102</t>
        </is>
      </c>
      <c r="C106" t="inlineStr">
        <is>
          <t>Mąka ze zbóż innych niż pszenica i mieszanka żyta  z pszenicą</t>
        </is>
      </c>
      <c r="D106" t="n">
        <v>2272.709</v>
      </c>
      <c r="E106" t="n">
        <v>3114.331</v>
      </c>
      <c r="F106" t="n">
        <v>4314.85</v>
      </c>
      <c r="G106" t="n">
        <v>6120.26</v>
      </c>
      <c r="H106" t="n">
        <v>3931.604</v>
      </c>
      <c r="I106" t="n">
        <v>3849.896</v>
      </c>
      <c r="J106" t="n">
        <v>5002.651</v>
      </c>
      <c r="K106" t="n">
        <v>5152.009</v>
      </c>
      <c r="L106" t="n">
        <v>-1658.895</v>
      </c>
      <c r="M106" t="n">
        <v>-735.5650000000001</v>
      </c>
    </row>
    <row r="107">
      <c r="B107" t="inlineStr">
        <is>
          <t>1103</t>
        </is>
      </c>
      <c r="C107" t="inlineStr">
        <is>
          <t>Kasze, grysiki i granulki zbożowe</t>
        </is>
      </c>
      <c r="D107" t="n">
        <v>8911.802</v>
      </c>
      <c r="E107" t="n">
        <v>7718.618</v>
      </c>
      <c r="F107" t="n">
        <v>14756.733</v>
      </c>
      <c r="G107" t="n">
        <v>10384.951</v>
      </c>
      <c r="H107" t="n">
        <v>5555.944</v>
      </c>
      <c r="I107" t="n">
        <v>5055.752</v>
      </c>
      <c r="J107" t="n">
        <v>10782.069</v>
      </c>
      <c r="K107" t="n">
        <v>11578.206</v>
      </c>
      <c r="L107" t="n">
        <v>3355.857999999999</v>
      </c>
      <c r="M107" t="n">
        <v>2662.866</v>
      </c>
    </row>
    <row r="108">
      <c r="B108" t="inlineStr">
        <is>
          <t>1104</t>
        </is>
      </c>
      <c r="C108" t="inlineStr">
        <is>
          <t>Ziarna zbóż obrobione w inny sposób</t>
        </is>
      </c>
      <c r="D108" t="n">
        <v>9468.842000000001</v>
      </c>
      <c r="E108" t="n">
        <v>8338.022999999999</v>
      </c>
      <c r="F108" t="n">
        <v>13444.04</v>
      </c>
      <c r="G108" t="n">
        <v>12588.063</v>
      </c>
      <c r="H108" t="n">
        <v>5740.571</v>
      </c>
      <c r="I108" t="n">
        <v>4525.386</v>
      </c>
      <c r="J108" t="n">
        <v>10365.692</v>
      </c>
      <c r="K108" t="n">
        <v>7521.177</v>
      </c>
      <c r="L108" t="n">
        <v>3728.271000000001</v>
      </c>
      <c r="M108" t="n">
        <v>3812.636999999999</v>
      </c>
    </row>
    <row r="109">
      <c r="B109" t="inlineStr">
        <is>
          <t>1105</t>
        </is>
      </c>
      <c r="C109" t="inlineStr">
        <is>
          <t>Mąka, grysik, płatki, grudki i granulki</t>
        </is>
      </c>
      <c r="D109" t="n">
        <v>6555.29</v>
      </c>
      <c r="E109" t="n">
        <v>5448.44</v>
      </c>
      <c r="F109" t="n">
        <v>3112.103</v>
      </c>
      <c r="G109" t="n">
        <v>3068.498</v>
      </c>
      <c r="H109" t="n">
        <v>11131.022</v>
      </c>
      <c r="I109" t="n">
        <v>7997.025</v>
      </c>
      <c r="J109" t="n">
        <v>7400.742</v>
      </c>
      <c r="K109" t="n">
        <v>5440.649</v>
      </c>
      <c r="L109" t="n">
        <v>-4575.732000000001</v>
      </c>
      <c r="M109" t="n">
        <v>-2548.585</v>
      </c>
    </row>
    <row r="110">
      <c r="B110" t="inlineStr">
        <is>
          <t>1106</t>
        </is>
      </c>
      <c r="C110" t="inlineStr">
        <is>
          <t>Mąka i grysik z suszonych roślin strączkowych</t>
        </is>
      </c>
      <c r="D110" t="n">
        <v>2020.313</v>
      </c>
      <c r="E110" t="n">
        <v>3189.682</v>
      </c>
      <c r="F110" t="n">
        <v>153.046</v>
      </c>
      <c r="G110" t="n">
        <v>151.968</v>
      </c>
      <c r="H110" t="n">
        <v>1858.91</v>
      </c>
      <c r="I110" t="n">
        <v>3264.725</v>
      </c>
      <c r="J110" t="n">
        <v>404.197</v>
      </c>
      <c r="K110" t="n">
        <v>683.619</v>
      </c>
      <c r="L110" t="n">
        <v>161.403</v>
      </c>
      <c r="M110" t="n">
        <v>-75.04300000000012</v>
      </c>
    </row>
    <row r="111">
      <c r="B111" t="inlineStr">
        <is>
          <t>1107</t>
        </is>
      </c>
      <c r="C111" t="inlineStr">
        <is>
          <t>Słód palony lub nie</t>
        </is>
      </c>
      <c r="D111" t="n">
        <v>17832.96</v>
      </c>
      <c r="E111" t="n">
        <v>7952.888</v>
      </c>
      <c r="F111" t="n">
        <v>35125.046</v>
      </c>
      <c r="G111" t="n">
        <v>15048.504</v>
      </c>
      <c r="H111" t="n">
        <v>13280.717</v>
      </c>
      <c r="I111" t="n">
        <v>10431.189</v>
      </c>
      <c r="J111" t="n">
        <v>27282.708</v>
      </c>
      <c r="K111" t="n">
        <v>22141.898</v>
      </c>
      <c r="L111" t="n">
        <v>4552.242999999999</v>
      </c>
      <c r="M111" t="n">
        <v>-2478.301</v>
      </c>
    </row>
    <row r="112">
      <c r="B112" t="inlineStr">
        <is>
          <t>1108</t>
        </is>
      </c>
      <c r="C112" t="inlineStr">
        <is>
          <t>Skrobie; inulina</t>
        </is>
      </c>
      <c r="D112" t="n">
        <v>25269.988</v>
      </c>
      <c r="E112" t="n">
        <v>18793.254</v>
      </c>
      <c r="F112" t="n">
        <v>34479.072</v>
      </c>
      <c r="G112" t="n">
        <v>31996.457</v>
      </c>
      <c r="H112" t="n">
        <v>16626.722</v>
      </c>
      <c r="I112" t="n">
        <v>16807.203</v>
      </c>
      <c r="J112" t="n">
        <v>23506.568</v>
      </c>
      <c r="K112" t="n">
        <v>24106.21</v>
      </c>
      <c r="L112" t="n">
        <v>8643.266</v>
      </c>
      <c r="M112" t="n">
        <v>1986.050999999999</v>
      </c>
    </row>
    <row r="113">
      <c r="B113" t="inlineStr">
        <is>
          <t>1109</t>
        </is>
      </c>
      <c r="C113" t="inlineStr">
        <is>
          <t>Gluten pszenny, suszony lub nie</t>
        </is>
      </c>
      <c r="D113" t="n">
        <v>12034.021</v>
      </c>
      <c r="E113" t="n">
        <v>7626.077</v>
      </c>
      <c r="F113" t="n">
        <v>8354.855</v>
      </c>
      <c r="G113" t="n">
        <v>5248.665</v>
      </c>
      <c r="H113" t="n">
        <v>5541.037</v>
      </c>
      <c r="I113" t="n">
        <v>3871.793</v>
      </c>
      <c r="J113" t="n">
        <v>3899.685</v>
      </c>
      <c r="K113" t="n">
        <v>2808.624</v>
      </c>
      <c r="L113" t="n">
        <v>6492.984</v>
      </c>
      <c r="M113" t="n">
        <v>3754.284</v>
      </c>
    </row>
    <row r="114">
      <c r="B114" t="inlineStr">
        <is>
          <t>1201</t>
        </is>
      </c>
      <c r="C114" t="inlineStr">
        <is>
          <t>Soja - nasiona</t>
        </is>
      </c>
      <c r="D114" t="n">
        <v>7245.003</v>
      </c>
      <c r="E114" t="n">
        <v>5854.606</v>
      </c>
      <c r="F114" t="n">
        <v>15933.17</v>
      </c>
      <c r="G114" t="n">
        <v>12493.924</v>
      </c>
      <c r="H114" t="n">
        <v>16645.495</v>
      </c>
      <c r="I114" t="n">
        <v>9468.831</v>
      </c>
      <c r="J114" t="n">
        <v>42451.521</v>
      </c>
      <c r="K114" t="n">
        <v>24080.796</v>
      </c>
      <c r="L114" t="n">
        <v>-9400.491999999998</v>
      </c>
      <c r="M114" t="n">
        <v>-3614.225</v>
      </c>
    </row>
    <row r="115">
      <c r="B115" t="inlineStr">
        <is>
          <t>1202</t>
        </is>
      </c>
      <c r="C115" t="inlineStr">
        <is>
          <t>Orzeszki ziemne, nie palone ani nie przygotowane</t>
        </is>
      </c>
      <c r="D115" t="n">
        <v>340.252</v>
      </c>
      <c r="E115" t="n">
        <v>245.607</v>
      </c>
      <c r="F115" t="n">
        <v>133.592</v>
      </c>
      <c r="G115" t="n">
        <v>103.567</v>
      </c>
      <c r="H115" t="n">
        <v>17796.941</v>
      </c>
      <c r="I115" t="n">
        <v>16111.856</v>
      </c>
      <c r="J115" t="n">
        <v>10427.584</v>
      </c>
      <c r="K115" t="n">
        <v>13420.239</v>
      </c>
      <c r="L115" t="n">
        <v>-17456.689</v>
      </c>
      <c r="M115" t="n">
        <v>-15866.249</v>
      </c>
    </row>
    <row r="116">
      <c r="B116" t="inlineStr">
        <is>
          <t>1203</t>
        </is>
      </c>
      <c r="C116" t="inlineStr">
        <is>
          <t>Kopra</t>
        </is>
      </c>
      <c r="D116" t="n">
        <v>0.039</v>
      </c>
      <c r="E116" t="n">
        <v>0</v>
      </c>
      <c r="F116" t="n">
        <v>0.001</v>
      </c>
      <c r="G116" t="n">
        <v>0</v>
      </c>
      <c r="H116" t="n">
        <v>0.014</v>
      </c>
      <c r="I116" t="n">
        <v>0</v>
      </c>
      <c r="J116" t="n">
        <v>0.001</v>
      </c>
      <c r="K116" t="n">
        <v>0</v>
      </c>
      <c r="L116" t="n">
        <v>0.025</v>
      </c>
      <c r="M116" t="n">
        <v>0</v>
      </c>
    </row>
    <row r="117">
      <c r="B117" t="inlineStr">
        <is>
          <t>1204</t>
        </is>
      </c>
      <c r="C117" t="inlineStr">
        <is>
          <t>Nasiona lnu</t>
        </is>
      </c>
      <c r="D117" t="n">
        <v>13731.178</v>
      </c>
      <c r="E117" t="n">
        <v>16943.376</v>
      </c>
      <c r="F117" t="n">
        <v>16839.15</v>
      </c>
      <c r="G117" t="n">
        <v>22044.897</v>
      </c>
      <c r="H117" t="n">
        <v>8289.059999999999</v>
      </c>
      <c r="I117" t="n">
        <v>16057</v>
      </c>
      <c r="J117" t="n">
        <v>13473.062</v>
      </c>
      <c r="K117" t="n">
        <v>27798.454</v>
      </c>
      <c r="L117" t="n">
        <v>5442.118</v>
      </c>
      <c r="M117" t="n">
        <v>886.3760000000002</v>
      </c>
    </row>
    <row r="118">
      <c r="B118" t="inlineStr">
        <is>
          <t>1205</t>
        </is>
      </c>
      <c r="C118" t="inlineStr">
        <is>
          <t>Nasiona rzepaku lub rzepiku</t>
        </is>
      </c>
      <c r="D118" t="n">
        <v>13620.564</v>
      </c>
      <c r="E118" t="n">
        <v>12878.145</v>
      </c>
      <c r="F118" t="n">
        <v>30372.931</v>
      </c>
      <c r="G118" t="n">
        <v>28169.056</v>
      </c>
      <c r="H118" t="n">
        <v>42118.34</v>
      </c>
      <c r="I118" t="n">
        <v>22465.229</v>
      </c>
      <c r="J118" t="n">
        <v>74602.33900000001</v>
      </c>
      <c r="K118" t="n">
        <v>43245.74</v>
      </c>
      <c r="L118" t="n">
        <v>-28497.776</v>
      </c>
      <c r="M118" t="n">
        <v>-9587.083999999999</v>
      </c>
    </row>
    <row r="119">
      <c r="B119" t="inlineStr">
        <is>
          <t>1206</t>
        </is>
      </c>
      <c r="C119" t="inlineStr">
        <is>
          <t>Nasiona słonecznika</t>
        </is>
      </c>
      <c r="D119" t="n">
        <v>4090.749</v>
      </c>
      <c r="E119" t="n">
        <v>4183.811</v>
      </c>
      <c r="F119" t="n">
        <v>3764.37</v>
      </c>
      <c r="G119" t="n">
        <v>4193.317</v>
      </c>
      <c r="H119" t="n">
        <v>12074.478</v>
      </c>
      <c r="I119" t="n">
        <v>13837.119</v>
      </c>
      <c r="J119" t="n">
        <v>9509.918</v>
      </c>
      <c r="K119" t="n">
        <v>10362.876</v>
      </c>
      <c r="L119" t="n">
        <v>-7983.728999999999</v>
      </c>
      <c r="M119" t="n">
        <v>-9653.308000000001</v>
      </c>
    </row>
    <row r="120">
      <c r="B120" t="inlineStr">
        <is>
          <t>1207</t>
        </is>
      </c>
      <c r="C120" t="inlineStr">
        <is>
          <t>Inne nasiona i owoce oleiste, nawet łamane</t>
        </is>
      </c>
      <c r="D120" t="n">
        <v>6879.233</v>
      </c>
      <c r="E120" t="n">
        <v>8429.243</v>
      </c>
      <c r="F120" t="n">
        <v>4500.199</v>
      </c>
      <c r="G120" t="n">
        <v>5850.586</v>
      </c>
      <c r="H120" t="n">
        <v>11117.912</v>
      </c>
      <c r="I120" t="n">
        <v>12719.188</v>
      </c>
      <c r="J120" t="n">
        <v>9792.516</v>
      </c>
      <c r="K120" t="n">
        <v>11000.881</v>
      </c>
      <c r="L120" t="n">
        <v>-4238.679</v>
      </c>
      <c r="M120" t="n">
        <v>-4289.945</v>
      </c>
    </row>
    <row r="121">
      <c r="B121" t="inlineStr">
        <is>
          <t>1208</t>
        </is>
      </c>
      <c r="C121" t="inlineStr">
        <is>
          <t>Mąka i grysiki z nasion lub owoców oleistych, inne niż z gorczycy</t>
        </is>
      </c>
      <c r="D121" t="n">
        <v>6750.244</v>
      </c>
      <c r="E121" t="n">
        <v>970.004</v>
      </c>
      <c r="F121" t="n">
        <v>14951.944</v>
      </c>
      <c r="G121" t="n">
        <v>2043.591</v>
      </c>
      <c r="H121" t="n">
        <v>746.66</v>
      </c>
      <c r="I121" t="n">
        <v>1541.626</v>
      </c>
      <c r="J121" t="n">
        <v>488.01</v>
      </c>
      <c r="K121" t="n">
        <v>628.699</v>
      </c>
      <c r="L121" t="n">
        <v>6003.584</v>
      </c>
      <c r="M121" t="n">
        <v>-571.622</v>
      </c>
    </row>
    <row r="122">
      <c r="B122" t="inlineStr">
        <is>
          <t>1209</t>
        </is>
      </c>
      <c r="C122" t="inlineStr">
        <is>
          <t>Nasiona, owoce i zarodniki, siewne</t>
        </is>
      </c>
      <c r="D122" t="n">
        <v>18788.039</v>
      </c>
      <c r="E122" t="n">
        <v>16002.652</v>
      </c>
      <c r="F122" t="n">
        <v>6626.865</v>
      </c>
      <c r="G122" t="n">
        <v>5642.331</v>
      </c>
      <c r="H122" t="n">
        <v>72566.467</v>
      </c>
      <c r="I122" t="n">
        <v>65326.001</v>
      </c>
      <c r="J122" t="n">
        <v>3269.975</v>
      </c>
      <c r="K122" t="n">
        <v>3036.95</v>
      </c>
      <c r="L122" t="n">
        <v>-53778.428</v>
      </c>
      <c r="M122" t="n">
        <v>-49323.34899999999</v>
      </c>
    </row>
    <row r="123">
      <c r="B123" t="inlineStr">
        <is>
          <t>1210</t>
        </is>
      </c>
      <c r="C123" t="inlineStr">
        <is>
          <t>Szyszki chmielowe, świeże lub suszone</t>
        </is>
      </c>
      <c r="D123" t="n">
        <v>2991.142</v>
      </c>
      <c r="E123" t="n">
        <v>1480.208</v>
      </c>
      <c r="F123" t="n">
        <v>452.113</v>
      </c>
      <c r="G123" t="n">
        <v>192.463</v>
      </c>
      <c r="H123" t="n">
        <v>1099.088</v>
      </c>
      <c r="I123" t="n">
        <v>824.65</v>
      </c>
      <c r="J123" t="n">
        <v>108.747</v>
      </c>
      <c r="K123" t="n">
        <v>113.968</v>
      </c>
      <c r="L123" t="n">
        <v>1892.054</v>
      </c>
      <c r="M123" t="n">
        <v>655.5580000000001</v>
      </c>
    </row>
    <row r="124">
      <c r="B124" t="inlineStr">
        <is>
          <t>1211</t>
        </is>
      </c>
      <c r="C124" t="inlineStr">
        <is>
          <t>Rośliny i ich części (łącznie z nasionami i owocami)</t>
        </is>
      </c>
      <c r="D124" t="n">
        <v>16709.821</v>
      </c>
      <c r="E124" t="n">
        <v>20448.747</v>
      </c>
      <c r="F124" t="n">
        <v>3202.065</v>
      </c>
      <c r="G124" t="n">
        <v>3370.131</v>
      </c>
      <c r="H124" t="n">
        <v>12365.056</v>
      </c>
      <c r="I124" t="n">
        <v>14671.947</v>
      </c>
      <c r="J124" t="n">
        <v>2768.302</v>
      </c>
      <c r="K124" t="n">
        <v>3114.541</v>
      </c>
      <c r="L124" t="n">
        <v>4344.764999999999</v>
      </c>
      <c r="M124" t="n">
        <v>5776.799999999999</v>
      </c>
    </row>
    <row r="125">
      <c r="B125" t="inlineStr">
        <is>
          <t>1212</t>
        </is>
      </c>
      <c r="C125" t="inlineStr">
        <is>
          <t>Chleb świętojański, wodorosty morskie i inne algi,</t>
        </is>
      </c>
      <c r="D125" t="n">
        <v>3054.707</v>
      </c>
      <c r="E125" t="n">
        <v>3795.785</v>
      </c>
      <c r="F125" t="n">
        <v>6869.49</v>
      </c>
      <c r="G125" t="n">
        <v>10749.255</v>
      </c>
      <c r="H125" t="n">
        <v>4263.781</v>
      </c>
      <c r="I125" t="n">
        <v>6061.546</v>
      </c>
      <c r="J125" t="n">
        <v>1698.478</v>
      </c>
      <c r="K125" t="n">
        <v>1944.107</v>
      </c>
      <c r="L125" t="n">
        <v>-1209.074</v>
      </c>
      <c r="M125" t="n">
        <v>-2265.761</v>
      </c>
    </row>
    <row r="126">
      <c r="B126" t="inlineStr">
        <is>
          <t>1213</t>
        </is>
      </c>
      <c r="C126" t="inlineStr">
        <is>
          <t>Słoma i plewy zbóż</t>
        </is>
      </c>
      <c r="D126" t="n">
        <v>4001.417</v>
      </c>
      <c r="E126" t="n">
        <v>3442.62</v>
      </c>
      <c r="F126" t="n">
        <v>18644.973</v>
      </c>
      <c r="G126" t="n">
        <v>13520.592</v>
      </c>
      <c r="H126" t="n">
        <v>702.504</v>
      </c>
      <c r="I126" t="n">
        <v>1594.422</v>
      </c>
      <c r="J126" t="n">
        <v>7331.944</v>
      </c>
      <c r="K126" t="n">
        <v>9221.307000000001</v>
      </c>
      <c r="L126" t="n">
        <v>3298.913</v>
      </c>
      <c r="M126" t="n">
        <v>1848.198</v>
      </c>
    </row>
    <row r="127">
      <c r="B127" t="inlineStr">
        <is>
          <t>1214</t>
        </is>
      </c>
      <c r="C127" t="inlineStr">
        <is>
          <t>Brukiew, buraki pastewne, korzenie pastewne, siano,</t>
        </is>
      </c>
      <c r="D127" t="n">
        <v>4964.641</v>
      </c>
      <c r="E127" t="n">
        <v>3682.632</v>
      </c>
      <c r="F127" t="n">
        <v>10078.441</v>
      </c>
      <c r="G127" t="n">
        <v>6121.357</v>
      </c>
      <c r="H127" t="n">
        <v>2108.999</v>
      </c>
      <c r="I127" t="n">
        <v>1159.977</v>
      </c>
      <c r="J127" t="n">
        <v>3019.032</v>
      </c>
      <c r="K127" t="n">
        <v>1436.437</v>
      </c>
      <c r="L127" t="n">
        <v>2855.642</v>
      </c>
      <c r="M127" t="n">
        <v>2522.655</v>
      </c>
    </row>
    <row r="128">
      <c r="B128" t="inlineStr">
        <is>
          <t>1301</t>
        </is>
      </c>
      <c r="C128" t="inlineStr">
        <is>
          <t xml:space="preserve">Szelak; gumy naturalne, żywice, gumożywice </t>
        </is>
      </c>
      <c r="D128" t="n">
        <v>114.7</v>
      </c>
      <c r="E128" t="n">
        <v>58.797</v>
      </c>
      <c r="F128" t="n">
        <v>9.643000000000001</v>
      </c>
      <c r="G128" t="n">
        <v>11.854</v>
      </c>
      <c r="H128" t="n">
        <v>1665.151</v>
      </c>
      <c r="I128" t="n">
        <v>1184.515</v>
      </c>
      <c r="J128" t="n">
        <v>456.748</v>
      </c>
      <c r="K128" t="n">
        <v>277.122</v>
      </c>
      <c r="L128" t="n">
        <v>-1550.451</v>
      </c>
      <c r="M128" t="n">
        <v>-1125.718</v>
      </c>
    </row>
    <row r="129">
      <c r="B129" t="inlineStr">
        <is>
          <t>1302</t>
        </is>
      </c>
      <c r="C129" t="inlineStr">
        <is>
          <t>Soki i ekstrakty roślinne; substancje pektynowe,</t>
        </is>
      </c>
      <c r="D129" t="n">
        <v>5550.718</v>
      </c>
      <c r="E129" t="n">
        <v>7222.332</v>
      </c>
      <c r="F129" t="n">
        <v>549.274</v>
      </c>
      <c r="G129" t="n">
        <v>604.785</v>
      </c>
      <c r="H129" t="n">
        <v>22036.798</v>
      </c>
      <c r="I129" t="n">
        <v>24525.954</v>
      </c>
      <c r="J129" t="n">
        <v>1730.921</v>
      </c>
      <c r="K129" t="n">
        <v>2172.24</v>
      </c>
      <c r="L129" t="n">
        <v>-16486.08</v>
      </c>
      <c r="M129" t="n">
        <v>-17303.622</v>
      </c>
    </row>
    <row r="130">
      <c r="B130" t="inlineStr">
        <is>
          <t>1401</t>
        </is>
      </c>
      <c r="C130" t="inlineStr">
        <is>
          <t xml:space="preserve">Materiały roślinne używane głównie do wyplatania </t>
        </is>
      </c>
      <c r="D130" t="n">
        <v>389.082</v>
      </c>
      <c r="E130" t="n">
        <v>205.246</v>
      </c>
      <c r="F130" t="n">
        <v>220.893</v>
      </c>
      <c r="G130" t="n">
        <v>181.655</v>
      </c>
      <c r="H130" t="n">
        <v>1762.591</v>
      </c>
      <c r="I130" t="n">
        <v>884.357</v>
      </c>
      <c r="J130" t="n">
        <v>2223.708</v>
      </c>
      <c r="K130" t="n">
        <v>1105.699</v>
      </c>
      <c r="L130" t="n">
        <v>-1373.509</v>
      </c>
      <c r="M130" t="n">
        <v>-679.111</v>
      </c>
    </row>
    <row r="131">
      <c r="B131" t="inlineStr">
        <is>
          <t>1402</t>
        </is>
      </c>
      <c r="C131" t="inlineStr">
        <is>
          <t>Materiały roślinne używane głównie do wyściełania i wypychania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B132" t="inlineStr">
        <is>
          <t>1403</t>
        </is>
      </c>
      <c r="C132" t="inlineStr">
        <is>
          <t>Materiały roślinne używane głównie do produkcji szczotek i mioteł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B133" t="inlineStr">
        <is>
          <t>1404</t>
        </is>
      </c>
      <c r="C133" t="inlineStr">
        <is>
          <t xml:space="preserve">Produkty roślinne gdzie indziej nie wymienione </t>
        </is>
      </c>
      <c r="D133" t="n">
        <v>977.929</v>
      </c>
      <c r="E133" t="n">
        <v>1225.484</v>
      </c>
      <c r="F133" t="n">
        <v>1130.726</v>
      </c>
      <c r="G133" t="n">
        <v>598.683</v>
      </c>
      <c r="H133" t="n">
        <v>6049.91</v>
      </c>
      <c r="I133" t="n">
        <v>14536.007</v>
      </c>
      <c r="J133" t="n">
        <v>51121.181</v>
      </c>
      <c r="K133" t="n">
        <v>115247.379</v>
      </c>
      <c r="L133" t="n">
        <v>-5071.981</v>
      </c>
      <c r="M133" t="n">
        <v>-13310.523</v>
      </c>
    </row>
    <row r="134">
      <c r="B134" t="inlineStr">
        <is>
          <t>1501</t>
        </is>
      </c>
      <c r="C134" t="inlineStr">
        <is>
          <t>Smalec</t>
        </is>
      </c>
      <c r="D134" t="n">
        <v>15328.075</v>
      </c>
      <c r="E134" t="n">
        <v>15026.793</v>
      </c>
      <c r="F134" t="n">
        <v>13718.057</v>
      </c>
      <c r="G134" t="n">
        <v>13352.064</v>
      </c>
      <c r="H134" t="n">
        <v>4250.759</v>
      </c>
      <c r="I134" t="n">
        <v>6618.909</v>
      </c>
      <c r="J134" t="n">
        <v>5954.549</v>
      </c>
      <c r="K134" t="n">
        <v>8706.826999999999</v>
      </c>
      <c r="L134" t="n">
        <v>11077.316</v>
      </c>
      <c r="M134" t="n">
        <v>8407.884</v>
      </c>
    </row>
    <row r="135">
      <c r="B135" t="inlineStr">
        <is>
          <t>1502</t>
        </is>
      </c>
      <c r="C135" t="inlineStr">
        <is>
          <t>Tłuszcze wołowe</t>
        </is>
      </c>
      <c r="D135" t="n">
        <v>4142.777</v>
      </c>
      <c r="E135" t="n">
        <v>5486.864</v>
      </c>
      <c r="F135" t="n">
        <v>4230.68</v>
      </c>
      <c r="G135" t="n">
        <v>4791.714</v>
      </c>
      <c r="H135" t="n">
        <v>3445.341</v>
      </c>
      <c r="I135" t="n">
        <v>3595.403</v>
      </c>
      <c r="J135" t="n">
        <v>3595.482</v>
      </c>
      <c r="K135" t="n">
        <v>3285.334</v>
      </c>
      <c r="L135" t="n">
        <v>697.4360000000001</v>
      </c>
      <c r="M135" t="n">
        <v>1891.461</v>
      </c>
    </row>
    <row r="136">
      <c r="B136" t="inlineStr">
        <is>
          <t>1503</t>
        </is>
      </c>
      <c r="C136" t="inlineStr">
        <is>
          <t>Stearyna smalcowa</t>
        </is>
      </c>
      <c r="D136" t="n">
        <v>0</v>
      </c>
      <c r="E136" t="n">
        <v>0.003</v>
      </c>
      <c r="F136" t="n">
        <v>0</v>
      </c>
      <c r="G136" t="n">
        <v>0</v>
      </c>
      <c r="H136" t="n">
        <v>226.186</v>
      </c>
      <c r="I136" t="n">
        <v>146.558</v>
      </c>
      <c r="J136" t="n">
        <v>192.102</v>
      </c>
      <c r="K136" t="n">
        <v>121.14</v>
      </c>
      <c r="L136" t="n">
        <v>-226.186</v>
      </c>
      <c r="M136" t="n">
        <v>-146.555</v>
      </c>
    </row>
    <row r="137">
      <c r="B137" t="inlineStr">
        <is>
          <t>1504</t>
        </is>
      </c>
      <c r="C137" t="inlineStr">
        <is>
          <t>Tłuszcze i oleje i ich frakcje, z ryb lub ze ssaków</t>
        </is>
      </c>
      <c r="D137" t="n">
        <v>3114.325</v>
      </c>
      <c r="E137" t="n">
        <v>3586.342</v>
      </c>
      <c r="F137" t="n">
        <v>1661.793</v>
      </c>
      <c r="G137" t="n">
        <v>2263.711</v>
      </c>
      <c r="H137" t="n">
        <v>3657.668</v>
      </c>
      <c r="I137" t="n">
        <v>3275.261</v>
      </c>
      <c r="J137" t="n">
        <v>453.456</v>
      </c>
      <c r="K137" t="n">
        <v>466.475</v>
      </c>
      <c r="L137" t="n">
        <v>-543.3430000000003</v>
      </c>
      <c r="M137" t="n">
        <v>311.0810000000001</v>
      </c>
    </row>
    <row r="138">
      <c r="B138" t="inlineStr">
        <is>
          <t>1505</t>
        </is>
      </c>
      <c r="C138" t="inlineStr">
        <is>
          <t xml:space="preserve">Tłuszcz z wełny oraz substancje tłuszczowe </t>
        </is>
      </c>
      <c r="D138" t="n">
        <v>1.875</v>
      </c>
      <c r="E138" t="n">
        <v>4.419</v>
      </c>
      <c r="F138" t="n">
        <v>0.72</v>
      </c>
      <c r="G138" t="n">
        <v>0.283</v>
      </c>
      <c r="H138" t="n">
        <v>632.272</v>
      </c>
      <c r="I138" t="n">
        <v>331.195</v>
      </c>
      <c r="J138" t="n">
        <v>39.589</v>
      </c>
      <c r="K138" t="n">
        <v>25.445</v>
      </c>
      <c r="L138" t="n">
        <v>-630.397</v>
      </c>
      <c r="M138" t="n">
        <v>-326.776</v>
      </c>
    </row>
    <row r="139">
      <c r="B139" t="inlineStr">
        <is>
          <t>1506</t>
        </is>
      </c>
      <c r="C139" t="inlineStr">
        <is>
          <t>Pozostałe tłuszcze i oleje zwierzęce oraz ich frakcje</t>
        </is>
      </c>
      <c r="D139" t="n">
        <v>1205.285</v>
      </c>
      <c r="E139" t="n">
        <v>1578.806</v>
      </c>
      <c r="F139" t="n">
        <v>1494.069</v>
      </c>
      <c r="G139" t="n">
        <v>1428.492</v>
      </c>
      <c r="H139" t="n">
        <v>244.812</v>
      </c>
      <c r="I139" t="n">
        <v>300.08</v>
      </c>
      <c r="J139" t="n">
        <v>194.84</v>
      </c>
      <c r="K139" t="n">
        <v>220.2</v>
      </c>
      <c r="L139" t="n">
        <v>960.4730000000001</v>
      </c>
      <c r="M139" t="n">
        <v>1278.726</v>
      </c>
    </row>
    <row r="140">
      <c r="B140" t="inlineStr">
        <is>
          <t>1507</t>
        </is>
      </c>
      <c r="C140" t="inlineStr">
        <is>
          <t>Olej sojowy i jego frakcje, rafinowane lub nie</t>
        </is>
      </c>
      <c r="D140" t="n">
        <v>29663.007</v>
      </c>
      <c r="E140" t="n">
        <v>22540.885</v>
      </c>
      <c r="F140" t="n">
        <v>28134.977</v>
      </c>
      <c r="G140" t="n">
        <v>20825.045</v>
      </c>
      <c r="H140" t="n">
        <v>58315.77</v>
      </c>
      <c r="I140" t="n">
        <v>57293.401</v>
      </c>
      <c r="J140" t="n">
        <v>59658.971</v>
      </c>
      <c r="K140" t="n">
        <v>57894.914</v>
      </c>
      <c r="L140" t="n">
        <v>-28652.763</v>
      </c>
      <c r="M140" t="n">
        <v>-34752.516</v>
      </c>
    </row>
    <row r="141">
      <c r="B141" t="inlineStr">
        <is>
          <t>1508</t>
        </is>
      </c>
      <c r="C141" t="inlineStr">
        <is>
          <t>Olej z orzeszków ziemnych i jego frakcje, rafinowane</t>
        </is>
      </c>
      <c r="D141" t="n">
        <v>0.063</v>
      </c>
      <c r="E141" t="n">
        <v>0.015</v>
      </c>
      <c r="F141" t="n">
        <v>0.011</v>
      </c>
      <c r="G141" t="n">
        <v>0</v>
      </c>
      <c r="H141" t="n">
        <v>22.908</v>
      </c>
      <c r="I141" t="n">
        <v>17.677</v>
      </c>
      <c r="J141" t="n">
        <v>5.191</v>
      </c>
      <c r="K141" t="n">
        <v>3.804</v>
      </c>
      <c r="L141" t="n">
        <v>-22.845</v>
      </c>
      <c r="M141" t="n">
        <v>-17.662</v>
      </c>
    </row>
    <row r="142">
      <c r="B142" t="inlineStr">
        <is>
          <t>1509</t>
        </is>
      </c>
      <c r="C142" t="inlineStr">
        <is>
          <t>Oliwa i jej frakcje, rafinowane lub nie</t>
        </is>
      </c>
      <c r="D142" t="n">
        <v>683.471</v>
      </c>
      <c r="E142" t="n">
        <v>1289.294</v>
      </c>
      <c r="F142" t="n">
        <v>80.485</v>
      </c>
      <c r="G142" t="n">
        <v>192.456</v>
      </c>
      <c r="H142" t="n">
        <v>14333.483</v>
      </c>
      <c r="I142" t="n">
        <v>16335.615</v>
      </c>
      <c r="J142" t="n">
        <v>1921.828</v>
      </c>
      <c r="K142" t="n">
        <v>2670.488</v>
      </c>
      <c r="L142" t="n">
        <v>-13650.012</v>
      </c>
      <c r="M142" t="n">
        <v>-15046.321</v>
      </c>
    </row>
    <row r="143">
      <c r="B143" t="inlineStr">
        <is>
          <t>1510</t>
        </is>
      </c>
      <c r="C143" t="inlineStr">
        <is>
          <t>Pozostałe oleje i ich frakcje</t>
        </is>
      </c>
      <c r="D143" t="n">
        <v>114.139</v>
      </c>
      <c r="E143" t="n">
        <v>234.913</v>
      </c>
      <c r="F143" t="n">
        <v>25.845</v>
      </c>
      <c r="G143" t="n">
        <v>187.886</v>
      </c>
      <c r="H143" t="n">
        <v>1861.073</v>
      </c>
      <c r="I143" t="n">
        <v>1697.991</v>
      </c>
      <c r="J143" t="n">
        <v>492.045</v>
      </c>
      <c r="K143" t="n">
        <v>498.213</v>
      </c>
      <c r="L143" t="n">
        <v>-1746.934</v>
      </c>
      <c r="M143" t="n">
        <v>-1463.078</v>
      </c>
    </row>
    <row r="144">
      <c r="B144" t="inlineStr">
        <is>
          <t>1511</t>
        </is>
      </c>
      <c r="C144" t="inlineStr">
        <is>
          <t>Olej palmowy i jego frakcje, rafinowany lub nie</t>
        </is>
      </c>
      <c r="D144" t="n">
        <v>1224.264</v>
      </c>
      <c r="E144" t="n">
        <v>1153.982</v>
      </c>
      <c r="F144" t="n">
        <v>672.888</v>
      </c>
      <c r="G144" t="n">
        <v>707.03</v>
      </c>
      <c r="H144" t="n">
        <v>55073.822</v>
      </c>
      <c r="I144" t="n">
        <v>42935.86</v>
      </c>
      <c r="J144" t="n">
        <v>35304.444</v>
      </c>
      <c r="K144" t="n">
        <v>28860.263</v>
      </c>
      <c r="L144" t="n">
        <v>-53849.558</v>
      </c>
      <c r="M144" t="n">
        <v>-41781.878</v>
      </c>
    </row>
    <row r="145">
      <c r="B145" t="inlineStr">
        <is>
          <t>1512</t>
        </is>
      </c>
      <c r="C145" t="inlineStr">
        <is>
          <t xml:space="preserve">Olej słonecznikowy, szafranowy i bawełniany </t>
        </is>
      </c>
      <c r="D145" t="n">
        <v>30214.872</v>
      </c>
      <c r="E145" t="n">
        <v>14303.917</v>
      </c>
      <c r="F145" t="n">
        <v>25909.857</v>
      </c>
      <c r="G145" t="n">
        <v>11808.784</v>
      </c>
      <c r="H145" t="n">
        <v>43182.496</v>
      </c>
      <c r="I145" t="n">
        <v>36334.512</v>
      </c>
      <c r="J145" t="n">
        <v>35335.456</v>
      </c>
      <c r="K145" t="n">
        <v>29058.036</v>
      </c>
      <c r="L145" t="n">
        <v>-12967.624</v>
      </c>
      <c r="M145" t="n">
        <v>-22030.595</v>
      </c>
    </row>
    <row r="146">
      <c r="B146" t="inlineStr">
        <is>
          <t>1513</t>
        </is>
      </c>
      <c r="C146" t="inlineStr">
        <is>
          <t>Olej kokosowy, olej z ziaren palmowych, olej babassu</t>
        </is>
      </c>
      <c r="D146" t="n">
        <v>1127.857</v>
      </c>
      <c r="E146" t="n">
        <v>936.021</v>
      </c>
      <c r="F146" t="n">
        <v>407.925</v>
      </c>
      <c r="G146" t="n">
        <v>221.003</v>
      </c>
      <c r="H146" t="n">
        <v>21060.562</v>
      </c>
      <c r="I146" t="n">
        <v>21208.272</v>
      </c>
      <c r="J146" t="n">
        <v>10584.068</v>
      </c>
      <c r="K146" t="n">
        <v>9559.147000000001</v>
      </c>
      <c r="L146" t="n">
        <v>-19932.705</v>
      </c>
      <c r="M146" t="n">
        <v>-20272.251</v>
      </c>
    </row>
    <row r="147">
      <c r="B147" t="inlineStr">
        <is>
          <t>1514</t>
        </is>
      </c>
      <c r="C147" t="inlineStr">
        <is>
          <t xml:space="preserve">Olej rzepakowy, rzepikowy i gorczycowy </t>
        </is>
      </c>
      <c r="D147" t="n">
        <v>21885.047</v>
      </c>
      <c r="E147" t="n">
        <v>28341.186</v>
      </c>
      <c r="F147" t="n">
        <v>20601.858</v>
      </c>
      <c r="G147" t="n">
        <v>24619.136</v>
      </c>
      <c r="H147" t="n">
        <v>25173.536</v>
      </c>
      <c r="I147" t="n">
        <v>67267.796</v>
      </c>
      <c r="J147" t="n">
        <v>20906.384</v>
      </c>
      <c r="K147" t="n">
        <v>62081.401</v>
      </c>
      <c r="L147" t="n">
        <v>-3288.489000000001</v>
      </c>
      <c r="M147" t="n">
        <v>-38926.61</v>
      </c>
    </row>
    <row r="148">
      <c r="B148" t="inlineStr">
        <is>
          <t>1515</t>
        </is>
      </c>
      <c r="C148" t="inlineStr">
        <is>
          <t>Pozostałe nielotne tłuszcze i oleje roślinne</t>
        </is>
      </c>
      <c r="D148" t="n">
        <v>4607.163</v>
      </c>
      <c r="E148" t="n">
        <v>4395.944</v>
      </c>
      <c r="F148" t="n">
        <v>2470.111</v>
      </c>
      <c r="G148" t="n">
        <v>2610.268</v>
      </c>
      <c r="H148" t="n">
        <v>9427.739</v>
      </c>
      <c r="I148" t="n">
        <v>9699.370999999999</v>
      </c>
      <c r="J148" t="n">
        <v>3237.634</v>
      </c>
      <c r="K148" t="n">
        <v>3177.922</v>
      </c>
      <c r="L148" t="n">
        <v>-4820.576</v>
      </c>
      <c r="M148" t="n">
        <v>-5303.426999999999</v>
      </c>
    </row>
    <row r="149">
      <c r="B149" t="inlineStr">
        <is>
          <t>1516</t>
        </is>
      </c>
      <c r="C149" t="inlineStr">
        <is>
          <t xml:space="preserve">Tłuszcze i oleje zwierzęce lub roślinne </t>
        </is>
      </c>
      <c r="D149" t="n">
        <v>1167.204</v>
      </c>
      <c r="E149" t="n">
        <v>809.946</v>
      </c>
      <c r="F149" t="n">
        <v>524.251</v>
      </c>
      <c r="G149" t="n">
        <v>287.812</v>
      </c>
      <c r="H149" t="n">
        <v>16417.101</v>
      </c>
      <c r="I149" t="n">
        <v>17017.695</v>
      </c>
      <c r="J149" t="n">
        <v>7005.593</v>
      </c>
      <c r="K149" t="n">
        <v>6676.487</v>
      </c>
      <c r="L149" t="n">
        <v>-15249.897</v>
      </c>
      <c r="M149" t="n">
        <v>-16207.749</v>
      </c>
    </row>
    <row r="150">
      <c r="B150" t="inlineStr">
        <is>
          <t>1517</t>
        </is>
      </c>
      <c r="C150" t="inlineStr">
        <is>
          <t>Margaryna; jadalne mieszaniny lub wyroby z tłuszczów</t>
        </is>
      </c>
      <c r="D150" t="n">
        <v>58181.996</v>
      </c>
      <c r="E150" t="n">
        <v>52144.766</v>
      </c>
      <c r="F150" t="n">
        <v>38646.013</v>
      </c>
      <c r="G150" t="n">
        <v>32545.17</v>
      </c>
      <c r="H150" t="n">
        <v>52987.35</v>
      </c>
      <c r="I150" t="n">
        <v>44499.348</v>
      </c>
      <c r="J150" t="n">
        <v>31518.451</v>
      </c>
      <c r="K150" t="n">
        <v>21314.648</v>
      </c>
      <c r="L150" t="n">
        <v>5194.646000000001</v>
      </c>
      <c r="M150" t="n">
        <v>7645.418000000005</v>
      </c>
    </row>
    <row r="151">
      <c r="B151" t="inlineStr">
        <is>
          <t>1518</t>
        </is>
      </c>
      <c r="C151" t="inlineStr">
        <is>
          <t xml:space="preserve">Tłuszcze i oleje zwierzęce lub roślinne i ich frakcje gotowane, </t>
        </is>
      </c>
      <c r="D151" t="n">
        <v>41274.34</v>
      </c>
      <c r="E151" t="n">
        <v>31554.656</v>
      </c>
      <c r="F151" t="n">
        <v>41935.52</v>
      </c>
      <c r="G151" t="n">
        <v>32250.157</v>
      </c>
      <c r="H151" t="n">
        <v>10783.836</v>
      </c>
      <c r="I151" t="n">
        <v>12577.819</v>
      </c>
      <c r="J151" t="n">
        <v>14327.983</v>
      </c>
      <c r="K151" t="n">
        <v>13935.921</v>
      </c>
      <c r="L151" t="n">
        <v>30490.504</v>
      </c>
      <c r="M151" t="n">
        <v>18976.837</v>
      </c>
    </row>
    <row r="152">
      <c r="B152" t="inlineStr">
        <is>
          <t>1519</t>
        </is>
      </c>
      <c r="C152" t="inlineStr">
        <is>
          <t>Przemysłowe jednokarboksylowe kwasy tłuszczowe;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B153" t="inlineStr">
        <is>
          <t>1520</t>
        </is>
      </c>
      <c r="C153" t="inlineStr">
        <is>
          <t>Gliceryna, również zanieczyszczona; wody glicerynowe</t>
        </is>
      </c>
      <c r="D153" t="n">
        <v>2811.712</v>
      </c>
      <c r="E153" t="n">
        <v>4188.551</v>
      </c>
      <c r="F153" t="n">
        <v>6211.283</v>
      </c>
      <c r="G153" t="n">
        <v>7599.767</v>
      </c>
      <c r="H153" t="n">
        <v>659.902</v>
      </c>
      <c r="I153" t="n">
        <v>648.648</v>
      </c>
      <c r="J153" t="n">
        <v>1737.928</v>
      </c>
      <c r="K153" t="n">
        <v>1205.353</v>
      </c>
      <c r="L153" t="n">
        <v>2151.81</v>
      </c>
      <c r="M153" t="n">
        <v>3539.903</v>
      </c>
    </row>
    <row r="154">
      <c r="B154" t="inlineStr">
        <is>
          <t>1521</t>
        </is>
      </c>
      <c r="C154" t="inlineStr">
        <is>
          <t>Woski roślinne (oprócz trójglicerydów), wosk</t>
        </is>
      </c>
      <c r="D154" t="n">
        <v>58.753</v>
      </c>
      <c r="E154" t="n">
        <v>102.543</v>
      </c>
      <c r="F154" t="n">
        <v>7.229</v>
      </c>
      <c r="G154" t="n">
        <v>13.21</v>
      </c>
      <c r="H154" t="n">
        <v>1747.694</v>
      </c>
      <c r="I154" t="n">
        <v>1306.147</v>
      </c>
      <c r="J154" t="n">
        <v>319.354</v>
      </c>
      <c r="K154" t="n">
        <v>248.375</v>
      </c>
      <c r="L154" t="n">
        <v>-1688.941</v>
      </c>
      <c r="M154" t="n">
        <v>-1203.604</v>
      </c>
    </row>
    <row r="155">
      <c r="B155" t="inlineStr">
        <is>
          <t>1522</t>
        </is>
      </c>
      <c r="C155" t="inlineStr">
        <is>
          <t>Degras</t>
        </is>
      </c>
      <c r="D155" t="n">
        <v>352.152</v>
      </c>
      <c r="E155" t="n">
        <v>183.343</v>
      </c>
      <c r="F155" t="n">
        <v>3661.637</v>
      </c>
      <c r="G155" t="n">
        <v>2039.975</v>
      </c>
      <c r="H155" t="n">
        <v>36.497</v>
      </c>
      <c r="I155" t="n">
        <v>0</v>
      </c>
      <c r="J155" t="n">
        <v>56.15</v>
      </c>
      <c r="K155" t="n">
        <v>0</v>
      </c>
      <c r="L155" t="n">
        <v>315.655</v>
      </c>
      <c r="M155" t="n">
        <v>183.343</v>
      </c>
    </row>
    <row r="156">
      <c r="B156" t="inlineStr">
        <is>
          <t>1601</t>
        </is>
      </c>
      <c r="C156" t="inlineStr">
        <is>
          <t>Kiełbasy i podobne produkty z mięsa</t>
        </is>
      </c>
      <c r="D156" t="n">
        <v>101373.397</v>
      </c>
      <c r="E156" t="n">
        <v>106859.34</v>
      </c>
      <c r="F156" t="n">
        <v>22532.094</v>
      </c>
      <c r="G156" t="n">
        <v>22927.417</v>
      </c>
      <c r="H156" t="n">
        <v>16775.503</v>
      </c>
      <c r="I156" t="n">
        <v>17969.456</v>
      </c>
      <c r="J156" t="n">
        <v>2617.666</v>
      </c>
      <c r="K156" t="n">
        <v>2460.79</v>
      </c>
      <c r="L156" t="n">
        <v>84597.894</v>
      </c>
      <c r="M156" t="n">
        <v>88889.88399999999</v>
      </c>
    </row>
    <row r="157">
      <c r="B157" t="inlineStr">
        <is>
          <t>1602</t>
        </is>
      </c>
      <c r="C157" t="inlineStr">
        <is>
          <t>Pozostałe przetworzone lub konserwowane mięso,</t>
        </is>
      </c>
      <c r="D157" t="n">
        <v>331639.646</v>
      </c>
      <c r="E157" t="n">
        <v>355868.756</v>
      </c>
      <c r="F157" t="n">
        <v>73117.485</v>
      </c>
      <c r="G157" t="n">
        <v>72651.251</v>
      </c>
      <c r="H157" t="n">
        <v>28237.432</v>
      </c>
      <c r="I157" t="n">
        <v>32208.799</v>
      </c>
      <c r="J157" t="n">
        <v>4792.236</v>
      </c>
      <c r="K157" t="n">
        <v>5394.888</v>
      </c>
      <c r="L157" t="n">
        <v>303402.214</v>
      </c>
      <c r="M157" t="n">
        <v>323659.957</v>
      </c>
    </row>
    <row r="158">
      <c r="B158" t="inlineStr">
        <is>
          <t>1603</t>
        </is>
      </c>
      <c r="C158" t="inlineStr">
        <is>
          <t>Ekstrakty i soki z mięsa, ryb lub skorupiaków</t>
        </is>
      </c>
      <c r="D158" t="n">
        <v>90.18899999999999</v>
      </c>
      <c r="E158" t="n">
        <v>0</v>
      </c>
      <c r="F158" t="n">
        <v>20.859</v>
      </c>
      <c r="G158" t="n">
        <v>0</v>
      </c>
      <c r="H158" t="n">
        <v>117.874</v>
      </c>
      <c r="I158" t="n">
        <v>144.561</v>
      </c>
      <c r="J158" t="n">
        <v>19.962</v>
      </c>
      <c r="K158" t="n">
        <v>22.485</v>
      </c>
      <c r="L158" t="n">
        <v>-27.685</v>
      </c>
      <c r="M158" t="n">
        <v>-144.561</v>
      </c>
    </row>
    <row r="159">
      <c r="B159" t="inlineStr">
        <is>
          <t>1604</t>
        </is>
      </c>
      <c r="C159" t="inlineStr">
        <is>
          <t>Przetworzone i konserwowane ryby; kawior i namiastki</t>
        </is>
      </c>
      <c r="D159" t="n">
        <v>134790.586</v>
      </c>
      <c r="E159" t="n">
        <v>140552.166</v>
      </c>
      <c r="F159" t="n">
        <v>26603.29</v>
      </c>
      <c r="G159" t="n">
        <v>25730.421</v>
      </c>
      <c r="H159" t="n">
        <v>33167.408</v>
      </c>
      <c r="I159" t="n">
        <v>40158.861</v>
      </c>
      <c r="J159" t="n">
        <v>9131.329</v>
      </c>
      <c r="K159" t="n">
        <v>10152.02</v>
      </c>
      <c r="L159" t="n">
        <v>101623.178</v>
      </c>
      <c r="M159" t="n">
        <v>100393.305</v>
      </c>
    </row>
    <row r="160">
      <c r="B160" t="inlineStr">
        <is>
          <t>1605</t>
        </is>
      </c>
      <c r="C160" t="inlineStr">
        <is>
          <t>Skorupiaki, mięczaki i inne bezkręgowce wodne,</t>
        </is>
      </c>
      <c r="D160" t="n">
        <v>1190.688</v>
      </c>
      <c r="E160" t="n">
        <v>2420.218</v>
      </c>
      <c r="F160" t="n">
        <v>159.46</v>
      </c>
      <c r="G160" t="n">
        <v>248.793</v>
      </c>
      <c r="H160" t="n">
        <v>3558.817</v>
      </c>
      <c r="I160" t="n">
        <v>3712.79</v>
      </c>
      <c r="J160" t="n">
        <v>504.088</v>
      </c>
      <c r="K160" t="n">
        <v>445.104</v>
      </c>
      <c r="L160" t="n">
        <v>-2368.129</v>
      </c>
      <c r="M160" t="n">
        <v>-1292.572</v>
      </c>
    </row>
    <row r="161">
      <c r="B161" t="inlineStr">
        <is>
          <t>1701</t>
        </is>
      </c>
      <c r="C161" t="inlineStr">
        <is>
          <t>Cukier trzcinowy lub buraczany i chem. czysta sacharoza w p.stałej</t>
        </is>
      </c>
      <c r="D161" t="n">
        <v>107068.212</v>
      </c>
      <c r="E161" t="n">
        <v>78060.89999999999</v>
      </c>
      <c r="F161" t="n">
        <v>195147.311</v>
      </c>
      <c r="G161" t="n">
        <v>171655.124</v>
      </c>
      <c r="H161" t="n">
        <v>12066.273</v>
      </c>
      <c r="I161" t="n">
        <v>7069.74</v>
      </c>
      <c r="J161" t="n">
        <v>19933.494</v>
      </c>
      <c r="K161" t="n">
        <v>11176.262</v>
      </c>
      <c r="L161" t="n">
        <v>95001.939</v>
      </c>
      <c r="M161" t="n">
        <v>70991.15999999999</v>
      </c>
    </row>
    <row r="162">
      <c r="B162" t="inlineStr">
        <is>
          <t>1702</t>
        </is>
      </c>
      <c r="C162" t="inlineStr">
        <is>
          <t>Pozostałe cukry łącznie z chem. czyst. lakt.,malt.,gluk.i frukt.</t>
        </is>
      </c>
      <c r="D162" t="n">
        <v>15623.505</v>
      </c>
      <c r="E162" t="n">
        <v>19295.458</v>
      </c>
      <c r="F162" t="n">
        <v>18895.827</v>
      </c>
      <c r="G162" t="n">
        <v>26897.849</v>
      </c>
      <c r="H162" t="n">
        <v>29123.363</v>
      </c>
      <c r="I162" t="n">
        <v>24796.681</v>
      </c>
      <c r="J162" t="n">
        <v>34694.332</v>
      </c>
      <c r="K162" t="n">
        <v>29201.178</v>
      </c>
      <c r="L162" t="n">
        <v>-13499.858</v>
      </c>
      <c r="M162" t="n">
        <v>-5501.223000000002</v>
      </c>
    </row>
    <row r="163">
      <c r="B163" t="inlineStr">
        <is>
          <t>1703</t>
        </is>
      </c>
      <c r="C163" t="inlineStr">
        <is>
          <t>Melasy powstałe z ekstrakcji lub rafinacji cukru</t>
        </is>
      </c>
      <c r="D163" t="n">
        <v>9054.973</v>
      </c>
      <c r="E163" t="n">
        <v>6035.85</v>
      </c>
      <c r="F163" t="n">
        <v>93108.447</v>
      </c>
      <c r="G163" t="n">
        <v>54449.1</v>
      </c>
      <c r="H163" t="n">
        <v>556.236</v>
      </c>
      <c r="I163" t="n">
        <v>638.529</v>
      </c>
      <c r="J163" t="n">
        <v>7394.722</v>
      </c>
      <c r="K163" t="n">
        <v>8448.473</v>
      </c>
      <c r="L163" t="n">
        <v>8498.736999999999</v>
      </c>
      <c r="M163" t="n">
        <v>5397.321</v>
      </c>
    </row>
    <row r="164">
      <c r="B164" t="inlineStr">
        <is>
          <t>1704</t>
        </is>
      </c>
      <c r="C164" t="inlineStr">
        <is>
          <t>Wyroby cukiernicze (łącznie z białą czekoladą)</t>
        </is>
      </c>
      <c r="D164" t="n">
        <v>129947.44</v>
      </c>
      <c r="E164" t="n">
        <v>114788.338</v>
      </c>
      <c r="F164" t="n">
        <v>22938.655</v>
      </c>
      <c r="G164" t="n">
        <v>22173.37</v>
      </c>
      <c r="H164" t="n">
        <v>67805.17</v>
      </c>
      <c r="I164" t="n">
        <v>63722.954</v>
      </c>
      <c r="J164" t="n">
        <v>15876.438</v>
      </c>
      <c r="K164" t="n">
        <v>15793.363</v>
      </c>
      <c r="L164" t="n">
        <v>62142.27</v>
      </c>
      <c r="M164" t="n">
        <v>51065.38400000001</v>
      </c>
    </row>
    <row r="165">
      <c r="B165" t="inlineStr">
        <is>
          <t>1801</t>
        </is>
      </c>
      <c r="C165" t="inlineStr">
        <is>
          <t>Ziarna kakaowe, całe lub łamane, surowe lub palone</t>
        </is>
      </c>
      <c r="D165" t="n">
        <v>337.92</v>
      </c>
      <c r="E165" t="n">
        <v>185.695</v>
      </c>
      <c r="F165" t="n">
        <v>31.907</v>
      </c>
      <c r="G165" t="n">
        <v>26.366</v>
      </c>
      <c r="H165" t="n">
        <v>25240.774</v>
      </c>
      <c r="I165" t="n">
        <v>13628.704</v>
      </c>
      <c r="J165" t="n">
        <v>3968.815</v>
      </c>
      <c r="K165" t="n">
        <v>1973.881</v>
      </c>
      <c r="L165" t="n">
        <v>-24902.854</v>
      </c>
      <c r="M165" t="n">
        <v>-13443.009</v>
      </c>
    </row>
    <row r="166">
      <c r="B166" t="inlineStr">
        <is>
          <t>1802</t>
        </is>
      </c>
      <c r="C166" t="inlineStr">
        <is>
          <t>Kakaowe łuski, łupiny, osłonki i inne odpady z kakao</t>
        </is>
      </c>
      <c r="D166" t="n">
        <v>299.138</v>
      </c>
      <c r="E166" t="n">
        <v>498.15</v>
      </c>
      <c r="F166" t="n">
        <v>258.909</v>
      </c>
      <c r="G166" t="n">
        <v>380.055</v>
      </c>
      <c r="H166" t="n">
        <v>299.2</v>
      </c>
      <c r="I166" t="n">
        <v>11.107</v>
      </c>
      <c r="J166" t="n">
        <v>37.929</v>
      </c>
      <c r="K166" t="n">
        <v>39.864</v>
      </c>
      <c r="L166" t="n">
        <v>-0.06200000000001182</v>
      </c>
      <c r="M166" t="n">
        <v>487.043</v>
      </c>
    </row>
    <row r="167">
      <c r="B167" t="inlineStr">
        <is>
          <t>1803</t>
        </is>
      </c>
      <c r="C167" t="inlineStr">
        <is>
          <t>Pasta kakaowa, nawet odtłuszczona</t>
        </is>
      </c>
      <c r="D167" t="n">
        <v>23633.844</v>
      </c>
      <c r="E167" t="n">
        <v>22621.819</v>
      </c>
      <c r="F167" t="n">
        <v>2482.497</v>
      </c>
      <c r="G167" t="n">
        <v>2474.527</v>
      </c>
      <c r="H167" t="n">
        <v>123319.499</v>
      </c>
      <c r="I167" t="n">
        <v>69439.40399999999</v>
      </c>
      <c r="J167" t="n">
        <v>10946.976</v>
      </c>
      <c r="K167" t="n">
        <v>7623.812</v>
      </c>
      <c r="L167" t="n">
        <v>-99685.655</v>
      </c>
      <c r="M167" t="n">
        <v>-46817.58499999999</v>
      </c>
    </row>
    <row r="168">
      <c r="B168" t="inlineStr">
        <is>
          <t>1804</t>
        </is>
      </c>
      <c r="C168" t="inlineStr">
        <is>
          <t>Kakaowe masło, tłuszcz i olej</t>
        </is>
      </c>
      <c r="D168" t="n">
        <v>2356.253</v>
      </c>
      <c r="E168" t="n">
        <v>566.366</v>
      </c>
      <c r="F168" t="n">
        <v>104.574</v>
      </c>
      <c r="G168" t="n">
        <v>72.968</v>
      </c>
      <c r="H168" t="n">
        <v>168796.976</v>
      </c>
      <c r="I168" t="n">
        <v>121838.959</v>
      </c>
      <c r="J168" t="n">
        <v>9062.087</v>
      </c>
      <c r="K168" t="n">
        <v>8349.134</v>
      </c>
      <c r="L168" t="n">
        <v>-166440.723</v>
      </c>
      <c r="M168" t="n">
        <v>-121272.593</v>
      </c>
    </row>
    <row r="169">
      <c r="B169" t="inlineStr">
        <is>
          <t>1805</t>
        </is>
      </c>
      <c r="C169" t="inlineStr">
        <is>
          <t>Proszek kakaowy nie zawierający dodatku cukru</t>
        </is>
      </c>
      <c r="D169" t="n">
        <v>4754.881</v>
      </c>
      <c r="E169" t="n">
        <v>3400.675</v>
      </c>
      <c r="F169" t="n">
        <v>737.373</v>
      </c>
      <c r="G169" t="n">
        <v>475.985</v>
      </c>
      <c r="H169" t="n">
        <v>22129.078</v>
      </c>
      <c r="I169" t="n">
        <v>21179.416</v>
      </c>
      <c r="J169" t="n">
        <v>3789.206</v>
      </c>
      <c r="K169" t="n">
        <v>3249.282</v>
      </c>
      <c r="L169" t="n">
        <v>-17374.197</v>
      </c>
      <c r="M169" t="n">
        <v>-17778.741</v>
      </c>
    </row>
    <row r="170">
      <c r="B170" t="inlineStr">
        <is>
          <t>1806</t>
        </is>
      </c>
      <c r="C170" t="inlineStr">
        <is>
          <t>Czekolada i inne przetwory spożywcze zawierające kakao</t>
        </is>
      </c>
      <c r="D170" t="n">
        <v>544437.981</v>
      </c>
      <c r="E170" t="n">
        <v>563991.724</v>
      </c>
      <c r="F170" t="n">
        <v>70617.171</v>
      </c>
      <c r="G170" t="n">
        <v>72052.458</v>
      </c>
      <c r="H170" t="n">
        <v>282983.759</v>
      </c>
      <c r="I170" t="n">
        <v>263867.44</v>
      </c>
      <c r="J170" t="n">
        <v>38263.443</v>
      </c>
      <c r="K170" t="n">
        <v>36872.996</v>
      </c>
      <c r="L170" t="n">
        <v>261454.222</v>
      </c>
      <c r="M170" t="n">
        <v>300124.284</v>
      </c>
    </row>
    <row r="171">
      <c r="B171" t="inlineStr">
        <is>
          <t>1901</t>
        </is>
      </c>
      <c r="C171" t="inlineStr">
        <is>
          <t>Ekstrakt słodowy; przetwory spożywcze z mąki,</t>
        </is>
      </c>
      <c r="D171" t="n">
        <v>160786.039</v>
      </c>
      <c r="E171" t="n">
        <v>160785.677</v>
      </c>
      <c r="F171" t="n">
        <v>53387.497</v>
      </c>
      <c r="G171" t="n">
        <v>56764.081</v>
      </c>
      <c r="H171" t="n">
        <v>94136.837</v>
      </c>
      <c r="I171" t="n">
        <v>96488.58500000001</v>
      </c>
      <c r="J171" t="n">
        <v>31542.859</v>
      </c>
      <c r="K171" t="n">
        <v>33160.74</v>
      </c>
      <c r="L171" t="n">
        <v>66649.20199999999</v>
      </c>
      <c r="M171" t="n">
        <v>64297.09199999999</v>
      </c>
    </row>
    <row r="172">
      <c r="B172" t="inlineStr">
        <is>
          <t>1902</t>
        </is>
      </c>
      <c r="C172" t="inlineStr">
        <is>
          <t xml:space="preserve">Ciasto, również gotowane lub nadziewane </t>
        </is>
      </c>
      <c r="D172" t="n">
        <v>28783.891</v>
      </c>
      <c r="E172" t="n">
        <v>32415.184</v>
      </c>
      <c r="F172" t="n">
        <v>9237.834999999999</v>
      </c>
      <c r="G172" t="n">
        <v>10337.265</v>
      </c>
      <c r="H172" t="n">
        <v>48702.081</v>
      </c>
      <c r="I172" t="n">
        <v>48554.061</v>
      </c>
      <c r="J172" t="n">
        <v>24459.148</v>
      </c>
      <c r="K172" t="n">
        <v>23251.889</v>
      </c>
      <c r="L172" t="n">
        <v>-19918.19</v>
      </c>
      <c r="M172" t="n">
        <v>-16138.877</v>
      </c>
    </row>
    <row r="173">
      <c r="B173" t="inlineStr">
        <is>
          <t>1903</t>
        </is>
      </c>
      <c r="C173" t="inlineStr">
        <is>
          <t>Tapioka i jej namiastki przygotowane ze skrobi l.przygot. inaczej</t>
        </is>
      </c>
      <c r="D173" t="n">
        <v>17.306</v>
      </c>
      <c r="E173" t="n">
        <v>10.086</v>
      </c>
      <c r="F173" t="n">
        <v>7.173</v>
      </c>
      <c r="G173" t="n">
        <v>5.18</v>
      </c>
      <c r="H173" t="n">
        <v>204.372</v>
      </c>
      <c r="I173" t="n">
        <v>174.717</v>
      </c>
      <c r="J173" t="n">
        <v>130.774</v>
      </c>
      <c r="K173" t="n">
        <v>108.795</v>
      </c>
      <c r="L173" t="n">
        <v>-187.066</v>
      </c>
      <c r="M173" t="n">
        <v>-164.631</v>
      </c>
    </row>
    <row r="174">
      <c r="B174" t="inlineStr">
        <is>
          <t>1904</t>
        </is>
      </c>
      <c r="C174" t="inlineStr">
        <is>
          <t xml:space="preserve">Przetwory spożywcze otrzymane przez spęcznianie </t>
        </is>
      </c>
      <c r="D174" t="n">
        <v>103975.958</v>
      </c>
      <c r="E174" t="n">
        <v>118748.859</v>
      </c>
      <c r="F174" t="n">
        <v>29025.732</v>
      </c>
      <c r="G174" t="n">
        <v>30554.868</v>
      </c>
      <c r="H174" t="n">
        <v>15585.377</v>
      </c>
      <c r="I174" t="n">
        <v>15124.589</v>
      </c>
      <c r="J174" t="n">
        <v>7828.789</v>
      </c>
      <c r="K174" t="n">
        <v>7255.496</v>
      </c>
      <c r="L174" t="n">
        <v>88390.58100000001</v>
      </c>
      <c r="M174" t="n">
        <v>103624.27</v>
      </c>
    </row>
    <row r="175">
      <c r="B175" t="inlineStr">
        <is>
          <t>1905</t>
        </is>
      </c>
      <c r="C175" t="inlineStr">
        <is>
          <t>Chleb, pieczywo cukiernicze, ciasta i ciastka,</t>
        </is>
      </c>
      <c r="D175" t="n">
        <v>535117.741</v>
      </c>
      <c r="E175" t="n">
        <v>502327.182</v>
      </c>
      <c r="F175" t="n">
        <v>141644.336</v>
      </c>
      <c r="G175" t="n">
        <v>130757.207</v>
      </c>
      <c r="H175" t="n">
        <v>162524.338</v>
      </c>
      <c r="I175" t="n">
        <v>167869.713</v>
      </c>
      <c r="J175" t="n">
        <v>46795.447</v>
      </c>
      <c r="K175" t="n">
        <v>42596.422</v>
      </c>
      <c r="L175" t="n">
        <v>372593.403</v>
      </c>
      <c r="M175" t="n">
        <v>334457.469</v>
      </c>
    </row>
    <row r="176">
      <c r="B176" t="inlineStr">
        <is>
          <t>2001</t>
        </is>
      </c>
      <c r="C176" t="inlineStr">
        <is>
          <t>Warzywa, owoce, orzechy i inne jadal. części rośl. przetw. l.zakons.</t>
        </is>
      </c>
      <c r="D176" t="n">
        <v>13538.255</v>
      </c>
      <c r="E176" t="n">
        <v>22645.463</v>
      </c>
      <c r="F176" t="n">
        <v>8259.519</v>
      </c>
      <c r="G176" t="n">
        <v>9707.197</v>
      </c>
      <c r="H176" t="n">
        <v>11869.299</v>
      </c>
      <c r="I176" t="n">
        <v>10677.242</v>
      </c>
      <c r="J176" t="n">
        <v>7057.204</v>
      </c>
      <c r="K176" t="n">
        <v>6692.395</v>
      </c>
      <c r="L176" t="n">
        <v>1668.955999999998</v>
      </c>
      <c r="M176" t="n">
        <v>11968.221</v>
      </c>
    </row>
    <row r="177">
      <c r="B177" t="inlineStr">
        <is>
          <t>2002</t>
        </is>
      </c>
      <c r="C177" t="inlineStr">
        <is>
          <t>Pomidory przetworzone lub zakons. inaczej niż kw. octow.</t>
        </is>
      </c>
      <c r="D177" t="n">
        <v>3894.865</v>
      </c>
      <c r="E177" t="n">
        <v>3775.846</v>
      </c>
      <c r="F177" t="n">
        <v>3143.076</v>
      </c>
      <c r="G177" t="n">
        <v>3049.509</v>
      </c>
      <c r="H177" t="n">
        <v>33371.683</v>
      </c>
      <c r="I177" t="n">
        <v>23404.408</v>
      </c>
      <c r="J177" t="n">
        <v>26150.941</v>
      </c>
      <c r="K177" t="n">
        <v>18839.365</v>
      </c>
      <c r="L177" t="n">
        <v>-29476.818</v>
      </c>
      <c r="M177" t="n">
        <v>-19628.562</v>
      </c>
    </row>
    <row r="178">
      <c r="B178" t="inlineStr">
        <is>
          <t>2003</t>
        </is>
      </c>
      <c r="C178" t="inlineStr">
        <is>
          <t>Grzyby i trufle, przetworzone lub zakonserwowane</t>
        </is>
      </c>
      <c r="D178" t="n">
        <v>20307.307</v>
      </c>
      <c r="E178" t="n">
        <v>18083.026</v>
      </c>
      <c r="F178" t="n">
        <v>8622.933999999999</v>
      </c>
      <c r="G178" t="n">
        <v>7983.712</v>
      </c>
      <c r="H178" t="n">
        <v>371.444</v>
      </c>
      <c r="I178" t="n">
        <v>715.499</v>
      </c>
      <c r="J178" t="n">
        <v>92.831</v>
      </c>
      <c r="K178" t="n">
        <v>125.129</v>
      </c>
      <c r="L178" t="n">
        <v>19935.863</v>
      </c>
      <c r="M178" t="n">
        <v>17367.527</v>
      </c>
    </row>
    <row r="179">
      <c r="B179" t="inlineStr">
        <is>
          <t>2004</t>
        </is>
      </c>
      <c r="C179" t="inlineStr">
        <is>
          <t>Pozostałe warzywa przetworzone lub zakonserwowane, mrożone</t>
        </is>
      </c>
      <c r="D179" t="n">
        <v>49764.902</v>
      </c>
      <c r="E179" t="n">
        <v>50122.131</v>
      </c>
      <c r="F179" t="n">
        <v>36539.978</v>
      </c>
      <c r="G179" t="n">
        <v>36425.367</v>
      </c>
      <c r="H179" t="n">
        <v>35268.692</v>
      </c>
      <c r="I179" t="n">
        <v>33637.748</v>
      </c>
      <c r="J179" t="n">
        <v>29179.375</v>
      </c>
      <c r="K179" t="n">
        <v>28947.594</v>
      </c>
      <c r="L179" t="n">
        <v>14496.21</v>
      </c>
      <c r="M179" t="n">
        <v>16484.383</v>
      </c>
    </row>
    <row r="180">
      <c r="B180" t="inlineStr">
        <is>
          <t>2005</t>
        </is>
      </c>
      <c r="C180" t="inlineStr">
        <is>
          <t>Pozostałe warzywa przetworzone lub zakonserwowane, nie mrożone</t>
        </is>
      </c>
      <c r="D180" t="n">
        <v>70086.886</v>
      </c>
      <c r="E180" t="n">
        <v>64166.479</v>
      </c>
      <c r="F180" t="n">
        <v>24592.643</v>
      </c>
      <c r="G180" t="n">
        <v>25871.794</v>
      </c>
      <c r="H180" t="n">
        <v>29767.792</v>
      </c>
      <c r="I180" t="n">
        <v>30317.855</v>
      </c>
      <c r="J180" t="n">
        <v>13988.63</v>
      </c>
      <c r="K180" t="n">
        <v>14705.933</v>
      </c>
      <c r="L180" t="n">
        <v>40319.094</v>
      </c>
      <c r="M180" t="n">
        <v>33848.624</v>
      </c>
    </row>
    <row r="181">
      <c r="B181" t="inlineStr">
        <is>
          <t>2006</t>
        </is>
      </c>
      <c r="C181" t="inlineStr">
        <is>
          <t>Owoce,orzechy,skórki owoc,części rośl,zakons.cukr.</t>
        </is>
      </c>
      <c r="D181" t="n">
        <v>646.276</v>
      </c>
      <c r="E181" t="n">
        <v>610.967</v>
      </c>
      <c r="F181" t="n">
        <v>151.724</v>
      </c>
      <c r="G181" t="n">
        <v>96.083</v>
      </c>
      <c r="H181" t="n">
        <v>1319.637</v>
      </c>
      <c r="I181" t="n">
        <v>1278.44</v>
      </c>
      <c r="J181" t="n">
        <v>464.869</v>
      </c>
      <c r="K181" t="n">
        <v>330.435</v>
      </c>
      <c r="L181" t="n">
        <v>-673.361</v>
      </c>
      <c r="M181" t="n">
        <v>-667.4730000000001</v>
      </c>
    </row>
    <row r="182">
      <c r="B182" t="inlineStr">
        <is>
          <t>2007</t>
        </is>
      </c>
      <c r="C182" t="inlineStr">
        <is>
          <t xml:space="preserve">Dżemy, galaretki owocowe, marmolady, przeciery </t>
        </is>
      </c>
      <c r="D182" t="n">
        <v>29707.358</v>
      </c>
      <c r="E182" t="n">
        <v>27936.862</v>
      </c>
      <c r="F182" t="n">
        <v>13744.847</v>
      </c>
      <c r="G182" t="n">
        <v>11958.156</v>
      </c>
      <c r="H182" t="n">
        <v>7581.608</v>
      </c>
      <c r="I182" t="n">
        <v>11019.403</v>
      </c>
      <c r="J182" t="n">
        <v>2812.484</v>
      </c>
      <c r="K182" t="n">
        <v>3726.549</v>
      </c>
      <c r="L182" t="n">
        <v>22125.75</v>
      </c>
      <c r="M182" t="n">
        <v>16917.459</v>
      </c>
    </row>
    <row r="183">
      <c r="B183" t="inlineStr">
        <is>
          <t>2008</t>
        </is>
      </c>
      <c r="C183" t="inlineStr">
        <is>
          <t>Owoce, orzechy i inne jadalne części roślin</t>
        </is>
      </c>
      <c r="D183" t="n">
        <v>45906.161</v>
      </c>
      <c r="E183" t="n">
        <v>48965.846</v>
      </c>
      <c r="F183" t="n">
        <v>14579.721</v>
      </c>
      <c r="G183" t="n">
        <v>14724.27</v>
      </c>
      <c r="H183" t="n">
        <v>68397.01300000001</v>
      </c>
      <c r="I183" t="n">
        <v>68067.592</v>
      </c>
      <c r="J183" t="n">
        <v>25395.326</v>
      </c>
      <c r="K183" t="n">
        <v>22735.308</v>
      </c>
      <c r="L183" t="n">
        <v>-22490.85200000001</v>
      </c>
      <c r="M183" t="n">
        <v>-19101.74600000001</v>
      </c>
    </row>
    <row r="184">
      <c r="B184" t="inlineStr">
        <is>
          <t>2009</t>
        </is>
      </c>
      <c r="C184" t="inlineStr">
        <is>
          <t xml:space="preserve">Soki owocowe (łącznie z moszczem winogronowym) </t>
        </is>
      </c>
      <c r="D184" t="n">
        <v>134534.478</v>
      </c>
      <c r="E184" t="n">
        <v>133875.171</v>
      </c>
      <c r="F184" t="n">
        <v>86820.07000000001</v>
      </c>
      <c r="G184" t="n">
        <v>94842.798</v>
      </c>
      <c r="H184" t="n">
        <v>61092.15</v>
      </c>
      <c r="I184" t="n">
        <v>54552.225</v>
      </c>
      <c r="J184" t="n">
        <v>25456.088</v>
      </c>
      <c r="K184" t="n">
        <v>31546.282</v>
      </c>
      <c r="L184" t="n">
        <v>73442.32800000001</v>
      </c>
      <c r="M184" t="n">
        <v>79322.946</v>
      </c>
    </row>
    <row r="185">
      <c r="B185" t="inlineStr">
        <is>
          <t>2101</t>
        </is>
      </c>
      <c r="C185" t="inlineStr">
        <is>
          <t xml:space="preserve">Ekstrakty, esencje i koncentraty kawy, herbaty </t>
        </is>
      </c>
      <c r="D185" t="n">
        <v>81827.511</v>
      </c>
      <c r="E185" t="n">
        <v>79865.98699999999</v>
      </c>
      <c r="F185" t="n">
        <v>10569.145</v>
      </c>
      <c r="G185" t="n">
        <v>10376.209</v>
      </c>
      <c r="H185" t="n">
        <v>74701.981</v>
      </c>
      <c r="I185" t="n">
        <v>72800.94899999999</v>
      </c>
      <c r="J185" t="n">
        <v>6920.807</v>
      </c>
      <c r="K185" t="n">
        <v>6273.589</v>
      </c>
      <c r="L185" t="n">
        <v>7125.529999999999</v>
      </c>
      <c r="M185" t="n">
        <v>7065.038</v>
      </c>
    </row>
    <row r="186">
      <c r="B186" t="inlineStr">
        <is>
          <t>2102</t>
        </is>
      </c>
      <c r="C186" t="inlineStr">
        <is>
          <t>Drożdże (aktywne lub nieaktywne); inne</t>
        </is>
      </c>
      <c r="D186" t="n">
        <v>13982.116</v>
      </c>
      <c r="E186" t="n">
        <v>14036.151</v>
      </c>
      <c r="F186" t="n">
        <v>7980.804</v>
      </c>
      <c r="G186" t="n">
        <v>7900.205</v>
      </c>
      <c r="H186" t="n">
        <v>10778.189</v>
      </c>
      <c r="I186" t="n">
        <v>9489.209999999999</v>
      </c>
      <c r="J186" t="n">
        <v>14173.525</v>
      </c>
      <c r="K186" t="n">
        <v>12296.812</v>
      </c>
      <c r="L186" t="n">
        <v>3203.927</v>
      </c>
      <c r="M186" t="n">
        <v>4546.941000000001</v>
      </c>
    </row>
    <row r="187">
      <c r="B187" t="inlineStr">
        <is>
          <t>2103</t>
        </is>
      </c>
      <c r="C187" t="inlineStr">
        <is>
          <t xml:space="preserve">Sosy i przetwory z nich; zmieszane przyprawy </t>
        </is>
      </c>
      <c r="D187" t="n">
        <v>118292.301</v>
      </c>
      <c r="E187" t="n">
        <v>105108.706</v>
      </c>
      <c r="F187" t="n">
        <v>52547.998</v>
      </c>
      <c r="G187" t="n">
        <v>46290.634</v>
      </c>
      <c r="H187" t="n">
        <v>62887.894</v>
      </c>
      <c r="I187" t="n">
        <v>53744.556</v>
      </c>
      <c r="J187" t="n">
        <v>24314.481</v>
      </c>
      <c r="K187" t="n">
        <v>18111.705</v>
      </c>
      <c r="L187" t="n">
        <v>55404.40700000001</v>
      </c>
      <c r="M187" t="n">
        <v>51364.15000000001</v>
      </c>
    </row>
    <row r="188">
      <c r="B188" t="inlineStr">
        <is>
          <t>2104</t>
        </is>
      </c>
      <c r="C188" t="inlineStr">
        <is>
          <t>Zupy i buliony i przetwory z nich; złożone przetwory</t>
        </is>
      </c>
      <c r="D188" t="n">
        <v>22287.51</v>
      </c>
      <c r="E188" t="n">
        <v>23558.46</v>
      </c>
      <c r="F188" t="n">
        <v>7879.44</v>
      </c>
      <c r="G188" t="n">
        <v>8615.876</v>
      </c>
      <c r="H188" t="n">
        <v>6729.541</v>
      </c>
      <c r="I188" t="n">
        <v>6400.268</v>
      </c>
      <c r="J188" t="n">
        <v>1710.208</v>
      </c>
      <c r="K188" t="n">
        <v>1576.646</v>
      </c>
      <c r="L188" t="n">
        <v>15557.969</v>
      </c>
      <c r="M188" t="n">
        <v>17158.192</v>
      </c>
    </row>
    <row r="189">
      <c r="B189" t="inlineStr">
        <is>
          <t>2105</t>
        </is>
      </c>
      <c r="C189" t="inlineStr">
        <is>
          <t>Lody śmietankowe</t>
        </is>
      </c>
      <c r="D189" t="n">
        <v>51876.094</v>
      </c>
      <c r="E189" t="n">
        <v>60063.727</v>
      </c>
      <c r="F189" t="n">
        <v>13270.144</v>
      </c>
      <c r="G189" t="n">
        <v>17622.394</v>
      </c>
      <c r="H189" t="n">
        <v>23581.228</v>
      </c>
      <c r="I189" t="n">
        <v>21881.615</v>
      </c>
      <c r="J189" t="n">
        <v>6058.12</v>
      </c>
      <c r="K189" t="n">
        <v>6300.109</v>
      </c>
      <c r="L189" t="n">
        <v>28294.866</v>
      </c>
      <c r="M189" t="n">
        <v>38182.11199999999</v>
      </c>
    </row>
    <row r="190">
      <c r="B190" t="inlineStr">
        <is>
          <t>2106</t>
        </is>
      </c>
      <c r="C190" t="inlineStr">
        <is>
          <t>Przetwory spożywcze gdzie indziej nie wymienione</t>
        </is>
      </c>
      <c r="D190" t="n">
        <v>383016.189</v>
      </c>
      <c r="E190" t="n">
        <v>396169.773</v>
      </c>
      <c r="F190" t="n">
        <v>62844.233</v>
      </c>
      <c r="G190" t="n">
        <v>57166.351</v>
      </c>
      <c r="H190" t="n">
        <v>168819.27</v>
      </c>
      <c r="I190" t="n">
        <v>188583.364</v>
      </c>
      <c r="J190" t="n">
        <v>26639.123</v>
      </c>
      <c r="K190" t="n">
        <v>31386.241</v>
      </c>
      <c r="L190" t="n">
        <v>214196.919</v>
      </c>
      <c r="M190" t="n">
        <v>207586.409</v>
      </c>
    </row>
    <row r="191">
      <c r="B191" t="inlineStr">
        <is>
          <t>2201</t>
        </is>
      </c>
      <c r="C191" t="inlineStr">
        <is>
          <t xml:space="preserve">Wody, w tym naturalne lub sztuczne wody mineralne </t>
        </is>
      </c>
      <c r="D191" t="n">
        <v>4325.579</v>
      </c>
      <c r="E191" t="n">
        <v>4226.027</v>
      </c>
      <c r="F191" t="n">
        <v>7675.406</v>
      </c>
      <c r="G191" t="n">
        <v>9193.508</v>
      </c>
      <c r="H191" t="n">
        <v>2740.165</v>
      </c>
      <c r="I191" t="n">
        <v>2482.356</v>
      </c>
      <c r="J191" t="n">
        <v>667543.591</v>
      </c>
      <c r="K191" t="n">
        <v>1287064.922</v>
      </c>
      <c r="L191" t="n">
        <v>1585.414</v>
      </c>
      <c r="M191" t="n">
        <v>1743.671</v>
      </c>
    </row>
    <row r="192">
      <c r="B192" t="inlineStr">
        <is>
          <t>2202</t>
        </is>
      </c>
      <c r="C192" t="inlineStr">
        <is>
          <t>Wody, w tym wody mineralne i wody gazowane,</t>
        </is>
      </c>
      <c r="D192" t="n">
        <v>128524.02</v>
      </c>
      <c r="E192" t="n">
        <v>136088.354</v>
      </c>
      <c r="F192" t="n">
        <v>183540.013</v>
      </c>
      <c r="G192" t="n">
        <v>195132.271</v>
      </c>
      <c r="H192" t="n">
        <v>85409.59</v>
      </c>
      <c r="I192" t="n">
        <v>85918.132</v>
      </c>
      <c r="J192" t="n">
        <v>71346.74099999999</v>
      </c>
      <c r="K192" t="n">
        <v>70126.762</v>
      </c>
      <c r="L192" t="n">
        <v>43114.43000000001</v>
      </c>
      <c r="M192" t="n">
        <v>50170.22199999999</v>
      </c>
    </row>
    <row r="193">
      <c r="B193" t="inlineStr">
        <is>
          <t>2203</t>
        </is>
      </c>
      <c r="C193" t="inlineStr">
        <is>
          <t>Piwo otrzymywane ze słodu</t>
        </is>
      </c>
      <c r="D193" t="n">
        <v>25185.069</v>
      </c>
      <c r="E193" t="n">
        <v>29742.757</v>
      </c>
      <c r="F193" t="n">
        <v>33528.611</v>
      </c>
      <c r="G193" t="n">
        <v>37799.926</v>
      </c>
      <c r="H193" t="n">
        <v>13944.274</v>
      </c>
      <c r="I193" t="n">
        <v>16847.24</v>
      </c>
      <c r="J193" t="n">
        <v>14644.219</v>
      </c>
      <c r="K193" t="n">
        <v>19510.803</v>
      </c>
      <c r="L193" t="n">
        <v>11240.795</v>
      </c>
      <c r="M193" t="n">
        <v>12895.517</v>
      </c>
    </row>
    <row r="194">
      <c r="B194" t="inlineStr">
        <is>
          <t>2204</t>
        </is>
      </c>
      <c r="C194" t="inlineStr">
        <is>
          <t>Wino ze świeżych winogron łącznie z winami</t>
        </is>
      </c>
      <c r="D194" t="n">
        <v>7999.847</v>
      </c>
      <c r="E194" t="n">
        <v>13475.793</v>
      </c>
      <c r="F194" t="n">
        <v>2498.174</v>
      </c>
      <c r="G194" t="n">
        <v>4730.615</v>
      </c>
      <c r="H194" t="n">
        <v>60231.009</v>
      </c>
      <c r="I194" t="n">
        <v>55152.359</v>
      </c>
      <c r="J194" t="n">
        <v>21952.37</v>
      </c>
      <c r="K194" t="n">
        <v>21354.294</v>
      </c>
      <c r="L194" t="n">
        <v>-52231.162</v>
      </c>
      <c r="M194" t="n">
        <v>-41676.566</v>
      </c>
    </row>
    <row r="195">
      <c r="B195" t="inlineStr">
        <is>
          <t>2205</t>
        </is>
      </c>
      <c r="C195" t="inlineStr">
        <is>
          <t>Wermut i inne wina ze świeżych winogron przyprawione</t>
        </is>
      </c>
      <c r="D195" t="n">
        <v>136.437</v>
      </c>
      <c r="E195" t="n">
        <v>137.664</v>
      </c>
      <c r="F195" t="n">
        <v>58.434</v>
      </c>
      <c r="G195" t="n">
        <v>24.291</v>
      </c>
      <c r="H195" t="n">
        <v>5717.216</v>
      </c>
      <c r="I195" t="n">
        <v>5594.246</v>
      </c>
      <c r="J195" t="n">
        <v>3144.95</v>
      </c>
      <c r="K195" t="n">
        <v>2377.965</v>
      </c>
      <c r="L195" t="n">
        <v>-5580.779</v>
      </c>
      <c r="M195" t="n">
        <v>-5456.582</v>
      </c>
    </row>
    <row r="196">
      <c r="B196" t="inlineStr">
        <is>
          <t>2206</t>
        </is>
      </c>
      <c r="C196" t="inlineStr">
        <is>
          <t>Pozostałe napoje fermentowane</t>
        </is>
      </c>
      <c r="D196" t="n">
        <v>1904.505</v>
      </c>
      <c r="E196" t="n">
        <v>2542.824</v>
      </c>
      <c r="F196" t="n">
        <v>2210.245</v>
      </c>
      <c r="G196" t="n">
        <v>3106.926</v>
      </c>
      <c r="H196" t="n">
        <v>853.426</v>
      </c>
      <c r="I196" t="n">
        <v>714.309</v>
      </c>
      <c r="J196" t="n">
        <v>545.987</v>
      </c>
      <c r="K196" t="n">
        <v>397.021</v>
      </c>
      <c r="L196" t="n">
        <v>1051.079</v>
      </c>
      <c r="M196" t="n">
        <v>1828.515</v>
      </c>
    </row>
    <row r="197">
      <c r="B197" t="inlineStr">
        <is>
          <t>2207</t>
        </is>
      </c>
      <c r="C197" t="inlineStr">
        <is>
          <t xml:space="preserve">Alkohol etylowy nieskażony </t>
        </is>
      </c>
      <c r="D197" t="n">
        <v>38365.445</v>
      </c>
      <c r="E197" t="n">
        <v>35581.213</v>
      </c>
      <c r="F197" t="n">
        <v>36177.906</v>
      </c>
      <c r="G197" t="n">
        <v>34605.969</v>
      </c>
      <c r="H197" t="n">
        <v>20358.818</v>
      </c>
      <c r="I197" t="n">
        <v>28858.629</v>
      </c>
      <c r="J197" t="n">
        <v>22789.933</v>
      </c>
      <c r="K197" t="n">
        <v>31350.437</v>
      </c>
      <c r="L197" t="n">
        <v>18006.627</v>
      </c>
      <c r="M197" t="n">
        <v>6722.584000000003</v>
      </c>
    </row>
    <row r="198">
      <c r="B198" t="inlineStr">
        <is>
          <t>2208</t>
        </is>
      </c>
      <c r="C198" t="inlineStr">
        <is>
          <t>Alkohol etylowy nieskażony o objętościowej mocy alkoh.&lt;80% obj.</t>
        </is>
      </c>
      <c r="D198" t="n">
        <v>62064.893</v>
      </c>
      <c r="E198" t="n">
        <v>59905.238</v>
      </c>
      <c r="F198" t="n">
        <v>17171.478</v>
      </c>
      <c r="G198" t="n">
        <v>16013.926</v>
      </c>
      <c r="H198" t="n">
        <v>77949.001</v>
      </c>
      <c r="I198" t="n">
        <v>64939.852</v>
      </c>
      <c r="J198" t="n">
        <v>12821.708</v>
      </c>
      <c r="K198" t="n">
        <v>11470.458</v>
      </c>
      <c r="L198" t="n">
        <v>-15884.10800000001</v>
      </c>
      <c r="M198" t="n">
        <v>-5034.614000000001</v>
      </c>
    </row>
    <row r="199">
      <c r="B199" t="inlineStr">
        <is>
          <t>2209</t>
        </is>
      </c>
      <c r="C199" t="inlineStr">
        <is>
          <t>Ocet i namiastki octu</t>
        </is>
      </c>
      <c r="D199" t="n">
        <v>620.901</v>
      </c>
      <c r="E199" t="n">
        <v>409.085</v>
      </c>
      <c r="F199" t="n">
        <v>516.853</v>
      </c>
      <c r="G199" t="n">
        <v>211.308</v>
      </c>
      <c r="H199" t="n">
        <v>1582.517</v>
      </c>
      <c r="I199" t="n">
        <v>1688.042</v>
      </c>
      <c r="J199" t="n">
        <v>2384.175</v>
      </c>
      <c r="K199" t="n">
        <v>2400.798</v>
      </c>
      <c r="L199" t="n">
        <v>-961.6160000000001</v>
      </c>
      <c r="M199" t="n">
        <v>-1278.957</v>
      </c>
    </row>
    <row r="200">
      <c r="B200" t="inlineStr">
        <is>
          <t>2301</t>
        </is>
      </c>
      <c r="C200" t="inlineStr">
        <is>
          <t>Mąki, grysiki i granulki z mięsa i podrobów, ryb</t>
        </is>
      </c>
      <c r="D200" t="n">
        <v>31837.837</v>
      </c>
      <c r="E200" t="n">
        <v>34977.172</v>
      </c>
      <c r="F200" t="n">
        <v>39855.875</v>
      </c>
      <c r="G200" t="n">
        <v>50698.42</v>
      </c>
      <c r="H200" t="n">
        <v>6572.013</v>
      </c>
      <c r="I200" t="n">
        <v>7664.109</v>
      </c>
      <c r="J200" t="n">
        <v>6461.695</v>
      </c>
      <c r="K200" t="n">
        <v>9534.644</v>
      </c>
      <c r="L200" t="n">
        <v>25265.824</v>
      </c>
      <c r="M200" t="n">
        <v>27313.063</v>
      </c>
    </row>
    <row r="201">
      <c r="B201" t="inlineStr">
        <is>
          <t>2302</t>
        </is>
      </c>
      <c r="C201" t="inlineStr">
        <is>
          <t>Otręby, śruta i inne pozostałości odsiewu, przemiału</t>
        </is>
      </c>
      <c r="D201" t="n">
        <v>12828.808</v>
      </c>
      <c r="E201" t="n">
        <v>13264.729</v>
      </c>
      <c r="F201" t="n">
        <v>57768.722</v>
      </c>
      <c r="G201" t="n">
        <v>64185.725</v>
      </c>
      <c r="H201" t="n">
        <v>1237.334</v>
      </c>
      <c r="I201" t="n">
        <v>1337.761</v>
      </c>
      <c r="J201" t="n">
        <v>7015.354</v>
      </c>
      <c r="K201" t="n">
        <v>6122.441</v>
      </c>
      <c r="L201" t="n">
        <v>11591.474</v>
      </c>
      <c r="M201" t="n">
        <v>11926.968</v>
      </c>
    </row>
    <row r="202">
      <c r="B202" t="inlineStr">
        <is>
          <t>2303</t>
        </is>
      </c>
      <c r="C202" t="inlineStr">
        <is>
          <t>Pozostałości z produkcji skrobi i podobne pozostałości</t>
        </is>
      </c>
      <c r="D202" t="n">
        <v>6283.706</v>
      </c>
      <c r="E202" t="n">
        <v>8307.782999999999</v>
      </c>
      <c r="F202" t="n">
        <v>21484.049</v>
      </c>
      <c r="G202" t="n">
        <v>34366.551</v>
      </c>
      <c r="H202" t="n">
        <v>5970.243</v>
      </c>
      <c r="I202" t="n">
        <v>6735.752</v>
      </c>
      <c r="J202" t="n">
        <v>34499.924</v>
      </c>
      <c r="K202" t="n">
        <v>43555.839</v>
      </c>
      <c r="L202" t="n">
        <v>313.4629999999997</v>
      </c>
      <c r="M202" t="n">
        <v>1572.030999999999</v>
      </c>
    </row>
    <row r="203">
      <c r="B203" t="inlineStr">
        <is>
          <t>2304</t>
        </is>
      </c>
      <c r="C203" t="inlineStr">
        <is>
          <t>Makuchy i inne pozostałości stałe,  z ekstrakcji oleju sojowego</t>
        </is>
      </c>
      <c r="D203" t="n">
        <v>22117.858</v>
      </c>
      <c r="E203" t="n">
        <v>22888.718</v>
      </c>
      <c r="F203" t="n">
        <v>41102.508</v>
      </c>
      <c r="G203" t="n">
        <v>51865.866</v>
      </c>
      <c r="H203" t="n">
        <v>227861.18</v>
      </c>
      <c r="I203" t="n">
        <v>189412.614</v>
      </c>
      <c r="J203" t="n">
        <v>617355.037</v>
      </c>
      <c r="K203" t="n">
        <v>581773.134</v>
      </c>
      <c r="L203" t="n">
        <v>-205743.322</v>
      </c>
      <c r="M203" t="n">
        <v>-166523.896</v>
      </c>
    </row>
    <row r="204">
      <c r="B204" t="inlineStr">
        <is>
          <t>2305</t>
        </is>
      </c>
      <c r="C204" t="inlineStr">
        <is>
          <t>Makuchy  pozostałe z ekstrakcji oleju z orzeszków ziemnych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B205" t="inlineStr">
        <is>
          <t>2306</t>
        </is>
      </c>
      <c r="C205" t="inlineStr">
        <is>
          <t xml:space="preserve">Makuchy i inne pozostałości stałe, nawet mielone </t>
        </is>
      </c>
      <c r="D205" t="n">
        <v>34091.559</v>
      </c>
      <c r="E205" t="n">
        <v>22223.935</v>
      </c>
      <c r="F205" t="n">
        <v>119196.525</v>
      </c>
      <c r="G205" t="n">
        <v>94224.656</v>
      </c>
      <c r="H205" t="n">
        <v>24029.546</v>
      </c>
      <c r="I205" t="n">
        <v>21019.481</v>
      </c>
      <c r="J205" t="n">
        <v>110759.863</v>
      </c>
      <c r="K205" t="n">
        <v>110722.263</v>
      </c>
      <c r="L205" t="n">
        <v>10062.013</v>
      </c>
      <c r="M205" t="n">
        <v>1204.454000000002</v>
      </c>
    </row>
    <row r="206">
      <c r="B206" t="inlineStr">
        <is>
          <t>2307</t>
        </is>
      </c>
      <c r="C206" t="inlineStr">
        <is>
          <t>Szlam i kamień winny</t>
        </is>
      </c>
      <c r="D206" t="n">
        <v>0</v>
      </c>
      <c r="E206" t="n">
        <v>0</v>
      </c>
      <c r="F206" t="n">
        <v>0</v>
      </c>
      <c r="G206" t="n">
        <v>0</v>
      </c>
      <c r="H206" t="n">
        <v>4.761</v>
      </c>
      <c r="I206" t="n">
        <v>0</v>
      </c>
      <c r="J206" t="n">
        <v>1.5</v>
      </c>
      <c r="K206" t="n">
        <v>0</v>
      </c>
      <c r="L206" t="n">
        <v>-4.761</v>
      </c>
      <c r="M206" t="n">
        <v>0</v>
      </c>
    </row>
    <row r="207">
      <c r="B207" t="inlineStr">
        <is>
          <t>2308</t>
        </is>
      </c>
      <c r="C207" t="inlineStr">
        <is>
          <t>Roślinne materiały, odpady, pozostałości i produkty uboczne</t>
        </is>
      </c>
      <c r="D207" t="n">
        <v>2960.386</v>
      </c>
      <c r="E207" t="n">
        <v>3915.627</v>
      </c>
      <c r="F207" t="n">
        <v>11099.659</v>
      </c>
      <c r="G207" t="n">
        <v>19737.894</v>
      </c>
      <c r="H207" t="n">
        <v>1858.058</v>
      </c>
      <c r="I207" t="n">
        <v>1659.748</v>
      </c>
      <c r="J207" t="n">
        <v>5124.861</v>
      </c>
      <c r="K207" t="n">
        <v>5051.743</v>
      </c>
      <c r="L207" t="n">
        <v>1102.328</v>
      </c>
      <c r="M207" t="n">
        <v>2255.879</v>
      </c>
    </row>
    <row r="208">
      <c r="B208" t="inlineStr">
        <is>
          <t>2309</t>
        </is>
      </c>
      <c r="C208" t="inlineStr">
        <is>
          <t>Produkty używane do karmienia zwierząt</t>
        </is>
      </c>
      <c r="D208" t="n">
        <v>459608.957</v>
      </c>
      <c r="E208" t="n">
        <v>493374.362</v>
      </c>
      <c r="F208" t="n">
        <v>214356.924</v>
      </c>
      <c r="G208" t="n">
        <v>231077.936</v>
      </c>
      <c r="H208" t="n">
        <v>306066.25</v>
      </c>
      <c r="I208" t="n">
        <v>297387.288</v>
      </c>
      <c r="J208" t="n">
        <v>158578.849</v>
      </c>
      <c r="K208" t="n">
        <v>151188.993</v>
      </c>
      <c r="L208" t="n">
        <v>153542.707</v>
      </c>
      <c r="M208" t="n">
        <v>195987.074</v>
      </c>
    </row>
    <row r="209">
      <c r="B209" t="inlineStr">
        <is>
          <t>2401</t>
        </is>
      </c>
      <c r="C209" t="inlineStr">
        <is>
          <t>Tytoń nie przetworzony; odpady tytoniowe</t>
        </is>
      </c>
      <c r="D209" t="n">
        <v>28864.288</v>
      </c>
      <c r="E209" t="n">
        <v>46584.449</v>
      </c>
      <c r="F209" t="n">
        <v>4898.16</v>
      </c>
      <c r="G209" t="n">
        <v>7335.217</v>
      </c>
      <c r="H209" t="n">
        <v>175481.539</v>
      </c>
      <c r="I209" t="n">
        <v>179309.654</v>
      </c>
      <c r="J209" t="n">
        <v>28282.052</v>
      </c>
      <c r="K209" t="n">
        <v>31100.112</v>
      </c>
      <c r="L209" t="n">
        <v>-146617.251</v>
      </c>
      <c r="M209" t="n">
        <v>-132725.205</v>
      </c>
    </row>
    <row r="210">
      <c r="B210" t="inlineStr">
        <is>
          <t>2402</t>
        </is>
      </c>
      <c r="C210" t="inlineStr">
        <is>
          <t>Cygara, również z obciętymi końcami, cygaretki i papierosy</t>
        </is>
      </c>
      <c r="D210" t="n">
        <v>668920.153</v>
      </c>
      <c r="E210" t="n">
        <v>553184.829</v>
      </c>
      <c r="F210" t="n">
        <v>22733.309</v>
      </c>
      <c r="G210" t="n">
        <v>18764.401</v>
      </c>
      <c r="H210" t="n">
        <v>6526.727</v>
      </c>
      <c r="I210" t="n">
        <v>11965.398</v>
      </c>
      <c r="J210" t="n">
        <v>265.795</v>
      </c>
      <c r="K210" t="n">
        <v>407.224</v>
      </c>
      <c r="L210" t="n">
        <v>662393.4260000001</v>
      </c>
      <c r="M210" t="n">
        <v>541219.431</v>
      </c>
    </row>
    <row r="211">
      <c r="B211" t="inlineStr">
        <is>
          <t>2403</t>
        </is>
      </c>
      <c r="C211" t="inlineStr">
        <is>
          <t>Pozostały przetworzony tytoń i przetworzone namiastki tytoniu</t>
        </is>
      </c>
      <c r="D211" t="n">
        <v>120926.027</v>
      </c>
      <c r="E211" t="n">
        <v>93674.682</v>
      </c>
      <c r="F211" t="n">
        <v>8665.752</v>
      </c>
      <c r="G211" t="n">
        <v>6540.804</v>
      </c>
      <c r="H211" t="n">
        <v>56148.468</v>
      </c>
      <c r="I211" t="n">
        <v>43739.203</v>
      </c>
      <c r="J211" t="n">
        <v>7135.096</v>
      </c>
      <c r="K211" t="n">
        <v>5756.227</v>
      </c>
      <c r="L211" t="n">
        <v>64777.559</v>
      </c>
      <c r="M211" t="n">
        <v>49935.479</v>
      </c>
    </row>
    <row r="212">
      <c r="B212" t="inlineStr">
        <is>
          <t>2404</t>
        </is>
      </c>
      <c r="C212" t="inlineStr">
        <is>
          <t>Produkty zaw. tytoń, nikotynę, przezn. do wdychania bez spalania;</t>
        </is>
      </c>
      <c r="D212" t="n">
        <v>35227.698</v>
      </c>
      <c r="E212" t="n">
        <v>74124.196</v>
      </c>
      <c r="F212" t="n">
        <v>1158.209</v>
      </c>
      <c r="G212" t="n">
        <v>1028.115</v>
      </c>
      <c r="H212" t="n">
        <v>61096.451</v>
      </c>
      <c r="I212" t="n">
        <v>35621.377</v>
      </c>
      <c r="J212" t="n">
        <v>2151.475</v>
      </c>
      <c r="K212" t="n">
        <v>787.753</v>
      </c>
      <c r="L212" t="n">
        <v>-25868.753</v>
      </c>
      <c r="M212" t="n">
        <v>38502.819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Q26"/>
  <sheetViews>
    <sheetView workbookViewId="0">
      <selection activeCell="A1" sqref="A1"/>
    </sheetView>
  </sheetViews>
  <sheetFormatPr baseColWidth="8" defaultRowHeight="15"/>
  <sheetData>
    <row r="2">
      <c r="B2" t="inlineStr">
        <is>
          <t>HANDEL ZAGRANICZNY - DANE WSTĘPNE</t>
        </is>
      </c>
    </row>
    <row r="4">
      <c r="B4" t="inlineStr">
        <is>
          <t>Źródło danych: Ministerstwo Finansów</t>
        </is>
      </c>
      <c r="Q4">
        <f>[3]POMOC!B5</f>
        <v/>
      </c>
    </row>
    <row r="5">
      <c r="B5" t="inlineStr">
        <is>
          <t>UWAGA! DANE W TRAKCIE WERYFIKACJI - MOGĄ BYĆ OBARCZONE ISTOTNYMI BŁĘDAMI</t>
        </is>
      </c>
    </row>
    <row r="6">
      <c r="B6" t="inlineStr">
        <is>
          <t>Eksport jabłek (CN 080810) wg. ważniejszych krajów</t>
        </is>
      </c>
      <c r="J6" t="inlineStr">
        <is>
          <t>Eksport pomidorów (CN 070200) wg. ważniejszych krajów</t>
        </is>
      </c>
    </row>
    <row r="7">
      <c r="B7" t="inlineStr">
        <is>
          <t xml:space="preserve">według ważniejszych krajów </t>
        </is>
      </c>
      <c r="K7" t="inlineStr">
        <is>
          <t xml:space="preserve">według ważniejszych krajów </t>
        </is>
      </c>
    </row>
    <row r="8">
      <c r="B8" t="inlineStr">
        <is>
          <t>II 2025r.*</t>
        </is>
      </c>
      <c r="F8" t="inlineStr">
        <is>
          <t>II 2026r.*</t>
        </is>
      </c>
      <c r="K8" t="inlineStr">
        <is>
          <t>II 2025r.*</t>
        </is>
      </c>
      <c r="O8" t="inlineStr">
        <is>
          <t>II 2026r.*</t>
        </is>
      </c>
    </row>
    <row r="9">
      <c r="B9" t="inlineStr">
        <is>
          <t>Kraj</t>
        </is>
      </c>
      <c r="C9" t="inlineStr">
        <is>
          <t>Wartość [tys. EUR]</t>
        </is>
      </c>
      <c r="D9" t="inlineStr">
        <is>
          <t>Wolumen   [tony]</t>
        </is>
      </c>
      <c r="F9" t="inlineStr">
        <is>
          <t>Kraj</t>
        </is>
      </c>
      <c r="G9" t="inlineStr">
        <is>
          <t>Wartość [tys. EUR]</t>
        </is>
      </c>
      <c r="H9" t="inlineStr">
        <is>
          <t>Wolumen   [tony]</t>
        </is>
      </c>
      <c r="K9" t="inlineStr">
        <is>
          <t>Kraj</t>
        </is>
      </c>
      <c r="L9" t="inlineStr">
        <is>
          <t>Wartość [tys. EUR]</t>
        </is>
      </c>
      <c r="M9" t="inlineStr">
        <is>
          <t>Wolumen   [tony]</t>
        </is>
      </c>
      <c r="O9" t="inlineStr">
        <is>
          <t>Kraj</t>
        </is>
      </c>
      <c r="P9" t="inlineStr">
        <is>
          <t>Wartość [tys. EUR]</t>
        </is>
      </c>
      <c r="Q9" t="inlineStr">
        <is>
          <t>Wolumen   [tony]</t>
        </is>
      </c>
    </row>
    <row r="10">
      <c r="B10" t="inlineStr">
        <is>
          <t>OGÓŁEM</t>
        </is>
      </c>
      <c r="C10" t="n">
        <v>94296.88400000001</v>
      </c>
      <c r="D10" t="n">
        <v>142907.025</v>
      </c>
      <c r="F10" t="inlineStr">
        <is>
          <t>OGÓŁEM</t>
        </is>
      </c>
      <c r="G10" t="n">
        <v>99738.715</v>
      </c>
      <c r="H10" t="n">
        <v>157433.869</v>
      </c>
      <c r="K10" t="inlineStr">
        <is>
          <t>OGÓŁEM</t>
        </is>
      </c>
      <c r="L10" t="n">
        <v>16504.714</v>
      </c>
      <c r="M10" t="n">
        <v>6524.635</v>
      </c>
      <c r="O10" t="inlineStr">
        <is>
          <t>OGÓŁEM</t>
        </is>
      </c>
      <c r="P10" t="n">
        <v>8599.366</v>
      </c>
      <c r="Q10" t="n">
        <v>3283.061</v>
      </c>
    </row>
    <row r="11">
      <c r="B11" t="inlineStr">
        <is>
          <t>Egipt</t>
        </is>
      </c>
      <c r="C11" t="n">
        <v>10109.075</v>
      </c>
      <c r="D11" t="n">
        <v>14169.275</v>
      </c>
      <c r="F11" t="inlineStr">
        <is>
          <t>Egipt</t>
        </is>
      </c>
      <c r="G11" t="n">
        <v>13189.905</v>
      </c>
      <c r="H11" t="n">
        <v>19240.133</v>
      </c>
      <c r="K11" t="inlineStr">
        <is>
          <t>Niemcy</t>
        </is>
      </c>
      <c r="L11" t="n">
        <v>8849.300999999999</v>
      </c>
      <c r="M11" t="n">
        <v>3143.208</v>
      </c>
      <c r="O11" t="inlineStr">
        <is>
          <t>Holandia</t>
        </is>
      </c>
      <c r="P11" t="n">
        <v>4213.884</v>
      </c>
      <c r="Q11" t="n">
        <v>1057.829</v>
      </c>
    </row>
    <row r="12">
      <c r="B12" t="inlineStr">
        <is>
          <t>Niemcy</t>
        </is>
      </c>
      <c r="C12" t="n">
        <v>8994.215</v>
      </c>
      <c r="D12" t="n">
        <v>15022.812</v>
      </c>
      <c r="F12" t="inlineStr">
        <is>
          <t>Rumunia</t>
        </is>
      </c>
      <c r="G12" t="n">
        <v>7500.176</v>
      </c>
      <c r="H12" t="n">
        <v>13294.097</v>
      </c>
      <c r="K12" t="inlineStr">
        <is>
          <t>Holandia</t>
        </is>
      </c>
      <c r="L12" t="n">
        <v>3428.358</v>
      </c>
      <c r="M12" t="n">
        <v>1404.901</v>
      </c>
      <c r="O12" t="inlineStr">
        <is>
          <t>Ukraina</t>
        </is>
      </c>
      <c r="P12" t="n">
        <v>1963.365</v>
      </c>
      <c r="Q12" t="n">
        <v>1215.865</v>
      </c>
    </row>
    <row r="13">
      <c r="B13" t="inlineStr">
        <is>
          <t>Republika Czeska</t>
        </is>
      </c>
      <c r="C13" t="n">
        <v>7380.504</v>
      </c>
      <c r="D13" t="n">
        <v>10651.454</v>
      </c>
      <c r="F13" t="inlineStr">
        <is>
          <t>Niemcy</t>
        </is>
      </c>
      <c r="G13" t="n">
        <v>7426.92</v>
      </c>
      <c r="H13" t="n">
        <v>9829.662</v>
      </c>
      <c r="K13" t="inlineStr">
        <is>
          <t>Ukraina</t>
        </is>
      </c>
      <c r="L13" t="n">
        <v>1460.147</v>
      </c>
      <c r="M13" t="n">
        <v>817.138</v>
      </c>
      <c r="O13" t="inlineStr">
        <is>
          <t>Niemcy</t>
        </is>
      </c>
      <c r="P13" t="n">
        <v>1472.349</v>
      </c>
      <c r="Q13" t="n">
        <v>575.444</v>
      </c>
    </row>
    <row r="14">
      <c r="B14" t="inlineStr">
        <is>
          <t>Holandia</t>
        </is>
      </c>
      <c r="C14" t="n">
        <v>6732.964</v>
      </c>
      <c r="D14" t="n">
        <v>13647.156</v>
      </c>
      <c r="F14" t="inlineStr">
        <is>
          <t>Republika Czeska</t>
        </is>
      </c>
      <c r="G14" t="n">
        <v>5031.073</v>
      </c>
      <c r="H14" t="n">
        <v>8038.99</v>
      </c>
      <c r="K14" t="inlineStr">
        <is>
          <t>Wielka Brytania</t>
        </is>
      </c>
      <c r="L14" t="n">
        <v>864.288</v>
      </c>
      <c r="M14" t="n">
        <v>277.952</v>
      </c>
      <c r="O14" t="inlineStr">
        <is>
          <t>Wielka Brytania</t>
        </is>
      </c>
      <c r="P14" t="n">
        <v>543.8200000000001</v>
      </c>
      <c r="Q14" t="n">
        <v>222.009</v>
      </c>
    </row>
    <row r="15">
      <c r="B15" t="inlineStr">
        <is>
          <t>Rumunia</t>
        </is>
      </c>
      <c r="C15" t="n">
        <v>6328.219</v>
      </c>
      <c r="D15" t="n">
        <v>10091.886</v>
      </c>
      <c r="F15" t="inlineStr">
        <is>
          <t>India</t>
        </is>
      </c>
      <c r="G15" t="n">
        <v>4766.277</v>
      </c>
      <c r="H15" t="n">
        <v>10458.278</v>
      </c>
      <c r="K15" t="inlineStr">
        <is>
          <t>Szwecja</t>
        </is>
      </c>
      <c r="L15" t="n">
        <v>731.016</v>
      </c>
      <c r="M15" t="n">
        <v>314.767</v>
      </c>
      <c r="O15" t="inlineStr">
        <is>
          <t>Republika Czeska</t>
        </is>
      </c>
      <c r="P15" t="n">
        <v>89.941</v>
      </c>
      <c r="Q15" t="n">
        <v>44.13</v>
      </c>
    </row>
    <row r="16">
      <c r="B16" t="inlineStr">
        <is>
          <t>India</t>
        </is>
      </c>
      <c r="C16" t="n">
        <v>6228.358</v>
      </c>
      <c r="D16" t="n">
        <v>7794.72</v>
      </c>
      <c r="F16" t="inlineStr">
        <is>
          <t>Białoruś</t>
        </is>
      </c>
      <c r="G16" t="n">
        <v>4575.625</v>
      </c>
      <c r="H16" t="n">
        <v>7671.823</v>
      </c>
      <c r="K16" t="inlineStr">
        <is>
          <t>Republika Czeska</t>
        </is>
      </c>
      <c r="L16" t="n">
        <v>471.695</v>
      </c>
      <c r="M16" t="n">
        <v>204.423</v>
      </c>
      <c r="O16" t="inlineStr">
        <is>
          <t>Białoruś</t>
        </is>
      </c>
      <c r="P16" t="n">
        <v>64.22</v>
      </c>
      <c r="Q16" t="n">
        <v>17.55</v>
      </c>
    </row>
    <row r="17">
      <c r="B17" t="inlineStr">
        <is>
          <t>Wielka Brytania</t>
        </is>
      </c>
      <c r="C17" t="n">
        <v>4056.85</v>
      </c>
      <c r="D17" t="n">
        <v>5068.41</v>
      </c>
      <c r="F17" t="inlineStr">
        <is>
          <t>Holandia</t>
        </is>
      </c>
      <c r="G17" t="n">
        <v>4042.831</v>
      </c>
      <c r="H17" t="n">
        <v>8118.453</v>
      </c>
      <c r="K17" t="inlineStr">
        <is>
          <t>Węgry</t>
        </is>
      </c>
      <c r="L17" t="n">
        <v>297.523</v>
      </c>
      <c r="M17" t="n">
        <v>165.001</v>
      </c>
      <c r="O17" t="inlineStr">
        <is>
          <t>Litwa</t>
        </is>
      </c>
      <c r="P17" t="n">
        <v>43.228</v>
      </c>
      <c r="Q17" t="n">
        <v>24.435</v>
      </c>
    </row>
    <row r="18">
      <c r="B18" t="inlineStr">
        <is>
          <t>Szwecja</t>
        </is>
      </c>
      <c r="C18" t="n">
        <v>3600.39</v>
      </c>
      <c r="D18" t="n">
        <v>4670.076</v>
      </c>
      <c r="F18" t="inlineStr">
        <is>
          <t>Węgry</t>
        </is>
      </c>
      <c r="G18" t="n">
        <v>3719.405</v>
      </c>
      <c r="H18" t="n">
        <v>5377.881</v>
      </c>
      <c r="K18" t="inlineStr">
        <is>
          <t>Białoruś</t>
        </is>
      </c>
      <c r="L18" t="n">
        <v>128.27</v>
      </c>
      <c r="M18" t="n">
        <v>51.325</v>
      </c>
      <c r="O18" t="inlineStr">
        <is>
          <t>Słowacja</t>
        </is>
      </c>
      <c r="P18" t="n">
        <v>38.967</v>
      </c>
      <c r="Q18" t="n">
        <v>16.066</v>
      </c>
    </row>
    <row r="19">
      <c r="B19" t="inlineStr">
        <is>
          <t>Węgry</t>
        </is>
      </c>
      <c r="C19" t="n">
        <v>3593.553</v>
      </c>
      <c r="D19" t="n">
        <v>5736.99</v>
      </c>
      <c r="F19" t="inlineStr">
        <is>
          <t>Szwecja</t>
        </is>
      </c>
      <c r="G19" t="n">
        <v>3531.785</v>
      </c>
      <c r="H19" t="n">
        <v>4897.142</v>
      </c>
      <c r="K19" t="inlineStr">
        <is>
          <t>Litwa</t>
        </is>
      </c>
      <c r="L19" t="n">
        <v>90.173</v>
      </c>
      <c r="M19" t="n">
        <v>53.71</v>
      </c>
      <c r="O19" t="inlineStr">
        <is>
          <t>Węgry</t>
        </is>
      </c>
      <c r="P19" t="n">
        <v>34.619</v>
      </c>
      <c r="Q19" t="n">
        <v>41.105</v>
      </c>
    </row>
    <row r="20">
      <c r="B20" t="inlineStr">
        <is>
          <t>Hiszpania</t>
        </is>
      </c>
      <c r="C20" t="n">
        <v>3390.856</v>
      </c>
      <c r="D20" t="n">
        <v>4582.98</v>
      </c>
      <c r="F20" t="inlineStr">
        <is>
          <t>Kazachstan</t>
        </is>
      </c>
      <c r="G20" t="n">
        <v>3247.253</v>
      </c>
      <c r="H20" t="n">
        <v>5303.951</v>
      </c>
      <c r="K20" t="inlineStr">
        <is>
          <t>Francja</t>
        </is>
      </c>
      <c r="L20" t="n">
        <v>46.734</v>
      </c>
      <c r="M20" t="n">
        <v>33.955</v>
      </c>
      <c r="O20" t="inlineStr">
        <is>
          <t>Irlandia</t>
        </is>
      </c>
      <c r="P20" t="n">
        <v>34.567</v>
      </c>
      <c r="Q20" t="n">
        <v>11.63</v>
      </c>
    </row>
    <row r="21">
      <c r="B21" t="inlineStr">
        <is>
          <t>Kazachstan</t>
        </is>
      </c>
      <c r="C21" t="n">
        <v>2899.465</v>
      </c>
      <c r="D21" t="n">
        <v>6251.866</v>
      </c>
      <c r="F21" t="inlineStr">
        <is>
          <t>Litwa</t>
        </is>
      </c>
      <c r="G21" t="n">
        <v>3149.852</v>
      </c>
      <c r="H21" t="n">
        <v>5049.899</v>
      </c>
      <c r="K21" t="inlineStr">
        <is>
          <t>Łotwa</t>
        </is>
      </c>
      <c r="L21" t="n">
        <v>43.723</v>
      </c>
      <c r="M21" t="n">
        <v>15.201</v>
      </c>
      <c r="O21" t="inlineStr">
        <is>
          <t>Włochy</t>
        </is>
      </c>
      <c r="P21" t="n">
        <v>28.148</v>
      </c>
      <c r="Q21" t="n">
        <v>30.293</v>
      </c>
    </row>
    <row r="22">
      <c r="B22" t="inlineStr">
        <is>
          <t>Francja</t>
        </is>
      </c>
      <c r="C22" t="n">
        <v>2410.917</v>
      </c>
      <c r="D22" t="n">
        <v>3733.184</v>
      </c>
      <c r="F22" t="inlineStr">
        <is>
          <t>Hiszpania</t>
        </is>
      </c>
      <c r="G22" t="n">
        <v>3018.568</v>
      </c>
      <c r="H22" t="n">
        <v>5879.801</v>
      </c>
      <c r="K22" t="inlineStr">
        <is>
          <t>Irlandia</t>
        </is>
      </c>
      <c r="L22" t="n">
        <v>36.728</v>
      </c>
      <c r="M22" t="n">
        <v>11.862</v>
      </c>
      <c r="O22" t="inlineStr">
        <is>
          <t>Belgia</t>
        </is>
      </c>
      <c r="P22" t="n">
        <v>21.582</v>
      </c>
      <c r="Q22" t="n">
        <v>6.573</v>
      </c>
    </row>
    <row r="23">
      <c r="B23" t="inlineStr">
        <is>
          <t>Litwa</t>
        </is>
      </c>
      <c r="C23" t="n">
        <v>1967.515</v>
      </c>
      <c r="D23" t="n">
        <v>3430.399</v>
      </c>
      <c r="F23" t="inlineStr">
        <is>
          <t>Wielka Brytania</t>
        </is>
      </c>
      <c r="G23" t="n">
        <v>2897.69</v>
      </c>
      <c r="H23" t="n">
        <v>4218.812</v>
      </c>
      <c r="K23" t="inlineStr">
        <is>
          <t>Włochy</t>
        </is>
      </c>
      <c r="L23" t="n">
        <v>16.51</v>
      </c>
      <c r="M23" t="n">
        <v>16.392</v>
      </c>
      <c r="O23" t="inlineStr">
        <is>
          <t>Francja</t>
        </is>
      </c>
      <c r="P23" t="n">
        <v>18.927</v>
      </c>
      <c r="Q23" t="n">
        <v>12.521</v>
      </c>
    </row>
    <row r="24">
      <c r="B24" t="inlineStr">
        <is>
          <t>Mongolia</t>
        </is>
      </c>
      <c r="C24" t="n">
        <v>1834.29</v>
      </c>
      <c r="D24" t="n">
        <v>2688.805</v>
      </c>
      <c r="F24" t="inlineStr">
        <is>
          <t>Ukraina</t>
        </is>
      </c>
      <c r="G24" t="n">
        <v>2559.437</v>
      </c>
      <c r="H24" t="n">
        <v>4100.424</v>
      </c>
      <c r="K24" t="inlineStr">
        <is>
          <t>Belgia</t>
        </is>
      </c>
      <c r="L24" t="n">
        <v>16.136</v>
      </c>
      <c r="M24" t="n">
        <v>4.806</v>
      </c>
      <c r="O24" t="inlineStr">
        <is>
          <t>Łotwa</t>
        </is>
      </c>
      <c r="P24" t="n">
        <v>13.02</v>
      </c>
      <c r="Q24" t="n">
        <v>2.664</v>
      </c>
    </row>
    <row r="25">
      <c r="B25" t="inlineStr">
        <is>
          <t>Finlandia</t>
        </is>
      </c>
      <c r="C25" t="n">
        <v>1745.459</v>
      </c>
      <c r="D25" t="n">
        <v>2664.354</v>
      </c>
      <c r="F25" t="inlineStr">
        <is>
          <t>Słowacja</t>
        </is>
      </c>
      <c r="G25" t="n">
        <v>2476.685</v>
      </c>
      <c r="H25" t="n">
        <v>2972.501</v>
      </c>
      <c r="O25" t="inlineStr">
        <is>
          <t>Estonia</t>
        </is>
      </c>
      <c r="P25" t="n">
        <v>8.789999999999999</v>
      </c>
      <c r="Q25" t="n">
        <v>1.733</v>
      </c>
    </row>
    <row r="26">
      <c r="B26" t="inlineStr">
        <is>
          <t>Belgia</t>
        </is>
      </c>
      <c r="C26" t="n">
        <v>1724.598</v>
      </c>
      <c r="D26" t="n">
        <v>2522.36</v>
      </c>
      <c r="F26" t="inlineStr">
        <is>
          <t>Jordania</t>
        </is>
      </c>
      <c r="G26" t="n">
        <v>2325.778</v>
      </c>
      <c r="H26" t="n">
        <v>3491.395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Q26"/>
  <sheetViews>
    <sheetView workbookViewId="0">
      <selection activeCell="A1" sqref="A1"/>
    </sheetView>
  </sheetViews>
  <sheetFormatPr baseColWidth="8" defaultRowHeight="15"/>
  <sheetData>
    <row r="2">
      <c r="B2" t="inlineStr">
        <is>
          <t>HANDEL ZAGRANICZNY I-XI 2025 - DANE WSTĘPNE</t>
        </is>
      </c>
    </row>
    <row r="4">
      <c r="B4" t="inlineStr">
        <is>
          <t>Źródło danych: Ministerstwo Finansów</t>
        </is>
      </c>
      <c r="Q4">
        <f>[3]POMOC!B5</f>
        <v/>
      </c>
    </row>
    <row r="5">
      <c r="B5" t="inlineStr">
        <is>
          <t>UWAGA! DANE W TRAKCIE WERYFIKACJI - MOGĄ BYĆ OBARCZONE ISTOTNYMI BŁĘDAMI</t>
        </is>
      </c>
    </row>
    <row r="6">
      <c r="B6" t="inlineStr">
        <is>
          <t>Import pomarańczy (CN 080510) wg. ważniejszych krajów</t>
        </is>
      </c>
      <c r="J6" t="inlineStr">
        <is>
          <t>Import winogron (CN 080610) wg. ważniejszych krajów</t>
        </is>
      </c>
    </row>
    <row r="7">
      <c r="B7" t="inlineStr">
        <is>
          <t xml:space="preserve">według ważniejszych krajów </t>
        </is>
      </c>
      <c r="K7" t="inlineStr">
        <is>
          <t xml:space="preserve">według ważniejszych krajów </t>
        </is>
      </c>
    </row>
    <row r="8">
      <c r="B8" t="inlineStr">
        <is>
          <t>I-XII 2024r.</t>
        </is>
      </c>
      <c r="F8" t="inlineStr">
        <is>
          <t>I-XII 2025r.*</t>
        </is>
      </c>
      <c r="K8" t="inlineStr">
        <is>
          <t>I-XII 2024r.</t>
        </is>
      </c>
      <c r="O8" t="inlineStr">
        <is>
          <t>I-XII 2025r.*</t>
        </is>
      </c>
    </row>
    <row r="9">
      <c r="B9" t="inlineStr">
        <is>
          <t>Kraj</t>
        </is>
      </c>
      <c r="C9" t="inlineStr">
        <is>
          <t>Wartość [tys. EUR]</t>
        </is>
      </c>
      <c r="D9" t="inlineStr">
        <is>
          <t>Wolumen   [tony]</t>
        </is>
      </c>
      <c r="F9" t="inlineStr">
        <is>
          <t>Kraj</t>
        </is>
      </c>
      <c r="G9" t="inlineStr">
        <is>
          <t>Wartość [tys. EUR]</t>
        </is>
      </c>
      <c r="H9" t="inlineStr">
        <is>
          <t>Wolumen   [tony]</t>
        </is>
      </c>
      <c r="K9" t="inlineStr">
        <is>
          <t>Kraj</t>
        </is>
      </c>
      <c r="L9" t="inlineStr">
        <is>
          <t>Wartość [tys. EUR]</t>
        </is>
      </c>
      <c r="M9" t="inlineStr">
        <is>
          <t>Wolumen   [tony]</t>
        </is>
      </c>
      <c r="O9" t="inlineStr">
        <is>
          <t>Kraj</t>
        </is>
      </c>
      <c r="P9" t="inlineStr">
        <is>
          <t>Wartość [tys. EUR]</t>
        </is>
      </c>
      <c r="Q9" t="inlineStr">
        <is>
          <t>Wolumen   [tony]</t>
        </is>
      </c>
    </row>
    <row r="10">
      <c r="B10" t="inlineStr">
        <is>
          <t>OGÓŁEM</t>
        </is>
      </c>
      <c r="C10" t="n">
        <v>132678.964</v>
      </c>
      <c r="D10" t="n">
        <v>153645.179</v>
      </c>
      <c r="F10" t="inlineStr">
        <is>
          <t>OGÓŁEM</t>
        </is>
      </c>
      <c r="G10" t="n">
        <v>141542.862</v>
      </c>
      <c r="H10" t="n">
        <v>155386.545</v>
      </c>
      <c r="K10" t="inlineStr">
        <is>
          <t>OGÓŁEM</t>
        </is>
      </c>
      <c r="L10" t="n">
        <v>253467.641</v>
      </c>
      <c r="M10" t="n">
        <v>123915.93</v>
      </c>
      <c r="O10" t="inlineStr">
        <is>
          <t>OGÓŁEM</t>
        </is>
      </c>
      <c r="P10" t="n">
        <v>266661.983</v>
      </c>
      <c r="Q10" t="n">
        <v>137711.726</v>
      </c>
    </row>
    <row r="11">
      <c r="B11" t="inlineStr">
        <is>
          <t>Hiszpania</t>
        </is>
      </c>
      <c r="C11" t="n">
        <v>46973.179</v>
      </c>
      <c r="D11" t="n">
        <v>52170.665</v>
      </c>
      <c r="F11" t="inlineStr">
        <is>
          <t>Hiszpania</t>
        </is>
      </c>
      <c r="G11" t="n">
        <v>54614.552</v>
      </c>
      <c r="H11" t="n">
        <v>57751.299</v>
      </c>
      <c r="K11" t="inlineStr">
        <is>
          <t>Włochy</t>
        </is>
      </c>
      <c r="L11" t="n">
        <v>76020.069</v>
      </c>
      <c r="M11" t="n">
        <v>45258.874</v>
      </c>
      <c r="O11" t="inlineStr">
        <is>
          <t>Włochy</t>
        </is>
      </c>
      <c r="P11" t="n">
        <v>82454.215</v>
      </c>
      <c r="Q11" t="n">
        <v>51058.577</v>
      </c>
    </row>
    <row r="12">
      <c r="B12" t="inlineStr">
        <is>
          <t>Niemcy</t>
        </is>
      </c>
      <c r="C12" t="n">
        <v>23778.266</v>
      </c>
      <c r="D12" t="n">
        <v>22662.082</v>
      </c>
      <c r="F12" t="inlineStr">
        <is>
          <t>Niemcy</t>
        </is>
      </c>
      <c r="G12" t="n">
        <v>23017.112</v>
      </c>
      <c r="H12" t="n">
        <v>22119.654</v>
      </c>
      <c r="K12" t="inlineStr">
        <is>
          <t>Niemcy</t>
        </is>
      </c>
      <c r="L12" t="n">
        <v>42346.738</v>
      </c>
      <c r="M12" t="n">
        <v>15822.594</v>
      </c>
      <c r="O12" t="inlineStr">
        <is>
          <t>Niemcy</t>
        </is>
      </c>
      <c r="P12" t="n">
        <v>46541.621</v>
      </c>
      <c r="Q12" t="n">
        <v>17915.067</v>
      </c>
    </row>
    <row r="13">
      <c r="B13" t="inlineStr">
        <is>
          <t>Grecja</t>
        </is>
      </c>
      <c r="C13" t="n">
        <v>21630.095</v>
      </c>
      <c r="D13" t="n">
        <v>26988.807</v>
      </c>
      <c r="F13" t="inlineStr">
        <is>
          <t>Egipt</t>
        </is>
      </c>
      <c r="G13" t="n">
        <v>17778.799</v>
      </c>
      <c r="H13" t="n">
        <v>24100.734</v>
      </c>
      <c r="K13" t="inlineStr">
        <is>
          <t>Peru</t>
        </is>
      </c>
      <c r="L13" t="n">
        <v>18599.061</v>
      </c>
      <c r="M13" t="n">
        <v>5691.825</v>
      </c>
      <c r="O13" t="inlineStr">
        <is>
          <t>Peru</t>
        </is>
      </c>
      <c r="P13" t="n">
        <v>22021.268</v>
      </c>
      <c r="Q13" t="n">
        <v>8795.527</v>
      </c>
    </row>
    <row r="14">
      <c r="B14" t="inlineStr">
        <is>
          <t>Egipt</t>
        </is>
      </c>
      <c r="C14" t="n">
        <v>13826.024</v>
      </c>
      <c r="D14" t="n">
        <v>24299.338</v>
      </c>
      <c r="F14" t="inlineStr">
        <is>
          <t>Republika Południowej Afryki</t>
        </is>
      </c>
      <c r="G14" t="n">
        <v>17467.278</v>
      </c>
      <c r="H14" t="n">
        <v>18664.663</v>
      </c>
      <c r="K14" t="inlineStr">
        <is>
          <t>Holandia</t>
        </is>
      </c>
      <c r="L14" t="n">
        <v>17711.005</v>
      </c>
      <c r="M14" t="n">
        <v>6652.908</v>
      </c>
      <c r="O14" t="inlineStr">
        <is>
          <t>India</t>
        </is>
      </c>
      <c r="P14" t="n">
        <v>18847.363</v>
      </c>
      <c r="Q14" t="n">
        <v>9151.269</v>
      </c>
    </row>
    <row r="15">
      <c r="B15" t="inlineStr">
        <is>
          <t>Republika Południowej Afryki</t>
        </is>
      </c>
      <c r="C15" t="n">
        <v>12712.954</v>
      </c>
      <c r="D15" t="n">
        <v>13855.719</v>
      </c>
      <c r="F15" t="inlineStr">
        <is>
          <t>Grecja</t>
        </is>
      </c>
      <c r="G15" t="n">
        <v>16961.194</v>
      </c>
      <c r="H15" t="n">
        <v>20440.511</v>
      </c>
      <c r="K15" t="inlineStr">
        <is>
          <t>Hiszpania</t>
        </is>
      </c>
      <c r="L15" t="n">
        <v>16147.945</v>
      </c>
      <c r="M15" t="n">
        <v>6826.342</v>
      </c>
      <c r="O15" t="inlineStr">
        <is>
          <t>Chile</t>
        </is>
      </c>
      <c r="P15" t="n">
        <v>15608.446</v>
      </c>
      <c r="Q15" t="n">
        <v>6896.697</v>
      </c>
    </row>
    <row r="16">
      <c r="B16" t="inlineStr">
        <is>
          <t>Włochy</t>
        </is>
      </c>
      <c r="C16" t="n">
        <v>3488.998</v>
      </c>
      <c r="D16" t="n">
        <v>3240.985</v>
      </c>
      <c r="F16" t="inlineStr">
        <is>
          <t>Zimbabwe</t>
        </is>
      </c>
      <c r="G16" t="n">
        <v>3750.019</v>
      </c>
      <c r="H16" t="n">
        <v>4852.788</v>
      </c>
      <c r="K16" t="inlineStr">
        <is>
          <t>Republika Południowej Afryki</t>
        </is>
      </c>
      <c r="L16" t="n">
        <v>15593.338</v>
      </c>
      <c r="M16" t="n">
        <v>6052.69</v>
      </c>
      <c r="O16" t="inlineStr">
        <is>
          <t>Mołdowa</t>
        </is>
      </c>
      <c r="P16" t="n">
        <v>14457.088</v>
      </c>
      <c r="Q16" t="n">
        <v>11491.432</v>
      </c>
    </row>
    <row r="17">
      <c r="B17" t="inlineStr">
        <is>
          <t>Holandia</t>
        </is>
      </c>
      <c r="C17" t="n">
        <v>3455.966</v>
      </c>
      <c r="D17" t="n">
        <v>2934.207</v>
      </c>
      <c r="F17" t="inlineStr">
        <is>
          <t>Włochy</t>
        </is>
      </c>
      <c r="G17" t="n">
        <v>2630.714</v>
      </c>
      <c r="H17" t="n">
        <v>2404.308</v>
      </c>
      <c r="K17" t="inlineStr">
        <is>
          <t>India</t>
        </is>
      </c>
      <c r="L17" t="n">
        <v>14674.232</v>
      </c>
      <c r="M17" t="n">
        <v>8216.407999999999</v>
      </c>
      <c r="O17" t="inlineStr">
        <is>
          <t>Holandia</t>
        </is>
      </c>
      <c r="P17" t="n">
        <v>13849.502</v>
      </c>
      <c r="Q17" t="n">
        <v>4693.092</v>
      </c>
    </row>
    <row r="18">
      <c r="B18" t="inlineStr">
        <is>
          <t>Portugalia</t>
        </is>
      </c>
      <c r="C18" t="n">
        <v>2190.646</v>
      </c>
      <c r="D18" t="n">
        <v>2104.521</v>
      </c>
      <c r="F18" t="inlineStr">
        <is>
          <t>Portugalia</t>
        </is>
      </c>
      <c r="G18" t="n">
        <v>1836.693</v>
      </c>
      <c r="H18" t="n">
        <v>1746.701</v>
      </c>
      <c r="K18" t="inlineStr">
        <is>
          <t>Mołdowa</t>
        </is>
      </c>
      <c r="L18" t="n">
        <v>14261.16</v>
      </c>
      <c r="M18" t="n">
        <v>9425.039000000001</v>
      </c>
      <c r="O18" t="inlineStr">
        <is>
          <t>Republika Południowej Afryki</t>
        </is>
      </c>
      <c r="P18" t="n">
        <v>13252.279</v>
      </c>
      <c r="Q18" t="n">
        <v>5406.039</v>
      </c>
    </row>
    <row r="19">
      <c r="B19" t="inlineStr">
        <is>
          <t>Zimbabwe</t>
        </is>
      </c>
      <c r="C19" t="n">
        <v>2128.474</v>
      </c>
      <c r="D19" t="n">
        <v>2578.098</v>
      </c>
      <c r="F19" t="inlineStr">
        <is>
          <t>Holandia</t>
        </is>
      </c>
      <c r="G19" t="n">
        <v>1303.63</v>
      </c>
      <c r="H19" t="n">
        <v>1378.27</v>
      </c>
      <c r="K19" t="inlineStr">
        <is>
          <t>Turcja</t>
        </is>
      </c>
      <c r="L19" t="n">
        <v>10629.273</v>
      </c>
      <c r="M19" t="n">
        <v>6491.362</v>
      </c>
      <c r="O19" t="inlineStr">
        <is>
          <t>Hiszpania</t>
        </is>
      </c>
      <c r="P19" t="n">
        <v>12216.576</v>
      </c>
      <c r="Q19" t="n">
        <v>5913.352</v>
      </c>
    </row>
    <row r="20">
      <c r="B20" t="inlineStr">
        <is>
          <t>Turcja</t>
        </is>
      </c>
      <c r="C20" t="n">
        <v>1403.846</v>
      </c>
      <c r="D20" t="n">
        <v>1714.432</v>
      </c>
      <c r="F20" t="inlineStr">
        <is>
          <t>Turcja</t>
        </is>
      </c>
      <c r="G20" t="n">
        <v>664.744</v>
      </c>
      <c r="H20" t="n">
        <v>798.4109999999999</v>
      </c>
      <c r="K20" t="inlineStr">
        <is>
          <t>Chile</t>
        </is>
      </c>
      <c r="L20" t="n">
        <v>8849.538</v>
      </c>
      <c r="M20" t="n">
        <v>3758.045</v>
      </c>
      <c r="O20" t="inlineStr">
        <is>
          <t>Grecja</t>
        </is>
      </c>
      <c r="P20" t="n">
        <v>9231.052</v>
      </c>
      <c r="Q20" t="n">
        <v>6222.532</v>
      </c>
    </row>
    <row r="21">
      <c r="B21" t="inlineStr">
        <is>
          <t>Urugwaj</t>
        </is>
      </c>
      <c r="C21" t="n">
        <v>300.514</v>
      </c>
      <c r="D21" t="n">
        <v>432.887</v>
      </c>
      <c r="F21" t="inlineStr">
        <is>
          <t>Iran</t>
        </is>
      </c>
      <c r="G21" t="n">
        <v>567.664</v>
      </c>
      <c r="H21" t="n">
        <v>103.6</v>
      </c>
      <c r="K21" t="inlineStr">
        <is>
          <t>Grecja</t>
        </is>
      </c>
      <c r="L21" t="n">
        <v>6001.072</v>
      </c>
      <c r="M21" t="n">
        <v>3838.416</v>
      </c>
      <c r="O21" t="inlineStr">
        <is>
          <t>Turcja</t>
        </is>
      </c>
      <c r="P21" t="n">
        <v>5212.929</v>
      </c>
      <c r="Q21" t="n">
        <v>3568.377</v>
      </c>
    </row>
    <row r="22">
      <c r="B22" t="inlineStr">
        <is>
          <t>Argentyna</t>
        </is>
      </c>
      <c r="C22" t="n">
        <v>276.307</v>
      </c>
      <c r="D22" t="n">
        <v>284.239</v>
      </c>
      <c r="F22" t="inlineStr">
        <is>
          <t>Botswana</t>
        </is>
      </c>
      <c r="G22" t="n">
        <v>211.788</v>
      </c>
      <c r="H22" t="n">
        <v>213.904</v>
      </c>
      <c r="K22" t="inlineStr">
        <is>
          <t>Namibia</t>
        </is>
      </c>
      <c r="L22" t="n">
        <v>3562.801</v>
      </c>
      <c r="M22" t="n">
        <v>1179.136</v>
      </c>
      <c r="O22" t="inlineStr">
        <is>
          <t>Namibia</t>
        </is>
      </c>
      <c r="P22" t="n">
        <v>3090.11</v>
      </c>
      <c r="Q22" t="n">
        <v>1072.806</v>
      </c>
    </row>
    <row r="23">
      <c r="B23" t="inlineStr">
        <is>
          <t>Maroko</t>
        </is>
      </c>
      <c r="C23" t="n">
        <v>129.314</v>
      </c>
      <c r="D23" t="n">
        <v>111.468</v>
      </c>
      <c r="F23" t="inlineStr">
        <is>
          <t>Argentyna</t>
        </is>
      </c>
      <c r="G23" t="n">
        <v>200.7</v>
      </c>
      <c r="H23" t="n">
        <v>257.621</v>
      </c>
      <c r="K23" t="inlineStr">
        <is>
          <t>Egipt</t>
        </is>
      </c>
      <c r="L23" t="n">
        <v>2427.774</v>
      </c>
      <c r="M23" t="n">
        <v>1305.515</v>
      </c>
      <c r="O23" t="inlineStr">
        <is>
          <t>Egipt</t>
        </is>
      </c>
      <c r="P23" t="n">
        <v>3015.736</v>
      </c>
      <c r="Q23" t="n">
        <v>1502.343</v>
      </c>
    </row>
    <row r="24">
      <c r="B24" t="inlineStr">
        <is>
          <t>Iran</t>
        </is>
      </c>
      <c r="C24" t="n">
        <v>103.375</v>
      </c>
      <c r="D24" t="n">
        <v>18.052</v>
      </c>
      <c r="F24" t="inlineStr">
        <is>
          <t>Maroko</t>
        </is>
      </c>
      <c r="G24" t="n">
        <v>186.246</v>
      </c>
      <c r="H24" t="n">
        <v>154.462</v>
      </c>
      <c r="K24" t="inlineStr">
        <is>
          <t>Łotwa</t>
        </is>
      </c>
      <c r="L24" t="n">
        <v>2332.635</v>
      </c>
      <c r="M24" t="n">
        <v>1120.721</v>
      </c>
      <c r="O24" t="inlineStr">
        <is>
          <t>Macedonia</t>
        </is>
      </c>
      <c r="P24" t="n">
        <v>2212.138</v>
      </c>
      <c r="Q24" t="n">
        <v>2095.469</v>
      </c>
    </row>
    <row r="25">
      <c r="B25" t="inlineStr">
        <is>
          <t>Węgry</t>
        </is>
      </c>
      <c r="C25" t="n">
        <v>83.008</v>
      </c>
      <c r="D25" t="n">
        <v>77.996</v>
      </c>
      <c r="F25" t="inlineStr">
        <is>
          <t>Urugwaj</t>
        </is>
      </c>
      <c r="G25" t="n">
        <v>137.047</v>
      </c>
      <c r="H25" t="n">
        <v>183.561</v>
      </c>
      <c r="K25" t="inlineStr">
        <is>
          <t>Portugalia</t>
        </is>
      </c>
      <c r="L25" t="n">
        <v>2271.721</v>
      </c>
      <c r="M25" t="n">
        <v>926.929</v>
      </c>
      <c r="O25" t="inlineStr">
        <is>
          <t>Portugalia</t>
        </is>
      </c>
      <c r="P25" t="n">
        <v>2057.228</v>
      </c>
      <c r="Q25" t="n">
        <v>735.546</v>
      </c>
    </row>
    <row r="26">
      <c r="B26" t="inlineStr">
        <is>
          <t>Izrael</t>
        </is>
      </c>
      <c r="C26" t="n">
        <v>70.875</v>
      </c>
      <c r="D26" t="n">
        <v>64.89700000000001</v>
      </c>
      <c r="F26" t="inlineStr">
        <is>
          <t>Cypr</t>
        </is>
      </c>
      <c r="G26" t="n">
        <v>65.137</v>
      </c>
      <c r="H26" t="n">
        <v>92.81999999999999</v>
      </c>
      <c r="K26" t="inlineStr">
        <is>
          <t>Macedonia</t>
        </is>
      </c>
      <c r="L26" t="n">
        <v>1183.496</v>
      </c>
      <c r="M26" t="n">
        <v>1012.34</v>
      </c>
      <c r="O26" t="inlineStr">
        <is>
          <t>Łotwa</t>
        </is>
      </c>
      <c r="P26" t="n">
        <v>1671.836</v>
      </c>
      <c r="Q26" t="n">
        <v>750.866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E34"/>
  <sheetViews>
    <sheetView workbookViewId="0">
      <selection activeCell="A1" sqref="A1"/>
    </sheetView>
  </sheetViews>
  <sheetFormatPr baseColWidth="8" defaultRowHeight="15"/>
  <sheetData>
    <row r="2">
      <c r="B2" t="inlineStr">
        <is>
          <t>DICTIONARY</t>
        </is>
      </c>
    </row>
    <row r="5">
      <c r="B5" t="inlineStr">
        <is>
          <t xml:space="preserve">       WARZYWA</t>
        </is>
      </c>
      <c r="C5" t="inlineStr">
        <is>
          <t>VEGETABLES</t>
        </is>
      </c>
      <c r="D5" t="inlineStr">
        <is>
          <t>OWOCE</t>
        </is>
      </c>
      <c r="E5" t="inlineStr">
        <is>
          <t xml:space="preserve">FRUITS </t>
        </is>
      </c>
    </row>
    <row r="6">
      <c r="B6" t="inlineStr">
        <is>
          <t>Buraki czerwone</t>
        </is>
      </c>
      <c r="C6" t="inlineStr">
        <is>
          <t>Red beets</t>
        </is>
      </c>
      <c r="D6" t="inlineStr">
        <is>
          <t>Arbuzy</t>
        </is>
      </c>
      <c r="E6" t="inlineStr">
        <is>
          <t>Watermelons</t>
        </is>
      </c>
    </row>
    <row r="7">
      <c r="B7" t="inlineStr">
        <is>
          <t>Cebula biała</t>
        </is>
      </c>
      <c r="C7" t="inlineStr">
        <is>
          <t>Onions dry</t>
        </is>
      </c>
      <c r="D7" t="inlineStr">
        <is>
          <t>Banany</t>
        </is>
      </c>
      <c r="E7" t="inlineStr">
        <is>
          <t xml:space="preserve">Bananas     </t>
        </is>
      </c>
    </row>
    <row r="8">
      <c r="B8" t="inlineStr">
        <is>
          <t>Czosnek</t>
        </is>
      </c>
      <c r="C8" t="inlineStr">
        <is>
          <t>Garlic</t>
        </is>
      </c>
      <c r="D8" t="inlineStr">
        <is>
          <t>Brzoskwinie</t>
        </is>
      </c>
      <c r="E8" t="inlineStr">
        <is>
          <t>Peaches</t>
        </is>
      </c>
    </row>
    <row r="9">
      <c r="B9" t="inlineStr">
        <is>
          <t>Kalafiory</t>
        </is>
      </c>
      <c r="C9" t="inlineStr">
        <is>
          <t>Cauliflowers</t>
        </is>
      </c>
      <c r="D9" t="inlineStr">
        <is>
          <t>Cytryny</t>
        </is>
      </c>
      <c r="E9" t="inlineStr">
        <is>
          <t xml:space="preserve">Lemons    </t>
        </is>
      </c>
    </row>
    <row r="10">
      <c r="B10" t="inlineStr">
        <is>
          <t>Kapusta biała</t>
        </is>
      </c>
      <c r="C10" t="inlineStr">
        <is>
          <t>Cabbage- white</t>
        </is>
      </c>
      <c r="D10" t="inlineStr">
        <is>
          <t>Grapefruity</t>
        </is>
      </c>
      <c r="E10" t="inlineStr">
        <is>
          <t xml:space="preserve">Grapefruit   </t>
        </is>
      </c>
    </row>
    <row r="11">
      <c r="B11" t="inlineStr">
        <is>
          <t>Marchew</t>
        </is>
      </c>
      <c r="C11" t="inlineStr">
        <is>
          <t>Carrots</t>
        </is>
      </c>
      <c r="D11" t="inlineStr">
        <is>
          <t xml:space="preserve">Gruszki </t>
        </is>
      </c>
      <c r="E11" t="inlineStr">
        <is>
          <t xml:space="preserve">Pears  </t>
        </is>
      </c>
    </row>
    <row r="12">
      <c r="B12" t="inlineStr">
        <is>
          <t>Ogórki długie</t>
        </is>
      </c>
      <c r="C12" t="inlineStr">
        <is>
          <t>Cucumbers</t>
        </is>
      </c>
      <c r="D12" t="inlineStr">
        <is>
          <t>Jabłka</t>
        </is>
      </c>
      <c r="E12" t="inlineStr">
        <is>
          <t>Apples</t>
        </is>
      </c>
    </row>
    <row r="13">
      <c r="B13" t="inlineStr">
        <is>
          <t>Ogórki krótkie</t>
        </is>
      </c>
      <c r="C13" t="inlineStr">
        <is>
          <t>Gherkins</t>
        </is>
      </c>
      <c r="D13" t="inlineStr">
        <is>
          <t>Kiwi</t>
        </is>
      </c>
      <c r="E13" t="inlineStr">
        <is>
          <t>Kiwifruit</t>
        </is>
      </c>
    </row>
    <row r="14">
      <c r="B14" t="inlineStr">
        <is>
          <t>Ogórki gruntowe</t>
        </is>
      </c>
      <c r="C14" t="inlineStr">
        <is>
          <t>Cucumbers field</t>
        </is>
      </c>
      <c r="D14" t="inlineStr">
        <is>
          <t>Mandarynki</t>
        </is>
      </c>
      <c r="E14" t="inlineStr">
        <is>
          <t>Tangerine</t>
        </is>
      </c>
    </row>
    <row r="15">
      <c r="B15" t="inlineStr">
        <is>
          <t>Papryka czerwona</t>
        </is>
      </c>
      <c r="C15" t="inlineStr">
        <is>
          <t xml:space="preserve">Peppers - red </t>
        </is>
      </c>
      <c r="D15" t="inlineStr">
        <is>
          <t>Nektaryny</t>
        </is>
      </c>
      <c r="E15" t="inlineStr">
        <is>
          <t xml:space="preserve">Nectarines </t>
        </is>
      </c>
    </row>
    <row r="16">
      <c r="B16" t="inlineStr">
        <is>
          <t>Papryka żółta</t>
        </is>
      </c>
      <c r="C16" t="inlineStr">
        <is>
          <t>Peppers - yellow</t>
        </is>
      </c>
      <c r="D16" t="inlineStr">
        <is>
          <t>Pomarańcze</t>
        </is>
      </c>
      <c r="E16" t="inlineStr">
        <is>
          <t xml:space="preserve">Oranges  </t>
        </is>
      </c>
    </row>
    <row r="17">
      <c r="B17" t="inlineStr">
        <is>
          <t>Papryka zielona</t>
        </is>
      </c>
      <c r="C17" t="inlineStr">
        <is>
          <t xml:space="preserve">Peppers - green </t>
        </is>
      </c>
      <c r="D17" t="inlineStr">
        <is>
          <t>Porzeczki czarne</t>
        </is>
      </c>
      <c r="E17" t="inlineStr">
        <is>
          <t xml:space="preserve">Black currant </t>
        </is>
      </c>
    </row>
    <row r="18">
      <c r="B18" t="inlineStr">
        <is>
          <t>Pietruszka</t>
        </is>
      </c>
      <c r="C18" t="inlineStr">
        <is>
          <t xml:space="preserve">Parsley </t>
        </is>
      </c>
      <c r="D18" t="inlineStr">
        <is>
          <t>Porzeczki czerwone</t>
        </is>
      </c>
      <c r="E18" t="inlineStr">
        <is>
          <t>Red currant</t>
        </is>
      </c>
    </row>
    <row r="19">
      <c r="B19" t="inlineStr">
        <is>
          <t>Pomidory szklarn.</t>
        </is>
      </c>
      <c r="C19" t="inlineStr">
        <is>
          <t>Tomatoes greenhouse</t>
        </is>
      </c>
      <c r="D19" t="inlineStr">
        <is>
          <t>Śliwki</t>
        </is>
      </c>
      <c r="E19" t="inlineStr">
        <is>
          <t xml:space="preserve">Plums </t>
        </is>
      </c>
    </row>
    <row r="20">
      <c r="B20" t="inlineStr">
        <is>
          <t>Pomodory gruntowe</t>
        </is>
      </c>
      <c r="C20" t="inlineStr">
        <is>
          <t xml:space="preserve">Tomatoes </t>
        </is>
      </c>
      <c r="D20" t="inlineStr">
        <is>
          <t>Truskawki</t>
        </is>
      </c>
      <c r="E20" t="inlineStr">
        <is>
          <t xml:space="preserve">Strawberries </t>
        </is>
      </c>
    </row>
    <row r="21">
      <c r="B21" t="inlineStr">
        <is>
          <t>Pory</t>
        </is>
      </c>
      <c r="C21" t="inlineStr">
        <is>
          <t>Leeks</t>
        </is>
      </c>
      <c r="D21" t="inlineStr">
        <is>
          <t>Winogrona</t>
        </is>
      </c>
      <c r="E21" t="inlineStr">
        <is>
          <t>Grapes</t>
        </is>
      </c>
    </row>
    <row r="22">
      <c r="B22" t="inlineStr">
        <is>
          <t>Rzodkiewka</t>
        </is>
      </c>
      <c r="C22" t="inlineStr">
        <is>
          <t xml:space="preserve">Radish </t>
        </is>
      </c>
      <c r="D22" t="inlineStr">
        <is>
          <t>Wiśnie</t>
        </is>
      </c>
      <c r="E22" t="inlineStr">
        <is>
          <t>Cherries</t>
        </is>
      </c>
    </row>
    <row r="23">
      <c r="B23" t="inlineStr">
        <is>
          <t>Sałata</t>
        </is>
      </c>
      <c r="C23" t="inlineStr">
        <is>
          <t>Lettuce</t>
        </is>
      </c>
      <c r="D23" t="inlineStr">
        <is>
          <t>GRZYBY</t>
        </is>
      </c>
      <c r="E23" t="inlineStr">
        <is>
          <t>MUSHROOMS</t>
        </is>
      </c>
    </row>
    <row r="24">
      <c r="B24" t="inlineStr">
        <is>
          <t>Selery</t>
        </is>
      </c>
      <c r="C24" t="inlineStr">
        <is>
          <t>Celeriac</t>
        </is>
      </c>
      <c r="D24" t="inlineStr">
        <is>
          <t>Boczniaki</t>
        </is>
      </c>
      <c r="E24" t="inlineStr">
        <is>
          <t>Boczniak</t>
        </is>
      </c>
    </row>
    <row r="25">
      <c r="B25" t="inlineStr">
        <is>
          <t>Ziemniaki</t>
        </is>
      </c>
      <c r="C25" t="inlineStr">
        <is>
          <t>Potatoes</t>
        </is>
      </c>
      <c r="D25" t="inlineStr">
        <is>
          <t>Pieczarki</t>
        </is>
      </c>
      <c r="E25" t="inlineStr">
        <is>
          <t>Champignons</t>
        </is>
      </c>
    </row>
    <row r="34">
      <c r="E34" t="inlineStr">
        <is>
          <t>        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selection activeCell="A1" sqref="A1"/>
    </sheetView>
  </sheetViews>
  <sheetFormatPr baseColWidth="8" defaultRowHeight="15"/>
  <sheetData>
    <row r="2">
      <c r="B2" t="inlineStr">
        <is>
          <t>POMOC</t>
        </is>
      </c>
    </row>
    <row r="4">
      <c r="P4">
        <f>B5</f>
        <v/>
      </c>
    </row>
    <row r="5">
      <c r="B5" t="inlineStr">
        <is>
          <t>Notowania 27.04 - 05.05.2026 / Tydzień 18</t>
        </is>
      </c>
    </row>
    <row r="6">
      <c r="B6" t="inlineStr">
        <is>
          <t>NR 18/2026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Miejscowość</t>
        </is>
      </c>
      <c r="E1" t="inlineStr">
        <is>
          <t>Bronisze</t>
        </is>
      </c>
      <c r="G1" t="inlineStr">
        <is>
          <t>Kalisz</t>
        </is>
      </c>
      <c r="I1" t="inlineStr">
        <is>
          <t>Kraków</t>
        </is>
      </c>
      <c r="K1" t="inlineStr">
        <is>
          <t>Poznań</t>
        </is>
      </c>
      <c r="M1" t="inlineStr">
        <is>
          <t>Wrocław</t>
        </is>
      </c>
    </row>
    <row r="2">
      <c r="B2" t="inlineStr">
        <is>
          <t>Data notowania</t>
        </is>
      </c>
      <c r="E2" s="1" t="n">
        <v>46147</v>
      </c>
      <c r="G2" s="1" t="n">
        <v>46146</v>
      </c>
      <c r="I2" s="1" t="n">
        <v>46146</v>
      </c>
      <c r="K2" s="1" t="n">
        <v>46146</v>
      </c>
      <c r="M2" s="1" t="n">
        <v>46146</v>
      </c>
    </row>
    <row r="3">
      <c r="B3" t="inlineStr">
        <is>
          <t xml:space="preserve">Owoce </t>
        </is>
      </c>
      <c r="D3" t="inlineStr">
        <is>
          <t>Jedn.</t>
        </is>
      </c>
      <c r="E3" t="inlineStr">
        <is>
          <t>Min</t>
        </is>
      </c>
      <c r="F3" t="inlineStr">
        <is>
          <t>Max</t>
        </is>
      </c>
      <c r="G3" t="inlineStr">
        <is>
          <t>Min</t>
        </is>
      </c>
      <c r="H3" t="inlineStr">
        <is>
          <t>Max</t>
        </is>
      </c>
      <c r="I3" t="inlineStr">
        <is>
          <t>Min</t>
        </is>
      </c>
      <c r="J3" t="inlineStr">
        <is>
          <t>Max</t>
        </is>
      </c>
      <c r="K3" t="inlineStr">
        <is>
          <t>Min</t>
        </is>
      </c>
      <c r="L3" t="inlineStr">
        <is>
          <t>Max</t>
        </is>
      </c>
      <c r="M3" t="inlineStr">
        <is>
          <t>Min</t>
        </is>
      </c>
      <c r="N3" t="inlineStr">
        <is>
          <t>Max</t>
        </is>
      </c>
    </row>
    <row r="4">
      <c r="B4" t="inlineStr">
        <is>
          <t>KRAJOWE</t>
        </is>
      </c>
    </row>
    <row r="5">
      <c r="B5" t="inlineStr">
        <is>
          <t>Gruszki</t>
        </is>
      </c>
      <c r="D5" t="inlineStr">
        <is>
          <t>kg</t>
        </is>
      </c>
    </row>
    <row r="6">
      <c r="B6" t="inlineStr">
        <is>
          <t>Jabłka</t>
        </is>
      </c>
      <c r="E6" t="n">
        <v>4.5</v>
      </c>
      <c r="F6" t="n">
        <v>6.5</v>
      </c>
      <c r="G6" t="n">
        <v>5</v>
      </c>
      <c r="H6" t="n">
        <v>5</v>
      </c>
      <c r="I6" t="n">
        <v>3.5</v>
      </c>
      <c r="J6" t="n">
        <v>6</v>
      </c>
      <c r="K6" t="n">
        <v>5</v>
      </c>
      <c r="L6" t="n">
        <v>6.5</v>
      </c>
      <c r="M6" t="n">
        <v>3</v>
      </c>
      <c r="N6" t="n">
        <v>6</v>
      </c>
    </row>
    <row r="7">
      <c r="D7" t="inlineStr">
        <is>
          <t>kg</t>
        </is>
      </c>
    </row>
    <row r="8">
      <c r="D8" t="inlineStr">
        <is>
          <t>kg</t>
        </is>
      </c>
      <c r="E8" t="n">
        <v>3</v>
      </c>
      <c r="F8" t="n">
        <v>5</v>
      </c>
      <c r="G8" t="n">
        <v>3.08</v>
      </c>
      <c r="H8" t="n">
        <v>3.46</v>
      </c>
      <c r="K8" t="n">
        <v>3.33</v>
      </c>
      <c r="L8" t="n">
        <v>4.33</v>
      </c>
    </row>
    <row r="9">
      <c r="D9" t="inlineStr">
        <is>
          <t>kg</t>
        </is>
      </c>
      <c r="E9" t="n">
        <v>2.5</v>
      </c>
      <c r="F9" t="n">
        <v>3.5</v>
      </c>
      <c r="G9" t="n">
        <v>3.08</v>
      </c>
      <c r="H9" t="n">
        <v>3.08</v>
      </c>
    </row>
    <row r="10">
      <c r="D10" t="inlineStr">
        <is>
          <t>kg</t>
        </is>
      </c>
      <c r="E10" t="n">
        <v>2.5</v>
      </c>
      <c r="F10" t="n">
        <v>3.75</v>
      </c>
      <c r="G10" t="n">
        <v>3.08</v>
      </c>
      <c r="H10" t="n">
        <v>3.08</v>
      </c>
      <c r="K10" t="n">
        <v>4</v>
      </c>
      <c r="L10" t="n">
        <v>4</v>
      </c>
    </row>
    <row r="11">
      <c r="D11" t="inlineStr">
        <is>
          <t>kg</t>
        </is>
      </c>
      <c r="E11" t="n">
        <v>2</v>
      </c>
      <c r="F11" t="n">
        <v>3</v>
      </c>
      <c r="G11" t="n">
        <v>3.08</v>
      </c>
      <c r="H11" t="n">
        <v>3.08</v>
      </c>
      <c r="K11" t="n">
        <v>3.33</v>
      </c>
      <c r="L11" t="n">
        <v>4</v>
      </c>
    </row>
    <row r="12">
      <c r="D12" t="inlineStr">
        <is>
          <t>kg</t>
        </is>
      </c>
      <c r="E12" t="n">
        <v>2</v>
      </c>
      <c r="F12" t="n">
        <v>3</v>
      </c>
      <c r="G12" t="n">
        <v>3.08</v>
      </c>
      <c r="H12" t="n">
        <v>3.08</v>
      </c>
      <c r="K12" t="n">
        <v>3.33</v>
      </c>
      <c r="L12" t="n">
        <v>4</v>
      </c>
    </row>
    <row r="13">
      <c r="D13" t="inlineStr">
        <is>
          <t>kg</t>
        </is>
      </c>
      <c r="E13" t="n">
        <v>2.85</v>
      </c>
      <c r="F13" t="n">
        <v>4</v>
      </c>
      <c r="G13" t="n">
        <v>3.08</v>
      </c>
      <c r="H13" t="n">
        <v>3.85</v>
      </c>
      <c r="K13" t="n">
        <v>3.33</v>
      </c>
      <c r="L13" t="n">
        <v>4.33</v>
      </c>
    </row>
    <row r="14">
      <c r="D14" t="inlineStr">
        <is>
          <t>kg</t>
        </is>
      </c>
      <c r="E14" t="n">
        <v>2</v>
      </c>
      <c r="F14" t="n">
        <v>3.5</v>
      </c>
      <c r="G14" t="n">
        <v>3.08</v>
      </c>
      <c r="H14" t="n">
        <v>3.08</v>
      </c>
      <c r="K14" t="n">
        <v>3.33</v>
      </c>
      <c r="L14" t="n">
        <v>4</v>
      </c>
    </row>
    <row r="15">
      <c r="D15" t="inlineStr">
        <is>
          <t>kg</t>
        </is>
      </c>
      <c r="E15" t="n">
        <v>3.25</v>
      </c>
      <c r="F15" t="n">
        <v>4</v>
      </c>
      <c r="G15" t="n">
        <v>3.08</v>
      </c>
      <c r="H15" t="n">
        <v>3.85</v>
      </c>
    </row>
    <row r="16">
      <c r="D16" t="inlineStr">
        <is>
          <t>kg</t>
        </is>
      </c>
      <c r="E16" t="n">
        <v>80</v>
      </c>
      <c r="F16" t="n">
        <v>95</v>
      </c>
      <c r="K16" t="n">
        <v>104</v>
      </c>
      <c r="L16" t="n">
        <v>112</v>
      </c>
      <c r="M16" t="n">
        <v>72</v>
      </c>
      <c r="N16" t="n">
        <v>100</v>
      </c>
    </row>
    <row r="17">
      <c r="B17" t="inlineStr">
        <is>
          <t>Truskawki</t>
        </is>
      </c>
      <c r="D17" t="inlineStr">
        <is>
          <t>kg</t>
        </is>
      </c>
      <c r="E17" t="n">
        <v>28</v>
      </c>
      <c r="F17" t="n">
        <v>35</v>
      </c>
      <c r="G17" t="n">
        <v>28</v>
      </c>
      <c r="H17" t="n">
        <v>30</v>
      </c>
      <c r="I17" t="n">
        <v>25</v>
      </c>
      <c r="J17" t="n">
        <v>35</v>
      </c>
      <c r="K17" t="n">
        <v>36</v>
      </c>
      <c r="L17" t="n">
        <v>40</v>
      </c>
    </row>
    <row r="18">
      <c r="B18" t="inlineStr">
        <is>
          <t>IMPORTOWANE</t>
        </is>
      </c>
    </row>
    <row r="19">
      <c r="B19" t="inlineStr">
        <is>
          <t>Ananasy</t>
        </is>
      </c>
      <c r="D19" t="inlineStr">
        <is>
          <t>szt.</t>
        </is>
      </c>
      <c r="E19" t="n">
        <v>6</v>
      </c>
      <c r="F19" t="n">
        <v>9</v>
      </c>
      <c r="G19" t="n">
        <v>5</v>
      </c>
      <c r="H19" t="n">
        <v>15</v>
      </c>
      <c r="I19" t="n">
        <v>7.5</v>
      </c>
      <c r="J19" t="n">
        <v>8</v>
      </c>
      <c r="M19" t="n">
        <v>7</v>
      </c>
      <c r="N19" t="n">
        <v>11</v>
      </c>
    </row>
    <row r="20">
      <c r="B20" t="inlineStr">
        <is>
          <t>Arbuzy</t>
        </is>
      </c>
      <c r="D20" t="inlineStr">
        <is>
          <t>kg</t>
        </is>
      </c>
      <c r="E20" t="n">
        <v>7</v>
      </c>
      <c r="F20" t="n">
        <v>10</v>
      </c>
      <c r="G20" t="n">
        <v>4</v>
      </c>
      <c r="H20" t="n">
        <v>6</v>
      </c>
      <c r="I20" t="n">
        <v>6</v>
      </c>
      <c r="J20" t="n">
        <v>7</v>
      </c>
      <c r="K20" t="n">
        <v>11.5</v>
      </c>
      <c r="L20" t="n">
        <v>12.5</v>
      </c>
      <c r="M20" t="n">
        <v>7</v>
      </c>
      <c r="N20" t="n">
        <v>10.5</v>
      </c>
    </row>
    <row r="21">
      <c r="B21" t="inlineStr">
        <is>
          <t>Banany</t>
        </is>
      </c>
      <c r="D21" t="inlineStr">
        <is>
          <t>kg</t>
        </is>
      </c>
      <c r="E21" t="n">
        <v>4.2</v>
      </c>
      <c r="F21" t="n">
        <v>6.15</v>
      </c>
      <c r="G21" t="n">
        <v>4.44</v>
      </c>
      <c r="H21" t="n">
        <v>4.44</v>
      </c>
      <c r="I21" t="n">
        <v>5.5</v>
      </c>
      <c r="J21" t="n">
        <v>6</v>
      </c>
      <c r="K21" t="n">
        <v>5.28</v>
      </c>
      <c r="L21" t="n">
        <v>6.94</v>
      </c>
      <c r="M21" t="n">
        <v>4</v>
      </c>
      <c r="N21" t="n">
        <v>8.5</v>
      </c>
    </row>
    <row r="22">
      <c r="B22" t="inlineStr">
        <is>
          <t>Borówki amerykańskie</t>
        </is>
      </c>
      <c r="D22" t="inlineStr">
        <is>
          <t>kg</t>
        </is>
      </c>
      <c r="E22" t="n">
        <v>45</v>
      </c>
      <c r="F22" t="n">
        <v>80</v>
      </c>
      <c r="G22" t="n">
        <v>48</v>
      </c>
      <c r="H22" t="n">
        <v>80</v>
      </c>
      <c r="I22" t="n">
        <v>70</v>
      </c>
      <c r="J22" t="n">
        <v>80</v>
      </c>
      <c r="K22" t="n">
        <v>75</v>
      </c>
      <c r="L22" t="n">
        <v>80</v>
      </c>
      <c r="M22" t="n">
        <v>62</v>
      </c>
      <c r="N22" t="n">
        <v>66</v>
      </c>
    </row>
    <row r="23">
      <c r="B23" t="inlineStr">
        <is>
          <t>Cytryny</t>
        </is>
      </c>
      <c r="D23" t="inlineStr">
        <is>
          <t>kg</t>
        </is>
      </c>
      <c r="I23" t="n">
        <v>12</v>
      </c>
      <c r="J23" t="n">
        <v>14</v>
      </c>
    </row>
    <row r="24">
      <c r="B24" t="inlineStr">
        <is>
          <t>Grejpfruty</t>
        </is>
      </c>
      <c r="D24" t="inlineStr">
        <is>
          <t>kg</t>
        </is>
      </c>
      <c r="E24" t="n">
        <v>10</v>
      </c>
      <c r="F24" t="n">
        <v>14</v>
      </c>
      <c r="G24" t="n">
        <v>6.5</v>
      </c>
      <c r="H24" t="n">
        <v>9</v>
      </c>
      <c r="I24" t="n">
        <v>10.5</v>
      </c>
      <c r="J24" t="n">
        <v>11.5</v>
      </c>
      <c r="K24" t="n">
        <v>9.5</v>
      </c>
      <c r="L24" t="n">
        <v>12</v>
      </c>
      <c r="M24" t="n">
        <v>6.5</v>
      </c>
      <c r="N24" t="n">
        <v>9.5</v>
      </c>
    </row>
    <row r="25">
      <c r="B25" t="inlineStr">
        <is>
          <t>Gruszki</t>
        </is>
      </c>
      <c r="D25" t="inlineStr">
        <is>
          <t>kg</t>
        </is>
      </c>
      <c r="E25" t="n">
        <v>65</v>
      </c>
      <c r="F25" t="n">
        <v>100</v>
      </c>
    </row>
    <row r="26">
      <c r="B26" t="inlineStr">
        <is>
          <t>Maliny</t>
        </is>
      </c>
      <c r="D26" t="inlineStr">
        <is>
          <t>kg</t>
        </is>
      </c>
      <c r="E26" t="n">
        <v>5</v>
      </c>
      <c r="F26" t="n">
        <v>26</v>
      </c>
      <c r="G26" t="n">
        <v>5</v>
      </c>
      <c r="H26" t="n">
        <v>7</v>
      </c>
      <c r="I26" t="n">
        <v>6.5</v>
      </c>
      <c r="J26" t="n">
        <v>7</v>
      </c>
      <c r="K26" t="n">
        <v>7.14</v>
      </c>
      <c r="L26" t="n">
        <v>7.86</v>
      </c>
      <c r="M26" t="n">
        <v>6</v>
      </c>
      <c r="N26" t="n">
        <v>9</v>
      </c>
    </row>
    <row r="27">
      <c r="B27" t="inlineStr">
        <is>
          <t>Mandarynki</t>
        </is>
      </c>
      <c r="D27" t="inlineStr">
        <is>
          <t>kg</t>
        </is>
      </c>
      <c r="E27" t="n">
        <v>7</v>
      </c>
      <c r="F27" t="n">
        <v>7.25</v>
      </c>
      <c r="G27" t="n">
        <v>5</v>
      </c>
      <c r="H27" t="n">
        <v>7</v>
      </c>
      <c r="K27" t="n">
        <v>8.5</v>
      </c>
      <c r="L27" t="n">
        <v>10</v>
      </c>
    </row>
    <row r="28">
      <c r="B28" t="inlineStr">
        <is>
          <t>Nektarynki</t>
        </is>
      </c>
      <c r="D28" t="inlineStr">
        <is>
          <t>kg</t>
        </is>
      </c>
      <c r="I28" t="n">
        <v>60</v>
      </c>
      <c r="J28" t="n">
        <v>75</v>
      </c>
      <c r="K28" t="n">
        <v>88</v>
      </c>
      <c r="L28" t="n">
        <v>104</v>
      </c>
    </row>
    <row r="29">
      <c r="B29" t="inlineStr">
        <is>
          <t>Pomarańcze</t>
        </is>
      </c>
      <c r="D29" t="inlineStr">
        <is>
          <t>kg</t>
        </is>
      </c>
      <c r="E29" t="n">
        <v>4</v>
      </c>
      <c r="F29" t="n">
        <v>15</v>
      </c>
      <c r="G29" t="n">
        <v>6</v>
      </c>
      <c r="H29" t="n">
        <v>10</v>
      </c>
      <c r="I29" t="n">
        <v>4.8</v>
      </c>
      <c r="J29" t="n">
        <v>5.5</v>
      </c>
      <c r="K29" t="n">
        <v>9</v>
      </c>
      <c r="L29" t="n">
        <v>14</v>
      </c>
      <c r="M29" t="n">
        <v>6.5</v>
      </c>
      <c r="N29" t="n">
        <v>11</v>
      </c>
    </row>
    <row r="30">
      <c r="B30" t="inlineStr">
        <is>
          <t>Śliwki</t>
        </is>
      </c>
      <c r="D30" t="inlineStr">
        <is>
          <t>kg</t>
        </is>
      </c>
      <c r="E30" t="n">
        <v>28</v>
      </c>
      <c r="F30" t="n">
        <v>35</v>
      </c>
      <c r="M30" t="n">
        <v>7</v>
      </c>
      <c r="N30" t="n">
        <v>12</v>
      </c>
    </row>
    <row r="31">
      <c r="B31" t="inlineStr">
        <is>
          <t>Truskawki</t>
        </is>
      </c>
      <c r="D31" t="inlineStr">
        <is>
          <t>kg</t>
        </is>
      </c>
      <c r="E31" t="n">
        <v>2.5</v>
      </c>
      <c r="F31" t="n">
        <v>14</v>
      </c>
      <c r="G31" t="n">
        <v>4</v>
      </c>
      <c r="H31" t="n">
        <v>8</v>
      </c>
      <c r="I31" t="n">
        <v>3.5</v>
      </c>
      <c r="J31" t="n">
        <v>5.5</v>
      </c>
      <c r="K31" t="n">
        <v>7.5</v>
      </c>
      <c r="L31" t="n">
        <v>9.5</v>
      </c>
      <c r="M31" t="n">
        <v>5</v>
      </c>
      <c r="N31" t="n">
        <v>9.5</v>
      </c>
    </row>
    <row r="32">
      <c r="B32" t="inlineStr">
        <is>
          <t>Winogrona</t>
        </is>
      </c>
      <c r="D32" t="inlineStr">
        <is>
          <t>kg</t>
        </is>
      </c>
      <c r="E32" t="n">
        <v>17</v>
      </c>
      <c r="F32" t="n">
        <v>20</v>
      </c>
      <c r="G32" t="n">
        <v>14</v>
      </c>
      <c r="H32" t="n">
        <v>18</v>
      </c>
      <c r="I32" t="n">
        <v>12.5</v>
      </c>
      <c r="J32" t="n">
        <v>13</v>
      </c>
      <c r="K32" t="n">
        <v>15</v>
      </c>
      <c r="L32" t="n">
        <v>17</v>
      </c>
      <c r="M32" t="n">
        <v>12</v>
      </c>
      <c r="N32" t="n">
        <v>38</v>
      </c>
    </row>
    <row r="33">
      <c r="E33" t="n">
        <v>17</v>
      </c>
      <c r="F33" t="n">
        <v>22</v>
      </c>
      <c r="G33" t="n">
        <v>15</v>
      </c>
      <c r="H33" t="n">
        <v>20</v>
      </c>
      <c r="I33" t="n">
        <v>17</v>
      </c>
      <c r="J33" t="n">
        <v>20.7</v>
      </c>
      <c r="K33" t="n">
        <v>14</v>
      </c>
      <c r="L33" t="n">
        <v>18</v>
      </c>
      <c r="M33" t="n">
        <v>16</v>
      </c>
      <c r="N3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2026-06-17T16:54:29Z</dcterms:created>
  <dcterms:modified xsi:type="dcterms:W3CDTF">2026-06-17T16:54:29Z</dcterms:modified>
</cp:coreProperties>
</file>