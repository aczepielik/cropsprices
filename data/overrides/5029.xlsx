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en_skoroszyt"/>
  <bookViews>
    <workbookView visibility="visible" minimized="0" showHorizontalScroll="1" showVerticalScroll="1" showSheetTabs="1" xWindow="-27840" yWindow="860" windowWidth="25790" windowHeight="12840" tabRatio="911" firstSheet="0" activeTab="0" autoFilterDateGrouping="1"/>
  </bookViews>
  <sheets>
    <sheet name="INFO" sheetId="1" state="visible" r:id="rId1"/>
    <sheet name="SPIS" sheetId="2" state="visible" r:id="rId2"/>
    <sheet name="ZMIANY HURT" sheetId="3" state="visible" r:id="rId3"/>
    <sheet name="HURT WARZ" sheetId="4" state="visible" r:id="rId4"/>
    <sheet name="HURT OWOC" sheetId="5" state="visible" r:id="rId5"/>
    <sheet name="ADRESY RYNKÓW HURTOWYCH " sheetId="6" state="visible" r:id="rId6"/>
    <sheet name="OWOCE ORGANIZACJE SKUP" sheetId="7" state="visible" r:id="rId7"/>
    <sheet name="OWOCE ORGANIZACJE SPRZEDAŻ" sheetId="8" state="visible" r:id="rId8"/>
    <sheet name="OWOCE PRZETWÓRSTWO" sheetId="9" state="visible" r:id="rId9"/>
    <sheet name="WARZYWA PRZETWÓRSTWO" sheetId="10" state="visible" r:id="rId10"/>
    <sheet name="ZAKUP OWOCE DETAL - LUZ" sheetId="11" state="visible" r:id="rId11"/>
    <sheet name="ZAKUP WARZ DETAL - LUZ" sheetId="12" state="visible" r:id="rId12"/>
    <sheet name="ZAKUP WARZ DETAL - DO 2 KG" sheetId="13" state="visible" r:id="rId13"/>
    <sheet name="DETAL OWOCE WYKRES " sheetId="14" state="visible" r:id="rId14"/>
    <sheet name="DETAL WARZ WYKRES" sheetId="15" state="visible" r:id="rId15"/>
    <sheet name="IERGZ_warzywa" sheetId="16" state="visible" r:id="rId16"/>
    <sheet name="IERGZ_owoce" sheetId="17" state="visible" r:id="rId17"/>
    <sheet name="Zaklady " sheetId="18" state="visible" r:id="rId18"/>
    <sheet name="ow_KRIR" sheetId="19" state="visible" r:id="rId19"/>
    <sheet name="HANDEL ZAGRANICZNY_I_XII_2025" sheetId="20" state="visible" r:id="rId20"/>
    <sheet name="HANDEL ZAGRANICZNY_I _V_2026" sheetId="21" state="visible" r:id="rId21"/>
    <sheet name="EXP KRAJE I-V 2026" sheetId="22" state="visible" r:id="rId22"/>
    <sheet name="IMP KRAJE I-V 2025" sheetId="23" state="visible" r:id="rId23"/>
    <sheet name="EXP-IMP KRAJE" sheetId="24" state="visible" r:id="rId24"/>
    <sheet name="EXP-IMP KRAJE LATA" sheetId="25" state="visible" r:id="rId25"/>
    <sheet name="KRAJE ZMIANY CN 0203" sheetId="26" state="visible" r:id="rId26"/>
    <sheet name="Sł_Pol-Ang" sheetId="27" state="visible" r:id="rId27"/>
    <sheet name="POMOC" sheetId="28" state="visible" r:id="rId28"/>
    <sheet name="Moduł1" sheetId="29" state="veryHidden" r:id="rId29"/>
    <sheet name="Moduł2" sheetId="30" state="veryHidden" r:id="rId30"/>
    <sheet name="Moduł3" sheetId="31" state="veryHidden" r:id="rId31"/>
    <sheet name="Moduł4" sheetId="32" state="veryHidden" r:id="rId32"/>
    <sheet name="Moduł5" sheetId="33" state="veryHidden" r:id="rId33"/>
    <sheet name="Moduł6" sheetId="34" state="veryHidden" r:id="rId34"/>
  </sheets>
  <externalReferences>
    <externalReference r:id="rId35"/>
    <externalReference r:id="rId36"/>
    <externalReference r:id="rId37"/>
    <externalReference r:id="rId38"/>
    <externalReference r:id="rId39"/>
  </externalReferences>
  <definedNames>
    <definedName name="\a">#N/A</definedName>
    <definedName name="\s">#REF!</definedName>
    <definedName name="_17_11_2011">#REF!</definedName>
    <definedName name="_7_11_2011">#REF!</definedName>
    <definedName name="_A">#REF!</definedName>
    <definedName name="a">#REF!</definedName>
    <definedName name="aa">#REF!</definedName>
    <definedName name="aaa">#REF!</definedName>
    <definedName name="aaaa">#REF!</definedName>
    <definedName name="aaas">#REF!</definedName>
    <definedName name="aassss">#REF!</definedName>
    <definedName name="AllPerc">#REF!,#REF!</definedName>
    <definedName name="AmisData">OFFSET(#REF!,0,0,COUNTA(#REF!),23)</definedName>
    <definedName name="AmisDataPig">OFFSET(#REF!,0,0,COUNTA(#REF!),20)</definedName>
    <definedName name="AmisDataPiglet">OFFSET(#REF!,0,0,COUNTA(#REF!),27)</definedName>
    <definedName name="aqwq">#REF!,#REF!</definedName>
    <definedName name="BothPerc">#REF!</definedName>
    <definedName name="Ceny">#REF!</definedName>
    <definedName name="cenyd">#REF!</definedName>
    <definedName name="Charakterystyka_tabela1_Lista">#REF!</definedName>
    <definedName name="ColPre">#REF!</definedName>
    <definedName name="CurShe">#REF!</definedName>
    <definedName name="dd">#REF!</definedName>
    <definedName name="dsxa">#REF!</definedName>
    <definedName name="fg">#REF!</definedName>
    <definedName name="FirstPerc">#REF!</definedName>
    <definedName name="gg">#REF!</definedName>
    <definedName name="hh">#REF!</definedName>
    <definedName name="hj">#REF!</definedName>
    <definedName name="j">OFFSET(#REF!,0,0,COUNTA(#REF!),20)</definedName>
    <definedName name="jgg">OFFSET(#REF!,0,0,COUNTA(#REF!),20)</definedName>
    <definedName name="jjjjjj">#REF!</definedName>
    <definedName name="jose">#REF!</definedName>
    <definedName name="Last5">#REF!</definedName>
    <definedName name="MaxDate">'[2]Amis Exchange rate'!$D$2</definedName>
    <definedName name="MonPre">#REF!</definedName>
    <definedName name="n">#REF!</definedName>
    <definedName name="NumPri">#REF!</definedName>
    <definedName name="oooooooo">#REF!</definedName>
    <definedName name="ppp">#REF!</definedName>
    <definedName name="Prosieta">#REF!</definedName>
    <definedName name="q">#REF!</definedName>
    <definedName name="recap">#REF!</definedName>
    <definedName name="s">#REF!</definedName>
    <definedName name="SecondPerc">#REF!</definedName>
    <definedName name="ss">#REF!</definedName>
    <definedName name="ssfg">#REF!</definedName>
    <definedName name="sss">#REF!</definedName>
    <definedName name="ssssaaa">#REF!</definedName>
    <definedName name="TodDat">#REF!</definedName>
    <definedName name="uboje">#REF!</definedName>
    <definedName name="uuu">#REF!</definedName>
    <definedName name="WeeNum">#REF!</definedName>
    <definedName name="zx">#REF!</definedName>
    <definedName name="zywiec">#REF!</definedName>
    <definedName name="zzz">#N/A</definedName>
    <definedName name="\s" localSheetId="0">#REF!</definedName>
    <definedName name="_17_11_2011" localSheetId="0">#REF!</definedName>
    <definedName name="_7_11_2011" localSheetId="0">#REF!</definedName>
    <definedName name="aa" localSheetId="0">OFFSET(#REF!,0,0,COUNTA(#REF!),27)</definedName>
    <definedName name="AllPerc" localSheetId="0">#REF!,#REF!</definedName>
    <definedName name="AmisDataPig" localSheetId="0">OFFSET(#REF!,0,0,COUNTA(#REF!),20)</definedName>
    <definedName name="aqwq" localSheetId="0">#REF!,#REF!</definedName>
    <definedName name="BothPerc" localSheetId="0">#REF!</definedName>
    <definedName name="Ceny" localSheetId="0">#REF!</definedName>
    <definedName name="cenyd" localSheetId="0">#REF!</definedName>
    <definedName name="fg" localSheetId="0">#REF!</definedName>
    <definedName name="jgg" localSheetId="0">OFFSET(#REF!,0,0,COUNTA(#REF!),20)</definedName>
    <definedName name="jose" localSheetId="0">#REF!</definedName>
    <definedName name="Last5" localSheetId="0">#REF!</definedName>
    <definedName name="MonPre" localSheetId="0">#REF!</definedName>
    <definedName name="NumPri" localSheetId="0">#REF!</definedName>
    <definedName name="_xlnm.Print_Area" localSheetId="0">'INFO'!$A$1:$P$22</definedName>
    <definedName name="aa" localSheetId="1">OFFSET(#REF!,0,0,COUNTA(#REF!),27)</definedName>
    <definedName name="fg" localSheetId="1">#REF!</definedName>
    <definedName name="Charakterystyka_tabela1_Lista" localSheetId="3">[1]tabelaWARZ!#REF!</definedName>
    <definedName name="_xlnm.Print_Area" localSheetId="15">'IERGZ_warzywa'!$A$5:$I$37</definedName>
    <definedName name="_xlnm.Print_Area" localSheetId="16">'IERGZ_owoce'!$B$6:$E$23</definedName>
    <definedName name="_xlnm.Print_Area" localSheetId="17">'Zaklady '!$B$4:$Y$39</definedName>
    <definedName name="aa" localSheetId="18">#REF!</definedName>
    <definedName name="Charakterystyka_tabela1_Lista" localSheetId="18">#REF!</definedName>
    <definedName name="fg" localSheetId="18">#REF!</definedName>
    <definedName name="_xlnm.Print_Titles" localSheetId="19">'HANDEL ZAGRANICZNY_I_XII_2025'!$6:$8</definedName>
    <definedName name="_xlnm.Print_Titles" localSheetId="20">'HANDEL ZAGRANICZNY_I _V_2026'!$5:$7</definedName>
    <definedName name="\s" localSheetId="21">#REF!</definedName>
    <definedName name="_17_11_2011" localSheetId="21">#REF!</definedName>
    <definedName name="_7_11_2011" localSheetId="21">#REF!</definedName>
    <definedName name="_A" localSheetId="21">#REF!</definedName>
    <definedName name="a" localSheetId="21">#REF!</definedName>
    <definedName name="aa" localSheetId="21">OFFSET(#REF!,0,0,COUNTA(#REF!),27)</definedName>
    <definedName name="aaa" localSheetId="21">#REF!</definedName>
    <definedName name="aaaa" localSheetId="21">#REF!</definedName>
    <definedName name="aaas" localSheetId="21">#REF!</definedName>
    <definedName name="aassss" localSheetId="21">#REF!</definedName>
    <definedName name="AllPerc" localSheetId="21">#REF!,#REF!</definedName>
    <definedName name="AmisDataPig" localSheetId="21">OFFSET(#REF!,0,0,COUNTA(#REF!),20)</definedName>
    <definedName name="AmisDataPiglet" localSheetId="21">OFFSET(#REF!,0,0,COUNTA(#REF!),27)</definedName>
    <definedName name="aqwq" localSheetId="21">#REF!,#REF!</definedName>
    <definedName name="BothPerc" localSheetId="21">#REF!</definedName>
    <definedName name="Ceny" localSheetId="21">#REF!</definedName>
    <definedName name="cenyd" localSheetId="21">#REF!</definedName>
    <definedName name="ColPre" localSheetId="21">#REF!</definedName>
    <definedName name="CurShe" localSheetId="21">#REF!</definedName>
    <definedName name="dd" localSheetId="21">#REF!</definedName>
    <definedName name="dsxa" localSheetId="21">#REF!</definedName>
    <definedName name="fg" localSheetId="21">#REF!</definedName>
    <definedName name="FirstPerc" localSheetId="21">#REF!</definedName>
    <definedName name="gg" localSheetId="21">#REF!</definedName>
    <definedName name="hh" localSheetId="21">#REF!</definedName>
    <definedName name="hj" localSheetId="21">#REF!</definedName>
    <definedName name="jgg" localSheetId="21">OFFSET(#REF!,0,0,COUNTA(#REF!),20)</definedName>
    <definedName name="jose" localSheetId="21">#REF!</definedName>
    <definedName name="Last5" localSheetId="21">#REF!</definedName>
    <definedName name="MaxDate" localSheetId="21">'[2]Amis Exchange rate'!$D$2</definedName>
    <definedName name="MonPre" localSheetId="21">#REF!</definedName>
    <definedName name="n" localSheetId="21">#REF!</definedName>
    <definedName name="NumPri" localSheetId="21">#REF!</definedName>
    <definedName name="ppp" localSheetId="21">#REF!</definedName>
    <definedName name="Prosieta" localSheetId="21">#REF!</definedName>
    <definedName name="q" localSheetId="21">#REF!</definedName>
    <definedName name="recap" localSheetId="21">#REF!</definedName>
    <definedName name="s" localSheetId="21">#REF!</definedName>
    <definedName name="SecondPerc" localSheetId="21">#REF!</definedName>
    <definedName name="ss" localSheetId="21">#REF!</definedName>
    <definedName name="ssfg" localSheetId="21">#REF!</definedName>
    <definedName name="sss" localSheetId="21">#REF!</definedName>
    <definedName name="ssssaaa" localSheetId="21">#REF!</definedName>
    <definedName name="TodDat" localSheetId="21">#REF!</definedName>
    <definedName name="uboje" localSheetId="21">#REF!</definedName>
    <definedName name="uuu" localSheetId="21">#REF!</definedName>
    <definedName name="WeeNum" localSheetId="21">#REF!</definedName>
    <definedName name="zx" localSheetId="21">#REF!</definedName>
    <definedName name="zywiec" localSheetId="21">#REF!</definedName>
    <definedName name="\s" localSheetId="22">#REF!</definedName>
    <definedName name="_17_11_2011" localSheetId="22">#REF!</definedName>
    <definedName name="_7_11_2011" localSheetId="22">#REF!</definedName>
    <definedName name="_A" localSheetId="22">#REF!</definedName>
    <definedName name="a" localSheetId="22">#REF!</definedName>
    <definedName name="aa" localSheetId="22">OFFSET(#REF!,0,0,COUNTA(#REF!),27)</definedName>
    <definedName name="aaa" localSheetId="22">#REF!</definedName>
    <definedName name="aaaa" localSheetId="22">#REF!</definedName>
    <definedName name="aaas" localSheetId="22">#REF!</definedName>
    <definedName name="aassss" localSheetId="22">#REF!</definedName>
    <definedName name="AllPerc" localSheetId="22">#REF!,#REF!</definedName>
    <definedName name="AmisData" localSheetId="22">OFFSET(#REF!,0,0,COUNTA(#REF!),23)</definedName>
    <definedName name="AmisDataPig" localSheetId="22">OFFSET(#REF!,0,0,COUNTA(#REF!),20)</definedName>
    <definedName name="AmisDataPiglet" localSheetId="22">OFFSET(#REF!,0,0,COUNTA(#REF!),27)</definedName>
    <definedName name="aqwq" localSheetId="22">#REF!,#REF!</definedName>
    <definedName name="BothPerc" localSheetId="22">#REF!</definedName>
    <definedName name="Ceny" localSheetId="22">#REF!</definedName>
    <definedName name="cenyd" localSheetId="22">#REF!</definedName>
    <definedName name="Charakterystyka_tabela1_Lista" localSheetId="22">#REF!</definedName>
    <definedName name="ColPre" localSheetId="22">#REF!</definedName>
    <definedName name="CurShe" localSheetId="22">#REF!</definedName>
    <definedName name="dd" localSheetId="22">#REF!</definedName>
    <definedName name="dsxa" localSheetId="22">#REF!</definedName>
    <definedName name="fg" localSheetId="22">#REF!</definedName>
    <definedName name="FirstPerc" localSheetId="22">#REF!</definedName>
    <definedName name="gg" localSheetId="22">#REF!</definedName>
    <definedName name="hh" localSheetId="22">#REF!</definedName>
    <definedName name="hj" localSheetId="22">#REF!</definedName>
    <definedName name="jgg" localSheetId="22">OFFSET(#REF!,0,0,COUNTA(#REF!),20)</definedName>
    <definedName name="jose" localSheetId="22">#REF!</definedName>
    <definedName name="Last5" localSheetId="22">#REF!</definedName>
    <definedName name="MaxDate" localSheetId="22">'[2]Amis Exchange rate'!$D$2</definedName>
    <definedName name="MonPre" localSheetId="22">#REF!</definedName>
    <definedName name="n" localSheetId="22">#REF!</definedName>
    <definedName name="NumPri" localSheetId="22">#REF!</definedName>
    <definedName name="oooooooo" localSheetId="22">#REF!</definedName>
    <definedName name="ppp" localSheetId="22">#REF!</definedName>
    <definedName name="Prosieta" localSheetId="22">#REF!</definedName>
    <definedName name="q" localSheetId="22">#REF!</definedName>
    <definedName name="recap" localSheetId="22">#REF!</definedName>
    <definedName name="s" localSheetId="22">#REF!</definedName>
    <definedName name="SecondPerc" localSheetId="22">#REF!</definedName>
    <definedName name="ss" localSheetId="22">#REF!</definedName>
    <definedName name="ssfg" localSheetId="22">#REF!</definedName>
    <definedName name="sss" localSheetId="22">#REF!</definedName>
    <definedName name="ssssaaa" localSheetId="22">#REF!</definedName>
    <definedName name="TodDat" localSheetId="22">#REF!</definedName>
    <definedName name="uboje" localSheetId="22">#REF!</definedName>
    <definedName name="uuu" localSheetId="22">#REF!</definedName>
    <definedName name="WeeNum" localSheetId="22">#REF!</definedName>
    <definedName name="zx" localSheetId="22">#REF!</definedName>
    <definedName name="zywiec" localSheetId="22">#REF!</definedName>
    <definedName name="\s" localSheetId="23">#REF!</definedName>
    <definedName name="_17_11_2011" localSheetId="23">#REF!</definedName>
    <definedName name="_7_11_2011" localSheetId="23">#REF!</definedName>
    <definedName name="_A" localSheetId="23">#REF!</definedName>
    <definedName name="a" localSheetId="23">#REF!</definedName>
    <definedName name="aaaa" localSheetId="23">#REF!</definedName>
    <definedName name="AllPerc" localSheetId="23">#REF!,#REF!</definedName>
    <definedName name="AmisDataPig" localSheetId="23">OFFSET(#REF!,0,0,COUNTA(#REF!),20)</definedName>
    <definedName name="AmisDataPiglet" localSheetId="23">OFFSET(#REF!,0,0,COUNTA(#REF!),27)</definedName>
    <definedName name="aqwq" localSheetId="23">#REF!,#REF!</definedName>
    <definedName name="BothPerc" localSheetId="23">#REF!</definedName>
    <definedName name="Ceny" localSheetId="23">#REF!</definedName>
    <definedName name="cenyd" localSheetId="23">#REF!</definedName>
    <definedName name="ColPre" localSheetId="23">#REF!</definedName>
    <definedName name="CurShe" localSheetId="23">#REF!</definedName>
    <definedName name="dd" localSheetId="23">#REF!</definedName>
    <definedName name="fg" localSheetId="23">#REF!</definedName>
    <definedName name="FirstPerc" localSheetId="23">#REF!</definedName>
    <definedName name="gg" localSheetId="23">#REF!</definedName>
    <definedName name="hj" localSheetId="23">#REF!</definedName>
    <definedName name="jgg" localSheetId="23">OFFSET(#REF!,0,0,COUNTA(#REF!),20)</definedName>
    <definedName name="jose" localSheetId="23">#REF!</definedName>
    <definedName name="Last5" localSheetId="23">#REF!</definedName>
    <definedName name="MaxDate" localSheetId="23">#REF!</definedName>
    <definedName name="MonPre" localSheetId="23">#REF!</definedName>
    <definedName name="NumPri" localSheetId="23">#REF!</definedName>
    <definedName name="ppp" localSheetId="23">#REF!</definedName>
    <definedName name="Prosieta" localSheetId="23">#REF!</definedName>
    <definedName name="recap" localSheetId="23">#REF!</definedName>
    <definedName name="s" localSheetId="23">#REF!</definedName>
    <definedName name="SecondPerc" localSheetId="23">#REF!</definedName>
    <definedName name="ssssaaa" localSheetId="23">#REF!</definedName>
    <definedName name="TodDat" localSheetId="23">#REF!</definedName>
    <definedName name="WeeNum" localSheetId="23">#REF!</definedName>
    <definedName name="zx" localSheetId="23">#REF!</definedName>
    <definedName name="zywiec" localSheetId="23">#REF!</definedName>
    <definedName name="\s" localSheetId="24">#REF!</definedName>
    <definedName name="_17_11_2011" localSheetId="24">#REF!</definedName>
    <definedName name="_7_11_2011" localSheetId="24">#REF!</definedName>
    <definedName name="_A" localSheetId="24">#REF!</definedName>
    <definedName name="a" localSheetId="24">#REF!</definedName>
    <definedName name="aa" localSheetId="24">OFFSET(#REF!,0,0,COUNTA(#REF!),27)</definedName>
    <definedName name="aaa" localSheetId="24">#REF!</definedName>
    <definedName name="aaaa" localSheetId="24">#REF!</definedName>
    <definedName name="aaas" localSheetId="24">#REF!</definedName>
    <definedName name="aassss" localSheetId="24">#REF!</definedName>
    <definedName name="AllPerc" localSheetId="24">#REF!,#REF!</definedName>
    <definedName name="AmisDataPig" localSheetId="24">OFFSET(#REF!,0,0,COUNTA(#REF!),20)</definedName>
    <definedName name="AmisDataPiglet" localSheetId="24">OFFSET(#REF!,0,0,COUNTA(#REF!),27)</definedName>
    <definedName name="aqwq" localSheetId="24">#REF!,#REF!</definedName>
    <definedName name="BothPerc" localSheetId="24">#REF!</definedName>
    <definedName name="Ceny" localSheetId="24">#REF!</definedName>
    <definedName name="cenyd" localSheetId="24">#REF!</definedName>
    <definedName name="ColPre" localSheetId="24">#REF!</definedName>
    <definedName name="CurShe" localSheetId="24">#REF!</definedName>
    <definedName name="dd" localSheetId="24">#REF!</definedName>
    <definedName name="dsxa" localSheetId="24">#REF!</definedName>
    <definedName name="fg" localSheetId="24">#REF!</definedName>
    <definedName name="FirstPerc" localSheetId="24">#REF!</definedName>
    <definedName name="gg" localSheetId="24">#REF!</definedName>
    <definedName name="hh" localSheetId="24">#REF!</definedName>
    <definedName name="hj" localSheetId="24">#REF!</definedName>
    <definedName name="jgg" localSheetId="24">OFFSET(#REF!,0,0,COUNTA(#REF!),20)</definedName>
    <definedName name="jose" localSheetId="24">#REF!</definedName>
    <definedName name="Last5" localSheetId="24">#REF!</definedName>
    <definedName name="MaxDate" localSheetId="24">#REF!</definedName>
    <definedName name="MonPre" localSheetId="24">#REF!</definedName>
    <definedName name="n" localSheetId="24">#REF!</definedName>
    <definedName name="NumPri" localSheetId="24">#REF!</definedName>
    <definedName name="ppp" localSheetId="24">#REF!</definedName>
    <definedName name="Prosieta" localSheetId="24">#REF!</definedName>
    <definedName name="q" localSheetId="24">#REF!</definedName>
    <definedName name="recap" localSheetId="24">#REF!</definedName>
    <definedName name="s" localSheetId="24">#REF!</definedName>
    <definedName name="SecondPerc" localSheetId="24">#REF!</definedName>
    <definedName name="ss" localSheetId="24">#REF!</definedName>
    <definedName name="ssfg" localSheetId="24">#REF!</definedName>
    <definedName name="sss" localSheetId="24">#REF!</definedName>
    <definedName name="ssssaaa" localSheetId="24">#REF!</definedName>
    <definedName name="TodDat" localSheetId="24">#REF!</definedName>
    <definedName name="uboje" localSheetId="24">#REF!</definedName>
    <definedName name="uuu" localSheetId="24">#REF!</definedName>
    <definedName name="WeeNum" localSheetId="24">#REF!</definedName>
    <definedName name="zx" localSheetId="24">#REF!</definedName>
    <definedName name="zywiec" localSheetId="24">#REF!</definedName>
    <definedName name="\s" localSheetId="25">#REF!</definedName>
    <definedName name="_17_11_2011" localSheetId="25">#REF!</definedName>
    <definedName name="_7_11_2011" localSheetId="25">#REF!</definedName>
    <definedName name="_A" localSheetId="25">#REF!</definedName>
    <definedName name="a" localSheetId="25">#REF!</definedName>
    <definedName name="aa" localSheetId="25">OFFSET(#REF!,0,0,COUNTA(#REF!),27)</definedName>
    <definedName name="aaa" localSheetId="25">#REF!</definedName>
    <definedName name="aaaa" localSheetId="25">#REF!</definedName>
    <definedName name="aaas" localSheetId="25">#REF!</definedName>
    <definedName name="aassss" localSheetId="25">#REF!</definedName>
    <definedName name="AllPerc" localSheetId="25">#REF!,#REF!</definedName>
    <definedName name="AmisDataPig" localSheetId="25">OFFSET(#REF!,0,0,COUNTA(#REF!),20)</definedName>
    <definedName name="AmisDataPiglet" localSheetId="25">OFFSET(#REF!,0,0,COUNTA(#REF!),27)</definedName>
    <definedName name="aqwq" localSheetId="25">#REF!,#REF!</definedName>
    <definedName name="BothPerc" localSheetId="25">#REF!</definedName>
    <definedName name="Ceny" localSheetId="25">#REF!</definedName>
    <definedName name="cenyd" localSheetId="25">#REF!</definedName>
    <definedName name="ColPre" localSheetId="25">#REF!</definedName>
    <definedName name="CurShe" localSheetId="25">#REF!</definedName>
    <definedName name="dd" localSheetId="25">#REF!</definedName>
    <definedName name="dsxa" localSheetId="25">#REF!</definedName>
    <definedName name="fg" localSheetId="25">#REF!</definedName>
    <definedName name="FirstPerc" localSheetId="25">#REF!</definedName>
    <definedName name="gg" localSheetId="25">#REF!</definedName>
    <definedName name="hh" localSheetId="25">#REF!</definedName>
    <definedName name="hj" localSheetId="25">#REF!</definedName>
    <definedName name="jgg" localSheetId="25">OFFSET(#REF!,0,0,COUNTA(#REF!),20)</definedName>
    <definedName name="jose" localSheetId="25">#REF!</definedName>
    <definedName name="Last5" localSheetId="25">#REF!</definedName>
    <definedName name="MaxDate" localSheetId="25">#REF!</definedName>
    <definedName name="MonPre" localSheetId="25">#REF!</definedName>
    <definedName name="n" localSheetId="25">#REF!</definedName>
    <definedName name="NumPri" localSheetId="25">#REF!</definedName>
    <definedName name="ppp" localSheetId="25">#REF!</definedName>
    <definedName name="Prosieta" localSheetId="25">#REF!</definedName>
    <definedName name="q" localSheetId="25">#REF!</definedName>
    <definedName name="recap" localSheetId="25">#REF!</definedName>
    <definedName name="s" localSheetId="25">#REF!</definedName>
    <definedName name="SecondPerc" localSheetId="25">#REF!</definedName>
    <definedName name="ss" localSheetId="25">#REF!</definedName>
    <definedName name="ssfg" localSheetId="25">#REF!</definedName>
    <definedName name="sss" localSheetId="25">#REF!</definedName>
    <definedName name="ssssaaa" localSheetId="25">#REF!</definedName>
    <definedName name="TodDat" localSheetId="25">#REF!</definedName>
    <definedName name="uboje" localSheetId="25">#REF!</definedName>
    <definedName name="uuu" localSheetId="25">#REF!</definedName>
    <definedName name="WeeNum" localSheetId="25">#REF!</definedName>
    <definedName name="zx" localSheetId="25">#REF!</definedName>
    <definedName name="zywiec" localSheetId="25">#REF!</definedName>
    <definedName name="\s" localSheetId="27">#REF!</definedName>
    <definedName name="_17_11_2011" localSheetId="27">#REF!</definedName>
    <definedName name="_7_11_2011" localSheetId="27">#REF!</definedName>
    <definedName name="_A" localSheetId="27">#REF!</definedName>
    <definedName name="a" localSheetId="27">#REF!</definedName>
    <definedName name="aa" localSheetId="27">OFFSET(#REF!,0,0,COUNTA(#REF!),27)</definedName>
    <definedName name="aaa" localSheetId="27">#REF!</definedName>
    <definedName name="aaaa" localSheetId="27">#REF!</definedName>
    <definedName name="aaas" localSheetId="27">#REF!</definedName>
    <definedName name="aassss" localSheetId="27">#REF!</definedName>
    <definedName name="AllPerc" localSheetId="27">#REF!,#REF!</definedName>
    <definedName name="AmisDataPig" localSheetId="27">OFFSET(#REF!,0,0,COUNTA(#REF!),20)</definedName>
    <definedName name="AmisDataPiglet" localSheetId="27">OFFSET(#REF!,0,0,COUNTA(#REF!),27)</definedName>
    <definedName name="aqwq" localSheetId="27">#REF!,#REF!</definedName>
    <definedName name="BothPerc" localSheetId="27">#REF!</definedName>
    <definedName name="Ceny" localSheetId="27">#REF!</definedName>
    <definedName name="cenyd" localSheetId="27">#REF!</definedName>
    <definedName name="ColPre" localSheetId="27">#REF!</definedName>
    <definedName name="CurShe" localSheetId="27">#REF!</definedName>
    <definedName name="dd" localSheetId="27">#REF!</definedName>
    <definedName name="dsxa" localSheetId="27">#REF!</definedName>
    <definedName name="fg" localSheetId="27">#REF!</definedName>
    <definedName name="FirstPerc" localSheetId="27">#REF!</definedName>
    <definedName name="gg" localSheetId="27">#REF!</definedName>
    <definedName name="hh" localSheetId="27">#REF!</definedName>
    <definedName name="hj" localSheetId="27">#REF!</definedName>
    <definedName name="jgg" localSheetId="27">OFFSET(#REF!,0,0,COUNTA(#REF!),20)</definedName>
    <definedName name="jose" localSheetId="27">#REF!</definedName>
    <definedName name="Last5" localSheetId="27">#REF!</definedName>
    <definedName name="MonPre" localSheetId="27">#REF!</definedName>
    <definedName name="n" localSheetId="27">#REF!</definedName>
    <definedName name="NumPri" localSheetId="27">#REF!</definedName>
    <definedName name="ppp" localSheetId="27">#REF!</definedName>
    <definedName name="Prosieta" localSheetId="27">#REF!</definedName>
    <definedName name="q" localSheetId="27">#REF!</definedName>
    <definedName name="recap" localSheetId="27">#REF!</definedName>
    <definedName name="s" localSheetId="27">#REF!</definedName>
    <definedName name="SecondPerc" localSheetId="27">#REF!</definedName>
    <definedName name="ss" localSheetId="27">#REF!</definedName>
    <definedName name="ssfg" localSheetId="27">#REF!</definedName>
    <definedName name="sss" localSheetId="27">#REF!</definedName>
    <definedName name="ssssaaa" localSheetId="27">#REF!</definedName>
    <definedName name="TodDat" localSheetId="27">#REF!</definedName>
    <definedName name="uboje" localSheetId="27">#REF!</definedName>
    <definedName name="uuu" localSheetId="27">#REF!</definedName>
    <definedName name="WeeNum" localSheetId="27">#REF!</definedName>
    <definedName name="zx" localSheetId="27">#REF!</definedName>
    <definedName name="zywiec" localSheetId="27">#REF!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dd/mm/yy"/>
    <numFmt numFmtId="166" formatCode="#,###,##0"/>
    <numFmt numFmtId="167" formatCode="#,##0.0"/>
  </numFmts>
  <fonts count="130">
    <font>
      <name val="Arial CE"/>
      <charset val="238"/>
      <sz val="10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Arial CE"/>
      <charset val="238"/>
      <sz val="10"/>
    </font>
    <font>
      <name val="Arial CE"/>
      <charset val="238"/>
      <color indexed="12"/>
      <sz val="10"/>
      <u val="single"/>
    </font>
    <font>
      <name val="Arial CE"/>
      <charset val="238"/>
      <sz val="12"/>
    </font>
    <font>
      <name val="Times New Roman"/>
      <charset val="238"/>
      <family val="1"/>
      <sz val="14"/>
    </font>
    <font>
      <name val="Times New Roman"/>
      <charset val="238"/>
      <family val="1"/>
      <i val="1"/>
      <sz val="14"/>
    </font>
    <font>
      <name val="Arial CE"/>
      <charset val="238"/>
      <sz val="14"/>
    </font>
    <font>
      <name val="Times New Roman"/>
      <charset val="238"/>
      <family val="1"/>
      <sz val="14"/>
    </font>
    <font>
      <name val="Times New Roman"/>
      <charset val="238"/>
      <family val="1"/>
      <sz val="12"/>
    </font>
    <font>
      <name val="Times New Roman"/>
      <charset val="238"/>
      <family val="1"/>
      <b val="1"/>
      <sz val="14"/>
    </font>
    <font>
      <name val="Arial CE"/>
      <charset val="238"/>
      <sz val="8"/>
    </font>
    <font>
      <name val="MS Sans Serif"/>
      <charset val="238"/>
      <family val="2"/>
      <color indexed="8"/>
      <sz val="10"/>
    </font>
    <font>
      <name val="Times New Roman CE"/>
      <charset val="238"/>
      <family val="1"/>
      <b val="1"/>
      <sz val="12"/>
    </font>
    <font>
      <name val="Arial"/>
      <charset val="238"/>
      <family val="2"/>
      <sz val="10"/>
    </font>
    <font>
      <name val="Arial CE"/>
      <sz val="10"/>
    </font>
    <font>
      <name val="Calibri"/>
      <charset val="238"/>
      <family val="2"/>
      <sz val="10"/>
      <scheme val="minor"/>
    </font>
    <font>
      <name val="Calibri"/>
      <charset val="238"/>
      <family val="2"/>
      <b val="1"/>
      <sz val="11"/>
      <scheme val="minor"/>
    </font>
    <font>
      <name val="Calibri"/>
      <charset val="238"/>
      <family val="2"/>
      <b val="1"/>
      <sz val="12"/>
      <scheme val="minor"/>
    </font>
    <font>
      <name val="Calibri"/>
      <charset val="238"/>
      <family val="2"/>
      <sz val="11"/>
      <scheme val="minor"/>
    </font>
    <font>
      <name val="Calibri"/>
      <charset val="238"/>
      <family val="2"/>
      <sz val="12"/>
      <scheme val="minor"/>
    </font>
    <font>
      <name val="Calibri"/>
      <charset val="238"/>
      <family val="2"/>
      <color indexed="10"/>
      <sz val="11"/>
      <scheme val="minor"/>
    </font>
    <font>
      <name val="Calibri"/>
      <charset val="238"/>
      <family val="2"/>
      <b val="1"/>
      <i val="1"/>
      <sz val="14"/>
      <scheme val="minor"/>
    </font>
    <font>
      <name val="Calibri"/>
      <charset val="238"/>
      <family val="2"/>
      <b val="1"/>
      <i val="1"/>
      <sz val="12"/>
      <scheme val="minor"/>
    </font>
    <font>
      <name val="Calibri"/>
      <charset val="238"/>
      <family val="2"/>
      <sz val="14"/>
      <scheme val="minor"/>
    </font>
    <font>
      <name val="Calibri"/>
      <charset val="238"/>
      <family val="2"/>
      <sz val="16"/>
      <scheme val="minor"/>
    </font>
    <font>
      <name val="Calibri"/>
      <charset val="238"/>
      <family val="2"/>
      <color indexed="8"/>
      <sz val="11"/>
    </font>
    <font>
      <name val="Calibri"/>
      <charset val="238"/>
      <family val="2"/>
      <b val="1"/>
      <sz val="10"/>
      <scheme val="minor"/>
    </font>
    <font>
      <name val="Calibri"/>
      <charset val="238"/>
      <family val="2"/>
      <b val="1"/>
      <i val="1"/>
      <color rgb="FF2F5597"/>
      <sz val="12"/>
    </font>
    <font>
      <name val="Calibri"/>
      <charset val="238"/>
      <family val="2"/>
      <b val="1"/>
      <i val="1"/>
      <sz val="26"/>
      <scheme val="minor"/>
    </font>
    <font>
      <name val="Calibri"/>
      <charset val="238"/>
      <family val="2"/>
      <b val="1"/>
      <i val="1"/>
      <color rgb="FFC00000"/>
      <sz val="12"/>
      <scheme val="minor"/>
    </font>
    <font>
      <name val="Calibri"/>
      <family val="2"/>
      <color rgb="FF000000"/>
      <sz val="11"/>
      <scheme val="minor"/>
    </font>
    <font>
      <name val="Calibri"/>
      <charset val="238"/>
      <family val="2"/>
      <b val="1"/>
      <color rgb="FFFF0000"/>
      <sz val="14"/>
      <scheme val="minor"/>
    </font>
    <font>
      <name val="Calibri"/>
      <charset val="238"/>
      <family val="2"/>
      <b val="1"/>
      <color rgb="FFC00000"/>
      <sz val="12"/>
      <scheme val="minor"/>
    </font>
    <font>
      <name val="Calibri"/>
      <charset val="238"/>
      <family val="2"/>
      <b val="1"/>
      <color theme="1"/>
      <sz val="11"/>
      <scheme val="minor"/>
    </font>
    <font>
      <name val="Calibri"/>
      <charset val="238"/>
      <family val="2"/>
      <color theme="1"/>
      <sz val="12"/>
      <scheme val="minor"/>
    </font>
    <font>
      <name val="Calibri"/>
      <charset val="238"/>
      <family val="2"/>
      <color rgb="FFFF0000"/>
      <sz val="11"/>
      <scheme val="minor"/>
    </font>
    <font>
      <name val="Calibri"/>
      <charset val="238"/>
      <family val="2"/>
      <sz val="11"/>
    </font>
    <font>
      <name val="Calibri"/>
      <charset val="238"/>
      <family val="2"/>
      <color theme="1"/>
      <sz val="10"/>
      <scheme val="minor"/>
    </font>
    <font>
      <name val="Calibri"/>
      <charset val="238"/>
      <family val="2"/>
      <b val="1"/>
      <i val="1"/>
      <color theme="1"/>
      <sz val="12"/>
      <scheme val="minor"/>
    </font>
    <font>
      <name val="Calibri"/>
      <charset val="238"/>
      <family val="2"/>
      <i val="1"/>
      <color theme="1"/>
      <sz val="12"/>
      <scheme val="minor"/>
    </font>
    <font>
      <name val="Times New Roman CE"/>
      <charset val="238"/>
      <family val="1"/>
      <i val="1"/>
      <color indexed="8"/>
      <sz val="16"/>
    </font>
    <font>
      <name val="Times New Roman CE"/>
      <charset val="238"/>
      <i val="1"/>
      <color indexed="8"/>
      <sz val="16"/>
    </font>
    <font>
      <name val="Times New Roman CE"/>
      <charset val="238"/>
      <family val="1"/>
      <color indexed="8"/>
      <sz val="16"/>
    </font>
    <font>
      <name val="Calibri"/>
      <charset val="238"/>
      <family val="2"/>
      <b val="1"/>
      <sz val="11"/>
    </font>
    <font>
      <name val="Calibri"/>
      <charset val="238"/>
      <family val="2"/>
      <b val="1"/>
      <color indexed="8"/>
      <sz val="11"/>
    </font>
    <font>
      <name val="Calibri"/>
      <charset val="238"/>
      <family val="2"/>
      <b val="1"/>
      <i val="1"/>
      <color indexed="8"/>
      <sz val="11"/>
    </font>
    <font>
      <name val="Arial CE"/>
      <charset val="238"/>
      <color rgb="FF006600"/>
      <sz val="10"/>
    </font>
    <font>
      <name val="Arial CE"/>
      <charset val="238"/>
      <color theme="0"/>
      <sz val="10"/>
    </font>
    <font>
      <name val="Lato Semibold"/>
      <charset val="238"/>
      <family val="2"/>
      <b val="1"/>
      <color rgb="FF006600"/>
      <sz val="14"/>
    </font>
    <font>
      <name val="Calibri"/>
      <charset val="238"/>
      <family val="2"/>
      <b val="1"/>
      <color rgb="FF006600"/>
      <sz val="13"/>
      <scheme val="minor"/>
    </font>
    <font>
      <name val="Calibri"/>
      <charset val="238"/>
      <family val="2"/>
      <b val="1"/>
      <color rgb="FF006600"/>
      <sz val="14"/>
      <scheme val="minor"/>
    </font>
    <font>
      <name val="Calibri"/>
      <charset val="238"/>
      <family val="2"/>
      <color rgb="FF006600"/>
      <sz val="10"/>
      <scheme val="minor"/>
    </font>
    <font>
      <name val="Calibri"/>
      <charset val="238"/>
      <family val="2"/>
      <b val="1"/>
      <color rgb="FF006600"/>
      <sz val="10"/>
      <scheme val="minor"/>
    </font>
    <font>
      <name val="Arial CE"/>
      <charset val="238"/>
      <color theme="6" tint="-0.499984740745262"/>
      <sz val="10"/>
    </font>
    <font>
      <name val="Calibri"/>
      <charset val="238"/>
      <family val="2"/>
      <b val="1"/>
      <color theme="7"/>
      <sz val="12"/>
      <scheme val="minor"/>
    </font>
    <font>
      <name val="Calibri"/>
      <charset val="238"/>
      <family val="2"/>
      <color rgb="FFFF0000"/>
      <sz val="10"/>
      <scheme val="minor"/>
    </font>
    <font>
      <name val="Calibri"/>
      <charset val="238"/>
      <family val="2"/>
      <b val="1"/>
      <color indexed="8"/>
      <sz val="12"/>
      <scheme val="minor"/>
    </font>
    <font>
      <name val="Lato Semibold"/>
      <charset val="238"/>
      <family val="2"/>
      <b val="1"/>
      <color rgb="FF006600"/>
      <sz val="12"/>
    </font>
    <font>
      <name val="Calibri"/>
      <charset val="238"/>
      <family val="2"/>
      <b val="1"/>
      <color rgb="FF333333"/>
      <sz val="12"/>
      <scheme val="minor"/>
    </font>
    <font>
      <name val="Calibri"/>
      <charset val="238"/>
      <family val="2"/>
      <color rgb="FF333333"/>
      <sz val="12"/>
      <scheme val="minor"/>
    </font>
    <font>
      <name val="Calibri"/>
      <charset val="238"/>
      <family val="2"/>
      <b val="1"/>
      <color rgb="FF333333"/>
      <sz val="11"/>
      <scheme val="minor"/>
    </font>
    <font>
      <name val="Calibri"/>
      <charset val="238"/>
      <family val="2"/>
      <b val="1"/>
      <color rgb="FF333333"/>
      <sz val="10"/>
      <scheme val="minor"/>
    </font>
    <font>
      <name val="Calibri"/>
      <charset val="238"/>
      <family val="2"/>
      <i val="1"/>
      <color rgb="FF333333"/>
      <sz val="11"/>
      <scheme val="minor"/>
    </font>
    <font>
      <name val="Calibri"/>
      <charset val="238"/>
      <family val="2"/>
      <color rgb="FF333333"/>
      <sz val="11"/>
      <scheme val="minor"/>
    </font>
    <font>
      <name val="Calibri"/>
      <charset val="238"/>
      <family val="2"/>
      <sz val="10"/>
    </font>
    <font>
      <name val="Arial CE"/>
      <charset val="238"/>
      <color rgb="FFFF0000"/>
      <sz val="10"/>
    </font>
    <font>
      <name val="Lato Black"/>
      <charset val="238"/>
      <family val="2"/>
      <b val="1"/>
      <color rgb="FF006600"/>
      <sz val="40"/>
    </font>
    <font>
      <name val="Arial CE"/>
      <charset val="238"/>
      <i val="1"/>
      <sz val="14"/>
    </font>
    <font>
      <name val="Lato Black"/>
      <charset val="238"/>
      <family val="2"/>
      <b val="1"/>
      <color rgb="FF008000"/>
      <sz val="40"/>
    </font>
    <font>
      <name val="Calibri"/>
      <charset val="238"/>
      <family val="2"/>
      <b val="1"/>
      <color rgb="FF006E22"/>
      <sz val="40"/>
      <scheme val="minor"/>
    </font>
    <font>
      <name val="Lato Black"/>
      <charset val="238"/>
      <family val="2"/>
      <b val="1"/>
      <color rgb="FF008000"/>
      <sz val="14"/>
    </font>
    <font>
      <name val="Calibri"/>
      <charset val="238"/>
      <family val="2"/>
      <b val="1"/>
      <color rgb="FF008000"/>
      <sz val="14"/>
      <scheme val="minor"/>
    </font>
    <font>
      <name val="Calibri"/>
      <charset val="238"/>
      <family val="2"/>
      <sz val="9.5"/>
    </font>
    <font>
      <name val="Calibri"/>
      <charset val="238"/>
      <family val="2"/>
      <b val="1"/>
      <color theme="0"/>
      <sz val="14"/>
      <scheme val="minor"/>
    </font>
    <font>
      <name val="Calibri"/>
      <charset val="238"/>
      <family val="2"/>
      <b val="1"/>
      <color rgb="FF006600"/>
      <sz val="12"/>
    </font>
    <font>
      <name val="Arial CE"/>
      <charset val="238"/>
      <family val="2"/>
      <sz val="10"/>
    </font>
    <font>
      <name val="Calibri"/>
      <charset val="238"/>
      <family val="2"/>
      <b val="1"/>
      <color theme="9" tint="-0.249977111117893"/>
      <sz val="14"/>
      <scheme val="minor"/>
    </font>
    <font>
      <name val="Calibri"/>
      <charset val="238"/>
      <family val="2"/>
      <i val="1"/>
      <sz val="12"/>
      <scheme val="minor"/>
    </font>
    <font>
      <name val="Calibri"/>
      <charset val="238"/>
      <family val="2"/>
      <color rgb="FF9C0006"/>
      <sz val="11"/>
      <scheme val="minor"/>
    </font>
    <font>
      <name val="Calibri"/>
      <charset val="238"/>
      <family val="2"/>
      <b val="1"/>
      <i val="1"/>
      <color theme="1"/>
      <sz val="11"/>
      <scheme val="minor"/>
    </font>
    <font>
      <name val="Calibri"/>
      <charset val="238"/>
      <family val="2"/>
      <b val="1"/>
      <sz val="13"/>
      <scheme val="minor"/>
    </font>
    <font>
      <name val="Calibri"/>
      <charset val="238"/>
      <family val="2"/>
      <b val="1"/>
      <color rgb="FF333333"/>
      <sz val="13"/>
      <scheme val="minor"/>
    </font>
    <font>
      <name val="Calibri"/>
      <charset val="238"/>
      <family val="2"/>
      <sz val="13"/>
      <scheme val="minor"/>
    </font>
    <font>
      <name val="Lato Semibold"/>
      <charset val="238"/>
      <family val="2"/>
      <b val="1"/>
      <color rgb="FF006600"/>
      <sz val="11"/>
    </font>
    <font>
      <name val="Times New Roman"/>
      <charset val="238"/>
      <family val="1"/>
      <sz val="10"/>
    </font>
    <font>
      <name val="Times New Roman"/>
      <charset val="238"/>
      <family val="1"/>
      <sz val="13"/>
    </font>
    <font>
      <name val="Calibri"/>
      <charset val="238"/>
      <family val="2"/>
      <b val="1"/>
      <i val="1"/>
      <sz val="10"/>
      <scheme val="minor"/>
    </font>
    <font>
      <name val="Calibri"/>
      <charset val="238"/>
      <family val="2"/>
      <b val="1"/>
      <i val="1"/>
      <color rgb="FF0000FF"/>
      <sz val="10"/>
      <scheme val="minor"/>
    </font>
    <font>
      <name val="Calibri"/>
      <charset val="238"/>
      <family val="2"/>
      <b val="1"/>
      <i val="1"/>
      <sz val="12"/>
      <u val="single"/>
      <scheme val="minor"/>
    </font>
    <font>
      <name val="Calibri"/>
      <charset val="238"/>
      <family val="2"/>
      <b val="1"/>
      <color theme="9"/>
      <sz val="12"/>
      <scheme val="minor"/>
    </font>
    <font>
      <name val="Calibri"/>
      <charset val="238"/>
      <family val="2"/>
      <b val="1"/>
      <color theme="1" tint="0.249977111117893"/>
      <sz val="14"/>
      <scheme val="minor"/>
    </font>
    <font>
      <name val="Calibri"/>
      <charset val="238"/>
      <family val="2"/>
      <b val="1"/>
      <color theme="1" tint="0.249977111117893"/>
      <sz val="12"/>
      <scheme val="minor"/>
    </font>
    <font>
      <name val="Calibri"/>
      <charset val="238"/>
      <family val="2"/>
      <b val="1"/>
      <i val="1"/>
      <sz val="18"/>
      <scheme val="minor"/>
    </font>
    <font>
      <name val="Calibri"/>
      <charset val="238"/>
      <family val="2"/>
      <i val="1"/>
      <sz val="16"/>
      <scheme val="minor"/>
    </font>
    <font>
      <name val="Calibri"/>
      <charset val="238"/>
      <family val="2"/>
      <b val="1"/>
      <sz val="14"/>
      <scheme val="minor"/>
    </font>
    <font>
      <name val="Calibri"/>
      <charset val="238"/>
      <family val="2"/>
      <i val="1"/>
      <sz val="10"/>
      <scheme val="minor"/>
    </font>
    <font>
      <name val="Calibri"/>
      <charset val="238"/>
      <family val="2"/>
      <b val="1"/>
      <color theme="9" tint="-0.249977111117893"/>
      <sz val="12"/>
      <scheme val="minor"/>
    </font>
    <font>
      <name val="Calibri"/>
      <charset val="238"/>
      <family val="2"/>
      <color rgb="FFC00000"/>
      <sz val="12"/>
      <scheme val="minor"/>
    </font>
    <font>
      <name val="Calibri"/>
      <charset val="238"/>
      <family val="2"/>
      <b val="1"/>
      <i val="1"/>
      <color rgb="FFFF0000"/>
      <sz val="12"/>
      <scheme val="minor"/>
    </font>
    <font>
      <name val="Calibri"/>
      <charset val="238"/>
      <family val="2"/>
      <color theme="5"/>
      <sz val="12"/>
      <scheme val="minor"/>
    </font>
    <font>
      <name val="Calibri"/>
      <charset val="238"/>
      <family val="2"/>
      <b val="1"/>
      <i val="1"/>
      <sz val="11"/>
      <scheme val="minor"/>
    </font>
    <font>
      <name val="Lato Semibold"/>
      <charset val="238"/>
      <family val="2"/>
      <b val="1"/>
      <color theme="6" tint="-0.249977111117893"/>
      <sz val="14"/>
    </font>
    <font>
      <name val="Times New Roman CE"/>
      <sz val="10"/>
    </font>
    <font>
      <name val="Arial CE"/>
      <charset val="238"/>
      <color rgb="FFFF0000"/>
      <sz val="14"/>
    </font>
    <font>
      <name val="Calibri"/>
      <charset val="238"/>
      <family val="2"/>
      <b val="1"/>
      <color rgb="FF7030A0"/>
      <sz val="11"/>
      <scheme val="minor"/>
    </font>
    <font>
      <name val="Calibri"/>
      <charset val="238"/>
      <family val="2"/>
      <color rgb="FF333333"/>
      <sz val="14"/>
      <scheme val="minor"/>
    </font>
    <font>
      <name val="Times New Roman"/>
      <charset val="238"/>
      <family val="1"/>
      <color rgb="FFFF0000"/>
      <sz val="10"/>
    </font>
    <font>
      <name val="Calibri"/>
      <charset val="238"/>
      <family val="2"/>
      <b val="1"/>
      <color rgb="FFFF0000"/>
      <sz val="12"/>
      <scheme val="minor"/>
    </font>
    <font>
      <name val="Calibri"/>
      <charset val="238"/>
      <family val="2"/>
      <b val="1"/>
      <color rgb="FFFF0000"/>
      <sz val="11"/>
      <scheme val="minor"/>
    </font>
    <font>
      <name val="Calibri"/>
      <charset val="238"/>
      <family val="2"/>
      <b val="1"/>
      <i val="1"/>
      <color rgb="FFFF0000"/>
      <sz val="10"/>
      <scheme val="minor"/>
    </font>
    <font>
      <name val="Calibri"/>
      <charset val="238"/>
      <family val="2"/>
      <color theme="4"/>
      <sz val="10"/>
      <scheme val="minor"/>
    </font>
    <font>
      <name val="Calibri"/>
      <charset val="238"/>
      <family val="2"/>
      <b val="1"/>
      <color rgb="FFFF0000"/>
      <sz val="10"/>
      <scheme val="minor"/>
    </font>
    <font>
      <name val="Calibri"/>
      <charset val="238"/>
      <family val="2"/>
      <b val="1"/>
      <sz val="12"/>
    </font>
    <font>
      <name val="Calibri"/>
      <family val="2"/>
      <b val="1"/>
      <color rgb="FF333333"/>
      <sz val="12"/>
    </font>
    <font>
      <name val="Calibri"/>
      <family val="2"/>
      <b val="1"/>
      <color rgb="FF333333"/>
      <sz val="11"/>
    </font>
    <font>
      <name val="Calibri"/>
      <family val="2"/>
      <b val="1"/>
      <color rgb="FF333333"/>
      <sz val="10"/>
    </font>
    <font>
      <name val="Calibri"/>
      <family val="2"/>
      <color rgb="FF000000"/>
      <sz val="12"/>
    </font>
    <font>
      <name val="Calibri"/>
      <family val="2"/>
      <color rgb="FF000000"/>
      <sz val="11"/>
    </font>
    <font>
      <name val="Lato Semibold"/>
      <family val="2"/>
      <b val="1"/>
      <color rgb="FF006400"/>
      <sz val="14"/>
    </font>
    <font>
      <name val="Calibri"/>
      <family val="2"/>
      <b val="1"/>
      <color rgb="FF000000"/>
      <sz val="12"/>
    </font>
    <font>
      <name val="Calibri"/>
      <charset val="238"/>
      <family val="2"/>
      <color theme="0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43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3D3D3"/>
      </patternFill>
    </fill>
    <fill>
      <patternFill patternType="solid">
        <fgColor rgb="FFD0DEEE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6E22"/>
      </left>
      <right style="thin">
        <color rgb="FF006E22"/>
      </right>
      <top style="thin">
        <color rgb="FF006E22"/>
      </top>
      <bottom style="thin">
        <color rgb="FF006E22"/>
      </bottom>
      <diagonal/>
    </border>
    <border>
      <left/>
      <right style="thin">
        <color rgb="FF006E22"/>
      </right>
      <top style="thin">
        <color rgb="FF006E22"/>
      </top>
      <bottom style="thin">
        <color rgb="FF006E22"/>
      </bottom>
      <diagonal/>
    </border>
    <border>
      <left style="thin">
        <color rgb="FF006E22"/>
      </left>
      <right/>
      <top style="thin">
        <color rgb="FF006E22"/>
      </top>
      <bottom style="thin">
        <color rgb="FF006E22"/>
      </bottom>
      <diagonal/>
    </border>
    <border>
      <left style="thin">
        <color rgb="FF006E22"/>
      </left>
      <right style="thin">
        <color rgb="FF006E22"/>
      </right>
      <top style="thin">
        <color rgb="FF006E22"/>
      </top>
      <bottom/>
      <diagonal/>
    </border>
    <border>
      <left/>
      <right/>
      <top/>
      <bottom style="thick">
        <color rgb="FF328228"/>
      </bottom>
      <diagonal/>
    </border>
    <border>
      <left/>
      <right/>
      <top style="thick">
        <color rgb="FF328228"/>
      </top>
      <bottom/>
      <diagonal/>
    </border>
    <border>
      <left/>
      <right/>
      <top/>
      <bottom style="thin">
        <color rgb="FF006600"/>
      </bottom>
      <diagonal/>
    </border>
    <border>
      <left style="thin">
        <color rgb="FF006600"/>
      </left>
      <right/>
      <top/>
      <bottom/>
      <diagonal/>
    </border>
    <border>
      <left style="thin">
        <color rgb="FF006600"/>
      </left>
      <right/>
      <top/>
      <bottom style="thin">
        <color rgb="FF006600"/>
      </bottom>
      <diagonal/>
    </border>
    <border>
      <left style="thin">
        <color rgb="FF006600"/>
      </left>
      <right/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thin">
        <color indexed="64"/>
      </right>
      <top/>
      <bottom style="thin">
        <color rgb="FF006600"/>
      </bottom>
      <diagonal/>
    </border>
    <border>
      <left style="thin">
        <color indexed="64"/>
      </left>
      <right style="thin">
        <color indexed="64"/>
      </right>
      <top/>
      <bottom style="thin">
        <color rgb="FF006600"/>
      </bottom>
      <diagonal/>
    </border>
    <border>
      <left style="thin">
        <color indexed="64"/>
      </left>
      <right/>
      <top/>
      <bottom style="thin">
        <color rgb="FF006600"/>
      </bottom>
      <diagonal/>
    </border>
    <border>
      <left style="thin">
        <color rgb="FF006600"/>
      </left>
      <right style="thin">
        <color indexed="64"/>
      </right>
      <top style="thin">
        <color rgb="FF006600"/>
      </top>
      <bottom style="thin">
        <color rgb="FF006600"/>
      </bottom>
      <diagonal/>
    </border>
    <border>
      <left style="thin">
        <color indexed="64"/>
      </left>
      <right style="thin">
        <color indexed="64"/>
      </right>
      <top style="thin">
        <color rgb="FF006600"/>
      </top>
      <bottom style="thin">
        <color rgb="FF006600"/>
      </bottom>
      <diagonal/>
    </border>
    <border>
      <left style="thin">
        <color indexed="64"/>
      </left>
      <right/>
      <top style="thin">
        <color rgb="FF006600"/>
      </top>
      <bottom style="thin">
        <color rgb="FF006600"/>
      </bottom>
      <diagonal/>
    </border>
    <border>
      <left style="medium">
        <color indexed="64"/>
      </left>
      <right/>
      <top style="thin">
        <color rgb="FF006600"/>
      </top>
      <bottom style="thin">
        <color rgb="FF006600"/>
      </bottom>
      <diagonal/>
    </border>
    <border>
      <left/>
      <right/>
      <top/>
      <bottom style="medium">
        <color rgb="FF006600"/>
      </bottom>
      <diagonal/>
    </border>
    <border>
      <left style="thin">
        <color rgb="FF006600"/>
      </left>
      <right/>
      <top/>
      <bottom style="medium">
        <color rgb="FF006600"/>
      </bottom>
      <diagonal/>
    </border>
    <border>
      <left style="thin">
        <color rgb="FF006600"/>
      </left>
      <right style="thin">
        <color indexed="64"/>
      </right>
      <top/>
      <bottom style="medium">
        <color rgb="FF006600"/>
      </bottom>
      <diagonal/>
    </border>
    <border>
      <left style="thin">
        <color indexed="64"/>
      </left>
      <right/>
      <top/>
      <bottom style="medium">
        <color rgb="FF006600"/>
      </bottom>
      <diagonal/>
    </border>
    <border>
      <left/>
      <right/>
      <top style="thin">
        <color rgb="FF006600"/>
      </top>
      <bottom/>
      <diagonal/>
    </border>
    <border>
      <left style="thin">
        <color rgb="FF006E22"/>
      </left>
      <right style="thin">
        <color rgb="FF006E22"/>
      </right>
      <top style="thin">
        <color rgb="FF006600"/>
      </top>
      <bottom style="thin">
        <color rgb="FF006E22"/>
      </bottom>
      <diagonal/>
    </border>
    <border>
      <left style="thin">
        <color rgb="FF006E22"/>
      </left>
      <right/>
      <top style="thin">
        <color rgb="FF006600"/>
      </top>
      <bottom style="thin">
        <color rgb="FF006E22"/>
      </bottom>
      <diagonal/>
    </border>
    <border>
      <left/>
      <right style="thin">
        <color rgb="FF006E22"/>
      </right>
      <top style="thin">
        <color rgb="FF006600"/>
      </top>
      <bottom style="thin">
        <color rgb="FF006E22"/>
      </bottom>
      <diagonal/>
    </border>
    <border>
      <left/>
      <right/>
      <top style="medium">
        <color rgb="FF006600"/>
      </top>
      <bottom style="thin">
        <color rgb="FF006600"/>
      </bottom>
      <diagonal/>
    </border>
    <border>
      <left/>
      <right style="thin">
        <color indexed="64"/>
      </right>
      <top style="thin">
        <color rgb="FF006600"/>
      </top>
      <bottom style="thin">
        <color rgb="FF006600"/>
      </bottom>
      <diagonal/>
    </border>
    <border>
      <left/>
      <right style="thin">
        <color indexed="64"/>
      </right>
      <top/>
      <bottom style="thin">
        <color rgb="FF006600"/>
      </bottom>
      <diagonal/>
    </border>
    <border>
      <left/>
      <right style="thin">
        <color indexed="64"/>
      </right>
      <top/>
      <bottom style="medium">
        <color rgb="FF006600"/>
      </bottom>
      <diagonal/>
    </border>
    <border>
      <left/>
      <right style="double">
        <color rgb="FF006600"/>
      </right>
      <top/>
      <bottom style="thin">
        <color rgb="FF006600"/>
      </bottom>
      <diagonal/>
    </border>
    <border>
      <left style="thin">
        <color indexed="64"/>
      </left>
      <right style="double">
        <color rgb="FF006600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double">
        <color rgb="FF006600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double">
        <color rgb="FF006600"/>
      </right>
      <top/>
      <bottom style="medium">
        <color rgb="FF006600"/>
      </bottom>
      <diagonal/>
    </border>
    <border>
      <left style="thin">
        <color rgb="FF006E22"/>
      </left>
      <right style="double">
        <color rgb="FF006600"/>
      </right>
      <top style="thin">
        <color rgb="FF006600"/>
      </top>
      <bottom style="thin">
        <color rgb="FF006E22"/>
      </bottom>
      <diagonal/>
    </border>
    <border>
      <left style="thin">
        <color rgb="FF006E22"/>
      </left>
      <right style="double">
        <color rgb="FF006600"/>
      </right>
      <top style="thin">
        <color rgb="FF006E22"/>
      </top>
      <bottom style="thin">
        <color rgb="FF006E22"/>
      </bottom>
      <diagonal/>
    </border>
    <border>
      <left style="thin">
        <color rgb="FF006E22"/>
      </left>
      <right style="thin">
        <color rgb="FF006E22"/>
      </right>
      <top/>
      <bottom style="thin">
        <color rgb="FF006E22"/>
      </bottom>
      <diagonal/>
    </border>
    <border>
      <left/>
      <right style="thin">
        <color rgb="FF006E22"/>
      </right>
      <top/>
      <bottom style="thin">
        <color rgb="FF006E22"/>
      </bottom>
      <diagonal/>
    </border>
    <border>
      <left style="thin">
        <color rgb="FF006E22"/>
      </left>
      <right/>
      <top/>
      <bottom style="thin">
        <color rgb="FF006E22"/>
      </bottom>
      <diagonal/>
    </border>
    <border>
      <left/>
      <right/>
      <top style="thin">
        <color rgb="FF006600"/>
      </top>
      <bottom style="thin">
        <color rgb="FF0066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6600"/>
      </left>
      <right style="thin">
        <color indexed="64"/>
      </right>
      <top/>
      <bottom/>
      <diagonal/>
    </border>
    <border>
      <left style="thin">
        <color rgb="FF006600"/>
      </left>
      <right style="hair">
        <color indexed="64"/>
      </right>
      <top/>
      <bottom style="medium">
        <color rgb="FF006600"/>
      </bottom>
      <diagonal/>
    </border>
    <border>
      <left style="hair">
        <color indexed="64"/>
      </left>
      <right/>
      <top/>
      <bottom style="medium">
        <color rgb="FF006600"/>
      </bottom>
      <diagonal/>
    </border>
    <border>
      <left style="thin">
        <color rgb="FF006600"/>
      </left>
      <right style="thin">
        <color rgb="FF006600"/>
      </right>
      <top/>
      <bottom style="medium">
        <color rgb="FF0066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6600"/>
      </left>
      <right style="thin">
        <color rgb="FF006600"/>
      </right>
      <top style="thin">
        <color rgb="FF006600"/>
      </top>
      <bottom style="thin">
        <color rgb="FF006600"/>
      </bottom>
      <diagonal/>
    </border>
    <border>
      <left/>
      <right style="hair">
        <color indexed="64"/>
      </right>
      <top style="thin">
        <color rgb="FF006600"/>
      </top>
      <bottom style="thin">
        <color rgb="FF006600"/>
      </bottom>
      <diagonal/>
    </border>
    <border>
      <left style="hair">
        <color indexed="64"/>
      </left>
      <right/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thin">
        <color rgb="FF006E22"/>
      </right>
      <top style="thin">
        <color rgb="FF006600"/>
      </top>
      <bottom style="thin">
        <color rgb="FF006600"/>
      </bottom>
      <diagonal/>
    </border>
    <border>
      <left style="thin">
        <color rgb="FF006E22"/>
      </left>
      <right style="thin">
        <color rgb="FF006E22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 style="thin">
        <color indexed="64"/>
      </right>
      <top style="thin">
        <color rgb="FF006600"/>
      </top>
      <bottom/>
      <diagonal/>
    </border>
    <border>
      <left style="thin">
        <color indexed="64"/>
      </left>
      <right style="medium">
        <color indexed="64"/>
      </right>
      <top style="thin">
        <color rgb="FF006600"/>
      </top>
      <bottom/>
      <diagonal/>
    </border>
    <border>
      <left style="thin">
        <color indexed="64"/>
      </left>
      <right/>
      <top style="thin">
        <color rgb="FF006600"/>
      </top>
      <bottom/>
      <diagonal/>
    </border>
    <border>
      <left style="thin">
        <color indexed="64"/>
      </left>
      <right style="thin">
        <color indexed="64"/>
      </right>
      <top style="thin">
        <color rgb="FF006600"/>
      </top>
      <bottom/>
      <diagonal/>
    </border>
    <border>
      <left/>
      <right style="medium">
        <color indexed="8"/>
      </right>
      <top style="thin">
        <color rgb="FF0066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6600"/>
      </bottom>
      <diagonal/>
    </border>
    <border>
      <left/>
      <right style="medium">
        <color indexed="8"/>
      </right>
      <top/>
      <bottom style="thin">
        <color rgb="FF006600"/>
      </bottom>
      <diagonal/>
    </border>
    <border>
      <left style="thin">
        <color rgb="FF006600"/>
      </left>
      <right style="thin">
        <color rgb="FF006600"/>
      </right>
      <top style="thin">
        <color rgb="FF006600"/>
      </top>
      <bottom/>
      <diagonal/>
    </border>
    <border>
      <left style="thin">
        <color rgb="FF006600"/>
      </left>
      <right style="thin">
        <color rgb="FF006600"/>
      </right>
      <top/>
      <bottom style="thin">
        <color rgb="FF006600"/>
      </bottom>
      <diagonal/>
    </border>
    <border>
      <left/>
      <right style="thin">
        <color rgb="FF006600"/>
      </right>
      <top/>
      <bottom/>
      <diagonal/>
    </border>
    <border>
      <left/>
      <right style="hair">
        <color indexed="64"/>
      </right>
      <top/>
      <bottom style="thin">
        <color rgb="FF006600"/>
      </bottom>
      <diagonal/>
    </border>
    <border>
      <left style="hair">
        <color indexed="64"/>
      </left>
      <right/>
      <top style="hair">
        <color indexed="64"/>
      </top>
      <bottom style="thin">
        <color rgb="FF006600"/>
      </bottom>
      <diagonal/>
    </border>
    <border>
      <left style="hair">
        <color indexed="64"/>
      </left>
      <right/>
      <top/>
      <bottom style="thin">
        <color rgb="FF006600"/>
      </bottom>
      <diagonal/>
    </border>
    <border>
      <left style="thin">
        <color rgb="FF006E22"/>
      </left>
      <right style="thin">
        <color rgb="FF006E22"/>
      </right>
      <top style="thin">
        <color rgb="FF006E22"/>
      </top>
      <bottom style="thin">
        <color rgb="FF006600"/>
      </bottom>
      <diagonal/>
    </border>
    <border>
      <left style="thin">
        <color rgb="FF006E22"/>
      </left>
      <right style="thin">
        <color rgb="FF006E22"/>
      </right>
      <top/>
      <bottom style="thin">
        <color rgb="FF006600"/>
      </bottom>
      <diagonal/>
    </border>
    <border>
      <left style="thin">
        <color rgb="FF006600"/>
      </left>
      <right style="thin">
        <color rgb="FF006E22"/>
      </right>
      <top style="thin">
        <color rgb="FF006E22"/>
      </top>
      <bottom style="thin">
        <color rgb="FF006600"/>
      </bottom>
      <diagonal/>
    </border>
    <border>
      <left style="thin">
        <color rgb="FF006600"/>
      </left>
      <right style="thin">
        <color rgb="FF006E22"/>
      </right>
      <top/>
      <bottom style="thin">
        <color rgb="FF006600"/>
      </bottom>
      <diagonal/>
    </border>
    <border>
      <left/>
      <right/>
      <top style="medium">
        <color rgb="FF006E22"/>
      </top>
      <bottom style="medium">
        <color rgb="FF006E22"/>
      </bottom>
      <diagonal/>
    </border>
    <border>
      <left/>
      <right style="thick">
        <color theme="3" tint="0.249977111117893"/>
      </right>
      <top/>
      <bottom/>
      <diagonal/>
    </border>
    <border>
      <left/>
      <right/>
      <top/>
      <bottom style="thin">
        <color theme="3"/>
      </bottom>
      <diagonal/>
    </border>
    <border>
      <left/>
      <right style="medium">
        <color indexed="64"/>
      </right>
      <top/>
      <bottom style="thin">
        <color theme="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64"/>
      </right>
      <top style="thin">
        <color theme="3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theme="3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3"/>
      </top>
      <bottom style="medium">
        <color indexed="64"/>
      </bottom>
      <diagonal/>
    </border>
    <border>
      <left style="thin">
        <color indexed="64"/>
      </left>
      <right/>
      <top style="thin">
        <color theme="3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rgb="FF006600"/>
      </top>
      <bottom/>
      <diagonal/>
    </border>
    <border>
      <left/>
      <right style="thin">
        <color rgb="FF006E22"/>
      </right>
      <top style="thin">
        <color rgb="FF006E22"/>
      </top>
      <bottom style="thin">
        <color rgb="FF006600"/>
      </bottom>
      <diagonal/>
    </border>
    <border>
      <left style="thin">
        <color rgb="FF006E22"/>
      </left>
      <right/>
      <top style="thin">
        <color rgb="FF006E22"/>
      </top>
      <bottom style="thin">
        <color rgb="FF006600"/>
      </bottom>
      <diagonal/>
    </border>
    <border>
      <left style="thin">
        <color rgb="FF006E22"/>
      </left>
      <right style="double">
        <color rgb="FF006600"/>
      </right>
      <top style="thin">
        <color rgb="FF006E22"/>
      </top>
      <bottom style="thin">
        <color rgb="FF006600"/>
      </bottom>
      <diagonal/>
    </border>
    <border>
      <left style="thin">
        <color rgb="FF006E22"/>
      </left>
      <right style="double">
        <color rgb="FF006600"/>
      </right>
      <top/>
      <bottom style="thin">
        <color rgb="FF006E22"/>
      </bottom>
      <diagonal/>
    </border>
    <border>
      <left/>
      <right/>
      <top style="thin">
        <color rgb="FF006600"/>
      </top>
      <bottom style="hair">
        <color indexed="64"/>
      </bottom>
      <diagonal/>
    </border>
    <border>
      <left/>
      <right style="hair">
        <color indexed="64"/>
      </right>
      <top style="thin">
        <color rgb="FF006600"/>
      </top>
      <bottom style="hair">
        <color indexed="64"/>
      </bottom>
      <diagonal/>
    </border>
    <border>
      <left style="hair">
        <color indexed="64"/>
      </left>
      <right/>
      <top style="thin">
        <color rgb="FF006600"/>
      </top>
      <bottom style="hair">
        <color indexed="64"/>
      </bottom>
      <diagonal/>
    </border>
    <border>
      <left/>
      <right/>
      <top/>
      <bottom style="thin">
        <color rgb="FF006400"/>
      </bottom>
      <diagonal/>
    </border>
    <border>
      <left/>
      <right style="thin">
        <color rgb="FF006400"/>
      </right>
      <top/>
      <bottom style="thin">
        <color rgb="FF006400"/>
      </bottom>
      <diagonal/>
    </border>
    <border>
      <left style="thin">
        <color rgb="FF006400"/>
      </left>
      <right style="thin">
        <color rgb="FF006400"/>
      </right>
      <top/>
      <bottom style="thin">
        <color rgb="FF006400"/>
      </bottom>
      <diagonal/>
    </border>
    <border>
      <left style="thin">
        <color rgb="FF006400"/>
      </left>
      <right/>
      <top/>
      <bottom style="thin">
        <color rgb="FF006400"/>
      </bottom>
      <diagonal/>
    </border>
    <border>
      <left/>
      <right/>
      <top/>
      <bottom style="medium">
        <color rgb="FF006400"/>
      </bottom>
      <diagonal/>
    </border>
    <border>
      <left/>
      <right style="thin">
        <color rgb="FF006400"/>
      </right>
      <top style="thin">
        <color rgb="FF006400"/>
      </top>
      <bottom style="medium">
        <color rgb="FF006400"/>
      </bottom>
      <diagonal/>
    </border>
    <border>
      <left style="thin">
        <color rgb="FF006400"/>
      </left>
      <right style="thin">
        <color rgb="FF006400"/>
      </right>
      <top style="thin">
        <color rgb="FF006400"/>
      </top>
      <bottom style="medium">
        <color rgb="FF006400"/>
      </bottom>
      <diagonal/>
    </border>
    <border>
      <left style="thin">
        <color rgb="FF006400"/>
      </left>
      <right/>
      <top style="thin">
        <color rgb="FF006400"/>
      </top>
      <bottom style="medium">
        <color rgb="FF006400"/>
      </bottom>
      <diagonal/>
    </border>
    <border>
      <left/>
      <right style="thin">
        <color rgb="FF006400"/>
      </right>
      <top style="thin">
        <color rgb="FF006400"/>
      </top>
      <bottom style="thin">
        <color rgb="FF006400"/>
      </bottom>
      <diagonal/>
    </border>
    <border>
      <left style="thin">
        <color rgb="FF006400"/>
      </left>
      <right style="thin">
        <color rgb="FF006400"/>
      </right>
      <top style="thin">
        <color rgb="FF006400"/>
      </top>
      <bottom style="thin">
        <color rgb="FF006400"/>
      </bottom>
      <diagonal/>
    </border>
    <border>
      <left style="thin">
        <color rgb="FF006400"/>
      </left>
      <right/>
      <top style="thin">
        <color rgb="FF006400"/>
      </top>
      <bottom style="thin">
        <color rgb="FF006400"/>
      </bottom>
      <diagonal/>
    </border>
    <border>
      <left style="thin">
        <color rgb="FF006400"/>
      </left>
      <right style="thin">
        <color rgb="FF006400"/>
      </right>
      <top style="thin">
        <color rgb="FF006400"/>
      </top>
      <bottom/>
      <diagonal/>
    </border>
    <border>
      <left style="thin">
        <color rgb="FF006400"/>
      </left>
      <right/>
      <top style="thin">
        <color rgb="FF006400"/>
      </top>
      <bottom/>
      <diagonal/>
    </border>
    <border>
      <left/>
      <right/>
      <top/>
      <bottom style="thick">
        <color rgb="FF006400"/>
      </bottom>
      <diagonal/>
    </border>
    <border>
      <left style="thin">
        <color rgb="FF006400"/>
      </left>
      <right/>
      <top/>
      <bottom/>
      <diagonal/>
    </border>
    <border>
      <left style="thin">
        <color rgb="FF006400"/>
      </left>
      <right style="thin">
        <color rgb="FF006400"/>
      </right>
      <top/>
      <bottom/>
      <diagonal/>
    </border>
    <border>
      <left/>
      <right style="thin">
        <color rgb="FF006400"/>
      </right>
      <top/>
      <bottom/>
      <diagonal/>
    </border>
  </borders>
  <cellStyleXfs count="29">
    <xf numFmtId="0" fontId="10" fillId="0" borderId="0"/>
    <xf numFmtId="0" fontId="11" fillId="0" borderId="0"/>
    <xf numFmtId="0" fontId="10" fillId="0" borderId="0"/>
    <xf numFmtId="0" fontId="20" fillId="0" borderId="0"/>
    <xf numFmtId="0" fontId="22" fillId="0" borderId="0"/>
    <xf numFmtId="0" fontId="23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39" fillId="0" borderId="0"/>
    <xf numFmtId="0" fontId="9" fillId="0" borderId="0"/>
    <xf numFmtId="0" fontId="10" fillId="0" borderId="0"/>
    <xf numFmtId="0" fontId="11" fillId="0" borderId="0" applyAlignment="1" applyProtection="1">
      <alignment vertical="top"/>
      <protection locked="0" hidden="0"/>
    </xf>
    <xf numFmtId="0" fontId="10" fillId="0" borderId="0"/>
    <xf numFmtId="0" fontId="87" fillId="10" borderId="0"/>
    <xf numFmtId="0" fontId="10" fillId="0" borderId="0"/>
    <xf numFmtId="0" fontId="22" fillId="0" borderId="0"/>
    <xf numFmtId="0" fontId="23" fillId="0" borderId="0"/>
    <xf numFmtId="0" fontId="10" fillId="0" borderId="0"/>
    <xf numFmtId="0" fontId="9" fillId="0" borderId="0"/>
    <xf numFmtId="0" fontId="39" fillId="0" borderId="0"/>
    <xf numFmtId="0" fontId="10" fillId="0" borderId="0"/>
    <xf numFmtId="0" fontId="22" fillId="0" borderId="0"/>
    <xf numFmtId="0" fontId="10" fillId="0" borderId="0"/>
    <xf numFmtId="0" fontId="126" fillId="0" borderId="0"/>
  </cellStyleXfs>
  <cellXfs count="609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8" fillId="0" borderId="0" pivotButton="0" quotePrefix="0" xfId="0"/>
    <xf numFmtId="0" fontId="23" fillId="0" borderId="0" pivotButton="0" quotePrefix="0" xfId="5"/>
    <xf numFmtId="2" fontId="21" fillId="0" borderId="0" pivotButton="0" quotePrefix="0" xfId="0"/>
    <xf numFmtId="2" fontId="21" fillId="0" borderId="0" applyAlignment="1" pivotButton="0" quotePrefix="0" xfId="0">
      <alignment horizontal="center"/>
    </xf>
    <xf numFmtId="0" fontId="24" fillId="0" borderId="0" pivotButton="0" quotePrefix="0" xfId="0"/>
    <xf numFmtId="0" fontId="30" fillId="0" borderId="0" pivotButton="0" quotePrefix="0" xfId="4"/>
    <xf numFmtId="0" fontId="28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6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24" fillId="4" borderId="0" pivotButton="0" quotePrefix="0" xfId="0"/>
    <xf numFmtId="0" fontId="27" fillId="4" borderId="0" pivotButton="0" quotePrefix="0" xfId="0"/>
    <xf numFmtId="0" fontId="29" fillId="4" borderId="0" pivotButton="0" quotePrefix="0" xfId="0"/>
    <xf numFmtId="0" fontId="25" fillId="4" borderId="0" pivotButton="0" quotePrefix="0" xfId="0"/>
    <xf numFmtId="0" fontId="24" fillId="4" borderId="0" applyAlignment="1" pivotButton="0" quotePrefix="0" xfId="0">
      <alignment horizontal="left"/>
    </xf>
    <xf numFmtId="0" fontId="27" fillId="0" borderId="0" pivotButton="0" quotePrefix="0" xfId="0"/>
    <xf numFmtId="4" fontId="48" fillId="4" borderId="0" applyAlignment="1" pivotButton="0" quotePrefix="1" xfId="0">
      <alignment horizontal="center"/>
    </xf>
    <xf numFmtId="0" fontId="45" fillId="4" borderId="0" pivotButton="0" quotePrefix="0" xfId="0"/>
    <xf numFmtId="4" fontId="27" fillId="0" borderId="19" pivotButton="0" quotePrefix="0" xfId="0"/>
    <xf numFmtId="164" fontId="27" fillId="0" borderId="19" applyAlignment="1" pivotButton="0" quotePrefix="0" xfId="0">
      <alignment horizontal="center"/>
    </xf>
    <xf numFmtId="4" fontId="27" fillId="4" borderId="19" pivotButton="0" quotePrefix="0" xfId="0"/>
    <xf numFmtId="164" fontId="27" fillId="0" borderId="21" applyAlignment="1" pivotButton="0" quotePrefix="0" xfId="0">
      <alignment horizontal="center"/>
    </xf>
    <xf numFmtId="0" fontId="10" fillId="0" borderId="0" pivotButton="0" quotePrefix="0" xfId="15"/>
    <xf numFmtId="0" fontId="0" fillId="0" borderId="0" pivotButton="0" quotePrefix="0" xfId="15"/>
    <xf numFmtId="0" fontId="10" fillId="0" borderId="0" applyAlignment="1" pivotButton="0" quotePrefix="0" xfId="15">
      <alignment vertical="top"/>
    </xf>
    <xf numFmtId="0" fontId="35" fillId="0" borderId="0" applyAlignment="1" pivotButton="0" quotePrefix="0" xfId="15">
      <alignment horizontal="right" vertical="center"/>
    </xf>
    <xf numFmtId="0" fontId="56" fillId="0" borderId="0" pivotButton="0" quotePrefix="0" xfId="0"/>
    <xf numFmtId="2" fontId="57" fillId="0" borderId="0" applyAlignment="1" pivotButton="0" quotePrefix="0" xfId="15">
      <alignment vertical="top"/>
    </xf>
    <xf numFmtId="0" fontId="5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2" fontId="57" fillId="0" borderId="23" applyAlignment="1" pivotButton="0" quotePrefix="1" xfId="15">
      <alignment vertical="top"/>
    </xf>
    <xf numFmtId="2" fontId="58" fillId="0" borderId="23" applyAlignment="1" pivotButton="0" quotePrefix="0" xfId="15">
      <alignment vertical="top"/>
    </xf>
    <xf numFmtId="2" fontId="59" fillId="0" borderId="23" applyAlignment="1" pivotButton="0" quotePrefix="0" xfId="15">
      <alignment vertical="top"/>
    </xf>
    <xf numFmtId="0" fontId="60" fillId="0" borderId="23" applyAlignment="1" pivotButton="0" quotePrefix="0" xfId="15">
      <alignment vertical="top"/>
    </xf>
    <xf numFmtId="2" fontId="61" fillId="0" borderId="23" applyAlignment="1" pivotButton="0" quotePrefix="0" xfId="15">
      <alignment vertical="top"/>
    </xf>
    <xf numFmtId="0" fontId="55" fillId="0" borderId="23" applyAlignment="1" pivotButton="0" quotePrefix="0" xfId="0">
      <alignment vertical="top"/>
    </xf>
    <xf numFmtId="0" fontId="62" fillId="0" borderId="23" applyAlignment="1" pivotButton="0" quotePrefix="0" xfId="0">
      <alignment vertical="top"/>
    </xf>
    <xf numFmtId="0" fontId="10" fillId="0" borderId="23" applyAlignment="1" pivotButton="0" quotePrefix="0" xfId="15">
      <alignment vertical="top"/>
    </xf>
    <xf numFmtId="0" fontId="0" fillId="0" borderId="23" applyAlignment="1" pivotButton="0" quotePrefix="0" xfId="0">
      <alignment vertical="top"/>
    </xf>
    <xf numFmtId="2" fontId="63" fillId="0" borderId="0" applyAlignment="1" pivotButton="0" quotePrefix="0" xfId="15">
      <alignment vertical="center"/>
    </xf>
    <xf numFmtId="2" fontId="58" fillId="0" borderId="0" applyAlignment="1" pivotButton="0" quotePrefix="0" xfId="15">
      <alignment horizontal="right" vertical="center"/>
    </xf>
    <xf numFmtId="2" fontId="59" fillId="0" borderId="0" applyAlignment="1" pivotButton="0" quotePrefix="0" xfId="15">
      <alignment vertical="center"/>
    </xf>
    <xf numFmtId="0" fontId="60" fillId="0" borderId="0" pivotButton="0" quotePrefix="0" xfId="15"/>
    <xf numFmtId="0" fontId="55" fillId="0" borderId="0" pivotButton="0" quotePrefix="0" xfId="0"/>
    <xf numFmtId="0" fontId="61" fillId="0" borderId="0" applyAlignment="1" pivotButton="0" quotePrefix="0" xfId="1">
      <alignment horizontal="right" vertical="top"/>
    </xf>
    <xf numFmtId="0" fontId="64" fillId="0" borderId="0" pivotButton="0" quotePrefix="0" xfId="15"/>
    <xf numFmtId="0" fontId="28" fillId="0" borderId="0" pivotButton="0" quotePrefix="0" xfId="15"/>
    <xf numFmtId="2" fontId="66" fillId="0" borderId="23" applyAlignment="1" pivotButton="0" quotePrefix="1" xfId="15">
      <alignment vertical="top"/>
    </xf>
    <xf numFmtId="3" fontId="28" fillId="0" borderId="20" pivotButton="0" quotePrefix="0" xfId="0"/>
    <xf numFmtId="0" fontId="67" fillId="3" borderId="0" pivotButton="0" quotePrefix="0" xfId="3"/>
    <xf numFmtId="0" fontId="67" fillId="3" borderId="25" applyAlignment="1" pivotButton="0" quotePrefix="0" xfId="3">
      <alignment vertical="top"/>
    </xf>
    <xf numFmtId="0" fontId="67" fillId="3" borderId="26" pivotButton="0" quotePrefix="0" xfId="3"/>
    <xf numFmtId="0" fontId="67" fillId="3" borderId="27" applyAlignment="1" pivotButton="0" quotePrefix="0" xfId="3">
      <alignment vertical="top"/>
    </xf>
    <xf numFmtId="0" fontId="68" fillId="3" borderId="36" applyAlignment="1" pivotButton="0" quotePrefix="0" xfId="3">
      <alignment horizontal="center" vertical="top"/>
    </xf>
    <xf numFmtId="0" fontId="68" fillId="3" borderId="37" applyAlignment="1" pivotButton="0" quotePrefix="0" xfId="3">
      <alignment horizontal="center" vertical="top"/>
    </xf>
    <xf numFmtId="2" fontId="49" fillId="0" borderId="0" applyAlignment="1" pivotButton="0" quotePrefix="0" xfId="3">
      <alignment horizontal="center" vertical="top"/>
    </xf>
    <xf numFmtId="164" fontId="50" fillId="0" borderId="0" applyAlignment="1" pivotButton="0" quotePrefix="0" xfId="3">
      <alignment horizontal="center" vertical="top"/>
    </xf>
    <xf numFmtId="4" fontId="27" fillId="0" borderId="41" pivotButton="0" quotePrefix="0" xfId="0"/>
    <xf numFmtId="4" fontId="27" fillId="4" borderId="41" pivotButton="0" quotePrefix="0" xfId="0"/>
    <xf numFmtId="164" fontId="27" fillId="0" borderId="41" applyAlignment="1" pivotButton="0" quotePrefix="0" xfId="0">
      <alignment horizontal="center"/>
    </xf>
    <xf numFmtId="164" fontId="27" fillId="0" borderId="42" applyAlignment="1" pivotButton="0" quotePrefix="0" xfId="0">
      <alignment horizontal="center"/>
    </xf>
    <xf numFmtId="3" fontId="28" fillId="0" borderId="43" pivotButton="0" quotePrefix="0" xfId="0"/>
    <xf numFmtId="0" fontId="51" fillId="0" borderId="44" applyAlignment="1" pivotButton="0" quotePrefix="0" xfId="3">
      <alignment horizontal="left" vertical="top"/>
    </xf>
    <xf numFmtId="2" fontId="49" fillId="0" borderId="44" applyAlignment="1" pivotButton="0" quotePrefix="0" xfId="3">
      <alignment horizontal="center" vertical="top"/>
    </xf>
    <xf numFmtId="164" fontId="27" fillId="0" borderId="43" applyAlignment="1" pivotButton="0" quotePrefix="0" xfId="0">
      <alignment horizontal="center"/>
    </xf>
    <xf numFmtId="164" fontId="27" fillId="0" borderId="20" applyAlignment="1" pivotButton="0" quotePrefix="0" xfId="0">
      <alignment horizontal="center"/>
    </xf>
    <xf numFmtId="4" fontId="27" fillId="0" borderId="52" pivotButton="0" quotePrefix="0" xfId="0"/>
    <xf numFmtId="4" fontId="27" fillId="0" borderId="53" pivotButton="0" quotePrefix="0" xfId="0"/>
    <xf numFmtId="164" fontId="27" fillId="0" borderId="54" applyAlignment="1" pivotButton="0" quotePrefix="0" xfId="0">
      <alignment horizontal="center"/>
    </xf>
    <xf numFmtId="164" fontId="27" fillId="0" borderId="56" applyAlignment="1" pivotButton="0" quotePrefix="0" xfId="0">
      <alignment horizontal="center"/>
    </xf>
    <xf numFmtId="0" fontId="65" fillId="0" borderId="44" pivotButton="0" quotePrefix="0" xfId="3"/>
    <xf numFmtId="165" fontId="67" fillId="3" borderId="0" applyAlignment="1" pivotButton="0" quotePrefix="0" xfId="3">
      <alignment horizontal="center" vertical="center"/>
    </xf>
    <xf numFmtId="165" fontId="67" fillId="3" borderId="26" applyAlignment="1" pivotButton="0" quotePrefix="0" xfId="3">
      <alignment horizontal="center" vertical="center"/>
    </xf>
    <xf numFmtId="14" fontId="67" fillId="3" borderId="32" applyAlignment="1" pivotButton="0" quotePrefix="0" xfId="2">
      <alignment horizontal="centerContinuous"/>
    </xf>
    <xf numFmtId="2" fontId="67" fillId="3" borderId="14" applyAlignment="1" pivotButton="0" quotePrefix="0" xfId="2">
      <alignment horizontal="centerContinuous"/>
    </xf>
    <xf numFmtId="2" fontId="69" fillId="3" borderId="30" applyAlignment="1" pivotButton="0" quotePrefix="0" xfId="2">
      <alignment horizontal="centerContinuous"/>
    </xf>
    <xf numFmtId="2" fontId="25" fillId="0" borderId="0" pivotButton="0" quotePrefix="0" xfId="0"/>
    <xf numFmtId="2" fontId="69" fillId="3" borderId="31" applyAlignment="1" pivotButton="0" quotePrefix="0" xfId="2">
      <alignment horizontal="centerContinuous"/>
    </xf>
    <xf numFmtId="2" fontId="67" fillId="3" borderId="59" applyAlignment="1" pivotButton="0" quotePrefix="0" xfId="2">
      <alignment horizontal="centerContinuous"/>
    </xf>
    <xf numFmtId="2" fontId="27" fillId="0" borderId="58" pivotButton="0" quotePrefix="0" xfId="0"/>
    <xf numFmtId="14" fontId="69" fillId="3" borderId="57" applyAlignment="1" pivotButton="0" quotePrefix="0" xfId="2">
      <alignment horizontal="centerContinuous"/>
    </xf>
    <xf numFmtId="14" fontId="69" fillId="3" borderId="33" applyAlignment="1" pivotButton="0" quotePrefix="0" xfId="2">
      <alignment horizontal="centerContinuous"/>
    </xf>
    <xf numFmtId="14" fontId="67" fillId="3" borderId="34" applyAlignment="1" pivotButton="0" quotePrefix="0" xfId="2">
      <alignment horizontal="centerContinuous"/>
    </xf>
    <xf numFmtId="2" fontId="25" fillId="0" borderId="0" applyAlignment="1" pivotButton="0" quotePrefix="0" xfId="0">
      <alignment horizontal="left"/>
    </xf>
    <xf numFmtId="2" fontId="35" fillId="0" borderId="0" pivotButton="0" quotePrefix="0" xfId="2"/>
    <xf numFmtId="0" fontId="60" fillId="0" borderId="24" pivotButton="0" quotePrefix="0" xfId="15"/>
    <xf numFmtId="0" fontId="55" fillId="0" borderId="24" pivotButton="0" quotePrefix="0" xfId="0"/>
    <xf numFmtId="0" fontId="69" fillId="3" borderId="27" applyAlignment="1" pivotButton="0" quotePrefix="0" xfId="3">
      <alignment horizontal="centerContinuous"/>
    </xf>
    <xf numFmtId="0" fontId="69" fillId="3" borderId="25" applyAlignment="1" pivotButton="0" quotePrefix="0" xfId="0">
      <alignment horizontal="centerContinuous"/>
    </xf>
    <xf numFmtId="0" fontId="69" fillId="3" borderId="25" applyAlignment="1" pivotButton="0" quotePrefix="0" xfId="3">
      <alignment horizontal="centerContinuous"/>
    </xf>
    <xf numFmtId="0" fontId="69" fillId="3" borderId="48" applyAlignment="1" pivotButton="0" quotePrefix="0" xfId="3">
      <alignment horizontal="centerContinuous"/>
    </xf>
    <xf numFmtId="0" fontId="71" fillId="3" borderId="25" pivotButton="0" quotePrefix="0" xfId="0"/>
    <xf numFmtId="0" fontId="72" fillId="3" borderId="38" applyAlignment="1" pivotButton="0" quotePrefix="0" xfId="3">
      <alignment horizontal="center" vertical="top"/>
    </xf>
    <xf numFmtId="0" fontId="72" fillId="3" borderId="39" applyAlignment="1" pivotButton="0" quotePrefix="0" xfId="3">
      <alignment horizontal="center" vertical="top"/>
    </xf>
    <xf numFmtId="0" fontId="72" fillId="3" borderId="37" applyAlignment="1" pivotButton="0" quotePrefix="0" xfId="3">
      <alignment horizontal="center" vertical="top"/>
    </xf>
    <xf numFmtId="0" fontId="72" fillId="3" borderId="51" applyAlignment="1" pivotButton="0" quotePrefix="0" xfId="3">
      <alignment horizontal="center" vertical="top"/>
    </xf>
    <xf numFmtId="0" fontId="72" fillId="3" borderId="47" applyAlignment="1" pivotButton="0" quotePrefix="0" xfId="3">
      <alignment horizontal="center" vertical="top"/>
    </xf>
    <xf numFmtId="0" fontId="73" fillId="0" borderId="0" applyAlignment="1" pivotButton="0" quotePrefix="0" xfId="0">
      <alignment horizontal="center"/>
    </xf>
    <xf numFmtId="0" fontId="74" fillId="0" borderId="0" pivotButton="0" quotePrefix="0" xfId="0"/>
    <xf numFmtId="0" fontId="28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40" fillId="0" borderId="0" pivotButton="0" quotePrefix="0" xfId="0"/>
    <xf numFmtId="0" fontId="30" fillId="0" borderId="0" applyAlignment="1" pivotButton="0" quotePrefix="0" xfId="6">
      <alignment horizontal="center"/>
    </xf>
    <xf numFmtId="0" fontId="75" fillId="0" borderId="0" applyAlignment="1" pivotButton="0" quotePrefix="0" xfId="6">
      <alignment horizontal="left"/>
    </xf>
    <xf numFmtId="0" fontId="76" fillId="0" borderId="0" applyAlignment="1" pivotButton="0" quotePrefix="0" xfId="0">
      <alignment horizontal="center"/>
    </xf>
    <xf numFmtId="0" fontId="77" fillId="0" borderId="0" applyAlignment="1" pivotButton="0" quotePrefix="0" xfId="6">
      <alignment horizontal="left"/>
    </xf>
    <xf numFmtId="0" fontId="78" fillId="0" borderId="0" applyAlignment="1" pivotButton="0" quotePrefix="0" xfId="6">
      <alignment horizontal="left"/>
    </xf>
    <xf numFmtId="0" fontId="79" fillId="0" borderId="0" pivotButton="0" quotePrefix="0" xfId="6"/>
    <xf numFmtId="0" fontId="25" fillId="0" borderId="0" pivotButton="0" quotePrefix="0" xfId="6"/>
    <xf numFmtId="0" fontId="80" fillId="0" borderId="0" pivotButton="0" quotePrefix="0" xfId="6"/>
    <xf numFmtId="0" fontId="81" fillId="0" borderId="0" applyAlignment="1" pivotButton="0" quotePrefix="0" xfId="0">
      <alignment vertical="center"/>
    </xf>
    <xf numFmtId="0" fontId="82" fillId="0" borderId="0" applyAlignment="1" pivotButton="0" quotePrefix="0" xfId="0">
      <alignment vertical="center"/>
    </xf>
    <xf numFmtId="0" fontId="83" fillId="0" borderId="0" applyAlignment="1" pivotButton="0" quotePrefix="0" xfId="0">
      <alignment horizontal="right"/>
    </xf>
    <xf numFmtId="0" fontId="45" fillId="0" borderId="0" applyAlignment="1" pivotButton="0" quotePrefix="0" xfId="0">
      <alignment vertical="center"/>
    </xf>
    <xf numFmtId="0" fontId="61" fillId="0" borderId="0" pivotButton="0" quotePrefix="0" xfId="0"/>
    <xf numFmtId="0" fontId="0" fillId="4" borderId="0" pivotButton="0" quotePrefix="0" xfId="0"/>
    <xf numFmtId="0" fontId="25" fillId="0" borderId="0" pivotButton="0" quotePrefix="0" xfId="0"/>
    <xf numFmtId="0" fontId="35" fillId="0" borderId="0" pivotButton="0" quotePrefix="0" xfId="0"/>
    <xf numFmtId="0" fontId="28" fillId="0" borderId="0" applyAlignment="1" pivotButton="0" quotePrefix="0" xfId="0">
      <alignment horizontal="justify" vertical="center"/>
    </xf>
    <xf numFmtId="0" fontId="84" fillId="0" borderId="0" pivotButton="0" quotePrefix="0" xfId="0"/>
    <xf numFmtId="0" fontId="17" fillId="0" borderId="0" applyAlignment="1" pivotButton="0" quotePrefix="0" xfId="0">
      <alignment horizontal="justify" vertical="center"/>
    </xf>
    <xf numFmtId="0" fontId="35" fillId="0" borderId="0" applyAlignment="1" pivotButton="0" quotePrefix="0" xfId="16">
      <alignment horizontal="left" vertical="center"/>
    </xf>
    <xf numFmtId="2" fontId="59" fillId="0" borderId="0" applyAlignment="1" pivotButton="0" quotePrefix="0" xfId="15">
      <alignment vertical="top"/>
    </xf>
    <xf numFmtId="2" fontId="85" fillId="0" borderId="0" applyAlignment="1" pivotButton="0" quotePrefix="0" xfId="15">
      <alignment vertical="center"/>
    </xf>
    <xf numFmtId="2" fontId="61" fillId="0" borderId="0" applyAlignment="1" pivotButton="0" quotePrefix="0" xfId="15">
      <alignment horizontal="left" vertical="center"/>
    </xf>
    <xf numFmtId="0" fontId="61" fillId="0" borderId="24" applyAlignment="1" pivotButton="0" quotePrefix="0" xfId="16">
      <alignment horizontal="right" vertical="top"/>
    </xf>
    <xf numFmtId="0" fontId="86" fillId="0" borderId="0" pivotButton="0" quotePrefix="0" xfId="0"/>
    <xf numFmtId="0" fontId="86" fillId="3" borderId="0" pivotButton="0" quotePrefix="0" xfId="0"/>
    <xf numFmtId="0" fontId="28" fillId="3" borderId="0" pivotButton="0" quotePrefix="0" xfId="0"/>
    <xf numFmtId="0" fontId="28" fillId="0" borderId="14" pivotButton="0" quotePrefix="0" xfId="0"/>
    <xf numFmtId="0" fontId="28" fillId="3" borderId="14" pivotButton="0" quotePrefix="0" xfId="0"/>
    <xf numFmtId="0" fontId="26" fillId="9" borderId="0" applyAlignment="1" pivotButton="0" quotePrefix="0" xfId="0">
      <alignment horizontal="center"/>
    </xf>
    <xf numFmtId="0" fontId="31" fillId="9" borderId="0" applyAlignment="1" pivotButton="0" quotePrefix="0" xfId="0">
      <alignment horizontal="center"/>
    </xf>
    <xf numFmtId="0" fontId="31" fillId="9" borderId="14" applyAlignment="1" pivotButton="0" quotePrefix="0" xfId="0">
      <alignment horizontal="center"/>
    </xf>
    <xf numFmtId="0" fontId="26" fillId="9" borderId="14" pivotButton="0" quotePrefix="0" xfId="0"/>
    <xf numFmtId="0" fontId="31" fillId="9" borderId="0" pivotButton="0" quotePrefix="0" xfId="0"/>
    <xf numFmtId="2" fontId="28" fillId="0" borderId="17" applyAlignment="1" pivotButton="0" quotePrefix="0" xfId="0">
      <alignment horizontal="left"/>
    </xf>
    <xf numFmtId="2" fontId="26" fillId="0" borderId="0" pivotButton="0" quotePrefix="0" xfId="2"/>
    <xf numFmtId="2" fontId="28" fillId="0" borderId="7" applyAlignment="1" pivotButton="0" quotePrefix="0" xfId="0">
      <alignment horizontal="left"/>
    </xf>
    <xf numFmtId="2" fontId="26" fillId="0" borderId="7" applyAlignment="1" pivotButton="0" quotePrefix="0" xfId="0">
      <alignment horizontal="left"/>
    </xf>
    <xf numFmtId="0" fontId="43" fillId="4" borderId="0" pivotButton="0" quotePrefix="0" xfId="5"/>
    <xf numFmtId="2" fontId="59" fillId="0" borderId="23" applyAlignment="1" pivotButton="0" quotePrefix="0" xfId="15">
      <alignment vertical="center"/>
    </xf>
    <xf numFmtId="2" fontId="58" fillId="0" borderId="23" applyAlignment="1" pivotButton="0" quotePrefix="0" xfId="15">
      <alignment horizontal="right" vertical="center"/>
    </xf>
    <xf numFmtId="0" fontId="60" fillId="0" borderId="23" pivotButton="0" quotePrefix="0" xfId="15"/>
    <xf numFmtId="2" fontId="61" fillId="0" borderId="23" applyAlignment="1" pivotButton="0" quotePrefix="0" xfId="15">
      <alignment horizontal="left" vertical="center"/>
    </xf>
    <xf numFmtId="0" fontId="55" fillId="0" borderId="23" pivotButton="0" quotePrefix="0" xfId="0"/>
    <xf numFmtId="0" fontId="62" fillId="0" borderId="23" pivotButton="0" quotePrefix="0" xfId="0"/>
    <xf numFmtId="0" fontId="10" fillId="0" borderId="23" pivotButton="0" quotePrefix="0" xfId="15"/>
    <xf numFmtId="0" fontId="0" fillId="0" borderId="23" pivotButton="0" quotePrefix="0" xfId="0"/>
    <xf numFmtId="0" fontId="61" fillId="0" borderId="23" applyAlignment="1" pivotButton="0" quotePrefix="0" xfId="0">
      <alignment horizontal="right"/>
    </xf>
    <xf numFmtId="0" fontId="0" fillId="0" borderId="24" pivotButton="0" quotePrefix="0" xfId="0"/>
    <xf numFmtId="0" fontId="61" fillId="0" borderId="0" applyAlignment="1" pivotButton="0" quotePrefix="0" xfId="16">
      <alignment horizontal="right" vertical="top"/>
    </xf>
    <xf numFmtId="0" fontId="24" fillId="0" borderId="0" pivotButton="0" quotePrefix="0" xfId="15"/>
    <xf numFmtId="0" fontId="24" fillId="0" borderId="0" pivotButton="0" quotePrefix="1" xfId="15"/>
    <xf numFmtId="0" fontId="28" fillId="0" borderId="13" pivotButton="0" quotePrefix="0" xfId="0"/>
    <xf numFmtId="166" fontId="27" fillId="0" borderId="4" pivotButton="0" quotePrefix="0" xfId="0"/>
    <xf numFmtId="166" fontId="27" fillId="6" borderId="4" pivotButton="0" quotePrefix="0" xfId="0"/>
    <xf numFmtId="166" fontId="27" fillId="6" borderId="13" pivotButton="0" quotePrefix="0" xfId="0"/>
    <xf numFmtId="0" fontId="26" fillId="3" borderId="2" applyAlignment="1" pivotButton="0" quotePrefix="0" xfId="0">
      <alignment horizontal="centerContinuous" vertical="center"/>
    </xf>
    <xf numFmtId="0" fontId="26" fillId="3" borderId="9" applyAlignment="1" pivotButton="0" quotePrefix="0" xfId="0">
      <alignment horizontal="centerContinuous" vertical="center"/>
    </xf>
    <xf numFmtId="0" fontId="28" fillId="3" borderId="3" applyAlignment="1" pivotButton="0" quotePrefix="0" xfId="0">
      <alignment horizontal="centerContinuous" vertical="center"/>
    </xf>
    <xf numFmtId="0" fontId="28" fillId="3" borderId="11" applyAlignment="1" pivotButton="0" quotePrefix="0" xfId="0">
      <alignment horizontal="centerContinuous" vertical="center"/>
    </xf>
    <xf numFmtId="0" fontId="35" fillId="3" borderId="8" pivotButton="0" quotePrefix="0" xfId="0"/>
    <xf numFmtId="0" fontId="26" fillId="3" borderId="10" applyAlignment="1" pivotButton="0" quotePrefix="0" xfId="0">
      <alignment horizontal="center"/>
    </xf>
    <xf numFmtId="0" fontId="24" fillId="3" borderId="12" pivotButton="0" quotePrefix="0" xfId="0"/>
    <xf numFmtId="49" fontId="35" fillId="3" borderId="15" pivotButton="0" quotePrefix="0" xfId="0"/>
    <xf numFmtId="49" fontId="26" fillId="3" borderId="0" applyAlignment="1" pivotButton="0" quotePrefix="0" xfId="0">
      <alignment horizontal="center"/>
    </xf>
    <xf numFmtId="49" fontId="24" fillId="3" borderId="16" pivotButton="0" quotePrefix="0" xfId="0"/>
    <xf numFmtId="49" fontId="28" fillId="0" borderId="65" pivotButton="0" quotePrefix="0" xfId="0"/>
    <xf numFmtId="0" fontId="26" fillId="3" borderId="18" applyAlignment="1" pivotButton="0" quotePrefix="0" xfId="0">
      <alignment horizontal="centerContinuous" vertical="center"/>
    </xf>
    <xf numFmtId="0" fontId="28" fillId="3" borderId="5" applyAlignment="1" pivotButton="0" quotePrefix="0" xfId="0">
      <alignment horizontal="centerContinuous" vertical="center"/>
    </xf>
    <xf numFmtId="166" fontId="27" fillId="6" borderId="66" pivotButton="0" quotePrefix="0" xfId="0"/>
    <xf numFmtId="14" fontId="69" fillId="3" borderId="32" applyAlignment="1" pivotButton="0" quotePrefix="0" xfId="3">
      <alignment horizontal="centerContinuous" vertical="center"/>
    </xf>
    <xf numFmtId="14" fontId="69" fillId="3" borderId="35" applyAlignment="1" pivotButton="0" quotePrefix="0" xfId="3">
      <alignment horizontal="centerContinuous" vertical="center"/>
    </xf>
    <xf numFmtId="165" fontId="69" fillId="3" borderId="49" applyAlignment="1" pivotButton="0" quotePrefix="0" xfId="0">
      <alignment horizontal="centerContinuous"/>
    </xf>
    <xf numFmtId="165" fontId="70" fillId="3" borderId="45" applyAlignment="1" pivotButton="0" quotePrefix="0" xfId="3">
      <alignment horizontal="centerContinuous" vertical="center" wrapText="1"/>
    </xf>
    <xf numFmtId="165" fontId="69" fillId="3" borderId="34" applyAlignment="1" pivotButton="0" quotePrefix="0" xfId="0">
      <alignment horizontal="centerContinuous"/>
    </xf>
    <xf numFmtId="165" fontId="69" fillId="3" borderId="32" applyAlignment="1" pivotButton="0" quotePrefix="0" xfId="3">
      <alignment horizontal="centerContinuous" vertical="center"/>
    </xf>
    <xf numFmtId="0" fontId="69" fillId="3" borderId="29" applyAlignment="1" pivotButton="0" quotePrefix="0" xfId="3">
      <alignment horizontal="center" vertical="center" wrapText="1"/>
    </xf>
    <xf numFmtId="0" fontId="69" fillId="3" borderId="31" applyAlignment="1" pivotButton="0" quotePrefix="0" xfId="0">
      <alignment horizontal="center"/>
    </xf>
    <xf numFmtId="0" fontId="69" fillId="3" borderId="27" applyAlignment="1" pivotButton="0" quotePrefix="0" xfId="3">
      <alignment horizontal="center" vertical="center" wrapText="1"/>
    </xf>
    <xf numFmtId="0" fontId="69" fillId="3" borderId="50" applyAlignment="1" pivotButton="0" quotePrefix="0" xfId="0">
      <alignment horizontal="center"/>
    </xf>
    <xf numFmtId="0" fontId="69" fillId="3" borderId="46" applyAlignment="1" pivotButton="0" quotePrefix="0" xfId="3">
      <alignment horizontal="center" vertical="center" wrapText="1"/>
    </xf>
    <xf numFmtId="0" fontId="69" fillId="3" borderId="28" applyAlignment="1" pivotButton="0" quotePrefix="0" xfId="0">
      <alignment horizontal="center"/>
    </xf>
    <xf numFmtId="2" fontId="25" fillId="3" borderId="36" applyAlignment="1" pivotButton="0" quotePrefix="0" xfId="2">
      <alignment horizontal="left"/>
    </xf>
    <xf numFmtId="2" fontId="69" fillId="3" borderId="36" applyAlignment="1" pivotButton="0" quotePrefix="0" xfId="2">
      <alignment horizontal="center"/>
    </xf>
    <xf numFmtId="2" fontId="69" fillId="3" borderId="36" applyAlignment="1" pivotButton="0" quotePrefix="0" xfId="2">
      <alignment horizontal="centerContinuous"/>
    </xf>
    <xf numFmtId="2" fontId="70" fillId="3" borderId="60" applyAlignment="1" pivotButton="0" quotePrefix="0" xfId="2">
      <alignment horizontal="center"/>
    </xf>
    <xf numFmtId="2" fontId="70" fillId="3" borderId="61" applyAlignment="1" pivotButton="0" quotePrefix="0" xfId="2">
      <alignment horizontal="center"/>
    </xf>
    <xf numFmtId="0" fontId="90" fillId="3" borderId="73" applyAlignment="1" pivotButton="0" quotePrefix="0" xfId="19">
      <alignment horizontal="centerContinuous"/>
    </xf>
    <xf numFmtId="0" fontId="90" fillId="3" borderId="74" applyAlignment="1" pivotButton="0" quotePrefix="0" xfId="19">
      <alignment horizontal="centerContinuous"/>
    </xf>
    <xf numFmtId="0" fontId="90" fillId="3" borderId="75" applyAlignment="1" pivotButton="0" quotePrefix="0" xfId="19">
      <alignment horizontal="centerContinuous"/>
    </xf>
    <xf numFmtId="0" fontId="67" fillId="3" borderId="76" applyAlignment="1" pivotButton="0" quotePrefix="0" xfId="19">
      <alignment horizontal="center" vertical="center"/>
    </xf>
    <xf numFmtId="0" fontId="69" fillId="3" borderId="77" applyAlignment="1" pivotButton="0" quotePrefix="0" xfId="19">
      <alignment horizontal="center" vertical="center" wrapText="1"/>
    </xf>
    <xf numFmtId="0" fontId="69" fillId="3" borderId="72" applyAlignment="1" pivotButton="0" quotePrefix="0" xfId="19">
      <alignment horizontal="center" vertical="center" wrapText="1"/>
    </xf>
    <xf numFmtId="0" fontId="25" fillId="0" borderId="78" pivotButton="0" quotePrefix="0" xfId="19"/>
    <xf numFmtId="3" fontId="25" fillId="0" borderId="2" pivotButton="0" quotePrefix="0" xfId="21"/>
    <xf numFmtId="3" fontId="25" fillId="4" borderId="18" pivotButton="0" quotePrefix="0" xfId="21"/>
    <xf numFmtId="3" fontId="27" fillId="0" borderId="67" pivotButton="0" quotePrefix="0" xfId="21"/>
    <xf numFmtId="3" fontId="27" fillId="0" borderId="69" pivotButton="0" quotePrefix="0" xfId="21"/>
    <xf numFmtId="3" fontId="27" fillId="4" borderId="71" pivotButton="0" quotePrefix="0" xfId="21"/>
    <xf numFmtId="3" fontId="27" fillId="0" borderId="68" pivotButton="0" quotePrefix="0" xfId="21"/>
    <xf numFmtId="3" fontId="27" fillId="0" borderId="3" pivotButton="0" quotePrefix="0" xfId="19"/>
    <xf numFmtId="3" fontId="27" fillId="4" borderId="5" pivotButton="0" quotePrefix="0" xfId="19"/>
    <xf numFmtId="3" fontId="27" fillId="0" borderId="69" pivotButton="0" quotePrefix="0" xfId="19"/>
    <xf numFmtId="3" fontId="27" fillId="0" borderId="70" pivotButton="0" quotePrefix="0" xfId="21"/>
    <xf numFmtId="3" fontId="27" fillId="0" borderId="63" pivotButton="0" quotePrefix="0" xfId="19"/>
    <xf numFmtId="3" fontId="27" fillId="4" borderId="64" pivotButton="0" quotePrefix="0" xfId="19"/>
    <xf numFmtId="0" fontId="86" fillId="0" borderId="0" pivotButton="0" quotePrefix="0" xfId="19"/>
    <xf numFmtId="0" fontId="26" fillId="0" borderId="0" pivotButton="0" quotePrefix="0" xfId="19"/>
    <xf numFmtId="0" fontId="26" fillId="0" borderId="0" applyAlignment="1" pivotButton="0" quotePrefix="0" xfId="22">
      <alignment vertical="center"/>
    </xf>
    <xf numFmtId="0" fontId="28" fillId="0" borderId="0" applyAlignment="1" pivotButton="0" quotePrefix="0" xfId="22">
      <alignment vertical="center"/>
    </xf>
    <xf numFmtId="0" fontId="28" fillId="0" borderId="0" applyAlignment="1" pivotButton="0" quotePrefix="0" xfId="19">
      <alignment vertical="center"/>
    </xf>
    <xf numFmtId="0" fontId="91" fillId="0" borderId="0" pivotButton="0" quotePrefix="0" xfId="15"/>
    <xf numFmtId="3" fontId="27" fillId="4" borderId="71" pivotButton="0" quotePrefix="0" xfId="19"/>
    <xf numFmtId="0" fontId="56" fillId="0" borderId="0" pivotButton="0" quotePrefix="0" xfId="15"/>
    <xf numFmtId="0" fontId="55" fillId="0" borderId="0" pivotButton="0" quotePrefix="0" xfId="15"/>
    <xf numFmtId="0" fontId="55" fillId="0" borderId="23" pivotButton="0" quotePrefix="0" xfId="15"/>
    <xf numFmtId="0" fontId="62" fillId="0" borderId="23" pivotButton="0" quotePrefix="0" xfId="15"/>
    <xf numFmtId="2" fontId="92" fillId="0" borderId="0" applyAlignment="1" pivotButton="0" quotePrefix="1" xfId="15">
      <alignment vertical="top"/>
    </xf>
    <xf numFmtId="0" fontId="93" fillId="0" borderId="0" pivotButton="0" quotePrefix="0" xfId="19"/>
    <xf numFmtId="0" fontId="10" fillId="0" borderId="0" pivotButton="0" quotePrefix="0" xfId="17"/>
    <xf numFmtId="0" fontId="63" fillId="0" borderId="0" applyAlignment="1" pivotButton="0" quotePrefix="0" xfId="17">
      <alignment vertical="center"/>
    </xf>
    <xf numFmtId="0" fontId="11" fillId="0" borderId="0" pivotButton="0" quotePrefix="0" xfId="20"/>
    <xf numFmtId="0" fontId="89" fillId="0" borderId="0" pivotButton="0" quotePrefix="0" xfId="19"/>
    <xf numFmtId="0" fontId="93" fillId="0" borderId="0" applyAlignment="1" pivotButton="0" quotePrefix="0" xfId="19">
      <alignment vertical="center"/>
    </xf>
    <xf numFmtId="0" fontId="17" fillId="0" borderId="0" applyAlignment="1" pivotButton="0" quotePrefix="0" xfId="19">
      <alignment vertical="center"/>
    </xf>
    <xf numFmtId="0" fontId="89" fillId="0" borderId="0" applyAlignment="1" pivotButton="0" quotePrefix="0" xfId="15">
      <alignment horizontal="center" vertical="center"/>
    </xf>
    <xf numFmtId="164" fontId="24" fillId="0" borderId="0" applyAlignment="1" pivotButton="0" quotePrefix="0" xfId="19">
      <alignment vertical="center"/>
    </xf>
    <xf numFmtId="0" fontId="94" fillId="0" borderId="0" pivotButton="0" quotePrefix="0" xfId="19"/>
    <xf numFmtId="0" fontId="24" fillId="0" borderId="0" pivotButton="0" quotePrefix="0" xfId="19"/>
    <xf numFmtId="3" fontId="24" fillId="0" borderId="0" pivotButton="0" quotePrefix="0" xfId="15"/>
    <xf numFmtId="0" fontId="95" fillId="0" borderId="79" pivotButton="0" quotePrefix="0" xfId="22"/>
    <xf numFmtId="3" fontId="46" fillId="0" borderId="79" pivotButton="0" quotePrefix="0" xfId="19"/>
    <xf numFmtId="0" fontId="24" fillId="0" borderId="79" pivotButton="0" quotePrefix="0" xfId="19"/>
    <xf numFmtId="0" fontId="96" fillId="0" borderId="79" pivotButton="0" quotePrefix="0" xfId="22"/>
    <xf numFmtId="3" fontId="97" fillId="0" borderId="79" pivotButton="0" quotePrefix="0" xfId="19"/>
    <xf numFmtId="3" fontId="24" fillId="0" borderId="79" pivotButton="0" quotePrefix="0" xfId="19"/>
    <xf numFmtId="3" fontId="24" fillId="0" borderId="79" pivotButton="0" quotePrefix="0" xfId="15"/>
    <xf numFmtId="0" fontId="95" fillId="0" borderId="0" pivotButton="0" quotePrefix="0" xfId="22"/>
    <xf numFmtId="3" fontId="46" fillId="0" borderId="0" pivotButton="0" quotePrefix="0" xfId="19"/>
    <xf numFmtId="0" fontId="96" fillId="0" borderId="0" pivotButton="0" quotePrefix="0" xfId="22"/>
    <xf numFmtId="3" fontId="97" fillId="0" borderId="0" pivotButton="0" quotePrefix="0" xfId="19"/>
    <xf numFmtId="3" fontId="24" fillId="0" borderId="0" pivotButton="0" quotePrefix="0" xfId="19"/>
    <xf numFmtId="14" fontId="24" fillId="0" borderId="0" pivotButton="0" quotePrefix="0" xfId="15"/>
    <xf numFmtId="0" fontId="4" fillId="0" borderId="0" pivotButton="0" quotePrefix="0" xfId="23"/>
    <xf numFmtId="0" fontId="44" fillId="0" borderId="0" pivotButton="0" quotePrefix="0" xfId="23"/>
    <xf numFmtId="4" fontId="42" fillId="0" borderId="0" pivotButton="0" quotePrefix="0" xfId="23"/>
    <xf numFmtId="0" fontId="55" fillId="0" borderId="0" applyAlignment="1" pivotButton="0" quotePrefix="0" xfId="15">
      <alignment vertical="top"/>
    </xf>
    <xf numFmtId="0" fontId="55" fillId="0" borderId="24" pivotButton="0" quotePrefix="0" xfId="15"/>
    <xf numFmtId="0" fontId="28" fillId="0" borderId="3" pivotButton="0" quotePrefix="0" xfId="15"/>
    <xf numFmtId="14" fontId="28" fillId="0" borderId="3" pivotButton="0" quotePrefix="0" xfId="15"/>
    <xf numFmtId="14" fontId="28" fillId="0" borderId="0" pivotButton="0" quotePrefix="0" xfId="15"/>
    <xf numFmtId="2" fontId="28" fillId="0" borderId="3" pivotButton="0" quotePrefix="0" xfId="15"/>
    <xf numFmtId="2" fontId="28" fillId="0" borderId="0" pivotButton="0" quotePrefix="0" xfId="15"/>
    <xf numFmtId="2" fontId="98" fillId="0" borderId="0" applyAlignment="1" pivotButton="0" quotePrefix="0" xfId="15">
      <alignment vertical="center"/>
    </xf>
    <xf numFmtId="0" fontId="43" fillId="4" borderId="0" applyAlignment="1" pivotButton="0" quotePrefix="0" xfId="0">
      <alignment horizontal="left"/>
    </xf>
    <xf numFmtId="0" fontId="43" fillId="4" borderId="0" applyAlignment="1" pivotButton="0" quotePrefix="0" xfId="0">
      <alignment horizontal="centerContinuous"/>
    </xf>
    <xf numFmtId="0" fontId="47" fillId="4" borderId="0" applyAlignment="1" pivotButton="0" quotePrefix="0" xfId="0">
      <alignment horizontal="left"/>
    </xf>
    <xf numFmtId="0" fontId="99" fillId="11" borderId="0" applyAlignment="1" pivotButton="0" quotePrefix="0" xfId="0">
      <alignment horizontal="left" vertical="center"/>
    </xf>
    <xf numFmtId="0" fontId="28" fillId="4" borderId="81" applyAlignment="1" pivotButton="0" quotePrefix="0" xfId="7">
      <alignment horizontal="center" wrapText="1"/>
    </xf>
    <xf numFmtId="0" fontId="3" fillId="0" borderId="0" pivotButton="0" quotePrefix="0" xfId="23"/>
    <xf numFmtId="0" fontId="100" fillId="3" borderId="80" applyAlignment="1" pivotButton="0" quotePrefix="0" xfId="7">
      <alignment horizontal="center" vertical="center"/>
    </xf>
    <xf numFmtId="0" fontId="24" fillId="0" borderId="3" applyAlignment="1" pivotButton="0" quotePrefix="0" xfId="7">
      <alignment horizontal="center" vertical="center" wrapText="1"/>
    </xf>
    <xf numFmtId="0" fontId="104" fillId="5" borderId="3" applyAlignment="1" pivotButton="0" quotePrefix="0" xfId="7">
      <alignment horizontal="center" vertical="center" wrapText="1"/>
    </xf>
    <xf numFmtId="2" fontId="28" fillId="0" borderId="3" applyAlignment="1" pivotButton="0" quotePrefix="0" xfId="7">
      <alignment horizontal="right"/>
    </xf>
    <xf numFmtId="0" fontId="28" fillId="2" borderId="0" applyAlignment="1" pivotButton="0" quotePrefix="0" xfId="7">
      <alignment horizontal="center"/>
    </xf>
    <xf numFmtId="2" fontId="28" fillId="0" borderId="63" applyAlignment="1" pivotButton="0" quotePrefix="0" xfId="7">
      <alignment horizontal="right"/>
    </xf>
    <xf numFmtId="0" fontId="104" fillId="5" borderId="5" applyAlignment="1" pivotButton="0" quotePrefix="0" xfId="7">
      <alignment horizontal="center" vertical="center" wrapText="1"/>
    </xf>
    <xf numFmtId="0" fontId="26" fillId="2" borderId="67" applyAlignment="1" pivotButton="0" quotePrefix="0" xfId="7">
      <alignment horizontal="left" vertical="center" wrapText="1"/>
    </xf>
    <xf numFmtId="0" fontId="26" fillId="2" borderId="70" applyAlignment="1" pivotButton="0" quotePrefix="0" xfId="7">
      <alignment horizontal="left" vertical="center" wrapText="1"/>
    </xf>
    <xf numFmtId="0" fontId="26" fillId="3" borderId="83" applyAlignment="1" pivotButton="0" quotePrefix="0" xfId="7">
      <alignment horizontal="center" vertical="center" wrapText="1"/>
    </xf>
    <xf numFmtId="0" fontId="103" fillId="3" borderId="82" applyAlignment="1" pivotButton="0" quotePrefix="0" xfId="7">
      <alignment horizontal="center" vertical="center" wrapText="1"/>
    </xf>
    <xf numFmtId="0" fontId="37" fillId="3" borderId="82" applyAlignment="1" pivotButton="0" quotePrefix="0" xfId="7">
      <alignment horizontal="center" vertical="center" wrapText="1"/>
    </xf>
    <xf numFmtId="0" fontId="37" fillId="3" borderId="68" applyAlignment="1" pivotButton="0" quotePrefix="0" xfId="7">
      <alignment horizontal="center" vertical="center" wrapText="1"/>
    </xf>
    <xf numFmtId="0" fontId="28" fillId="3" borderId="82" applyAlignment="1" pivotButton="0" quotePrefix="0" xfId="7">
      <alignment horizontal="center" wrapText="1"/>
    </xf>
    <xf numFmtId="0" fontId="4" fillId="0" borderId="0" applyAlignment="1" pivotButton="0" quotePrefix="0" xfId="23">
      <alignment horizontal="center"/>
    </xf>
    <xf numFmtId="0" fontId="42" fillId="0" borderId="0" pivotButton="0" quotePrefix="0" xfId="23"/>
    <xf numFmtId="0" fontId="105" fillId="0" borderId="0" applyAlignment="1" pivotButton="0" quotePrefix="0" xfId="17">
      <alignment vertical="center"/>
    </xf>
    <xf numFmtId="164" fontId="38" fillId="0" borderId="3" applyAlignment="1" pivotButton="0" quotePrefix="0" xfId="7">
      <alignment horizontal="right"/>
    </xf>
    <xf numFmtId="164" fontId="41" fillId="0" borderId="5" applyAlignment="1" pivotButton="0" quotePrefix="0" xfId="7">
      <alignment horizontal="right"/>
    </xf>
    <xf numFmtId="164" fontId="41" fillId="0" borderId="3" applyAlignment="1" pivotButton="0" quotePrefix="0" xfId="7">
      <alignment horizontal="right"/>
    </xf>
    <xf numFmtId="164" fontId="106" fillId="0" borderId="3" applyAlignment="1" pivotButton="0" quotePrefix="0" xfId="7">
      <alignment horizontal="right"/>
    </xf>
    <xf numFmtId="164" fontId="106" fillId="0" borderId="63" applyAlignment="1" pivotButton="0" quotePrefix="0" xfId="7">
      <alignment horizontal="right"/>
    </xf>
    <xf numFmtId="164" fontId="41" fillId="0" borderId="63" applyAlignment="1" pivotButton="0" quotePrefix="0" xfId="7">
      <alignment horizontal="right"/>
    </xf>
    <xf numFmtId="164" fontId="41" fillId="0" borderId="64" applyAlignment="1" pivotButton="0" quotePrefix="0" xfId="7">
      <alignment horizontal="right"/>
    </xf>
    <xf numFmtId="4" fontId="27" fillId="4" borderId="22" pivotButton="0" quotePrefix="0" xfId="0"/>
    <xf numFmtId="2" fontId="107" fillId="0" borderId="0" applyAlignment="1" pivotButton="0" quotePrefix="0" xfId="15">
      <alignment vertical="center"/>
    </xf>
    <xf numFmtId="4" fontId="27" fillId="0" borderId="22" pivotButton="0" quotePrefix="0" xfId="0"/>
    <xf numFmtId="4" fontId="88" fillId="4" borderId="0" applyAlignment="1" pivotButton="0" quotePrefix="1" xfId="0">
      <alignment horizontal="center"/>
    </xf>
    <xf numFmtId="2" fontId="25" fillId="0" borderId="85" applyAlignment="1" pivotButton="0" quotePrefix="0" xfId="0">
      <alignment horizontal="left"/>
    </xf>
    <xf numFmtId="2" fontId="27" fillId="0" borderId="86" pivotButton="0" quotePrefix="0" xfId="0"/>
    <xf numFmtId="4" fontId="27" fillId="4" borderId="87" pivotButton="0" quotePrefix="0" xfId="0"/>
    <xf numFmtId="4" fontId="27" fillId="4" borderId="88" pivotButton="0" quotePrefix="0" xfId="0"/>
    <xf numFmtId="14" fontId="67" fillId="3" borderId="28" applyAlignment="1" pivotButton="0" quotePrefix="0" xfId="2">
      <alignment horizontal="centerContinuous"/>
    </xf>
    <xf numFmtId="4" fontId="42" fillId="4" borderId="84" applyAlignment="1" pivotButton="0" quotePrefix="0" xfId="5">
      <alignment horizontal="left"/>
    </xf>
    <xf numFmtId="4" fontId="2" fillId="4" borderId="84" applyAlignment="1" pivotButton="0" quotePrefix="0" xfId="5">
      <alignment horizontal="center" vertical="center"/>
    </xf>
    <xf numFmtId="2" fontId="2" fillId="4" borderId="84" applyAlignment="1" pivotButton="0" quotePrefix="0" xfId="5">
      <alignment horizontal="center" vertical="center"/>
    </xf>
    <xf numFmtId="2" fontId="42" fillId="4" borderId="84" applyAlignment="1" pivotButton="0" quotePrefix="0" xfId="5">
      <alignment horizontal="left"/>
    </xf>
    <xf numFmtId="4" fontId="88" fillId="4" borderId="84" applyAlignment="1" pivotButton="0" quotePrefix="0" xfId="0">
      <alignment horizontal="center" vertical="center"/>
    </xf>
    <xf numFmtId="2" fontId="42" fillId="3" borderId="84" applyAlignment="1" pivotButton="0" quotePrefix="0" xfId="5">
      <alignment vertical="center" wrapText="1"/>
    </xf>
    <xf numFmtId="0" fontId="42" fillId="3" borderId="84" applyAlignment="1" pivotButton="0" quotePrefix="0" xfId="5">
      <alignment horizontal="center" vertical="center" wrapText="1"/>
    </xf>
    <xf numFmtId="4" fontId="42" fillId="11" borderId="84" applyAlignment="1" pivotButton="0" quotePrefix="0" xfId="0">
      <alignment horizontal="center" vertical="center"/>
    </xf>
    <xf numFmtId="2" fontId="42" fillId="3" borderId="84" applyAlignment="1" pivotButton="0" quotePrefix="0" xfId="0">
      <alignment vertical="center" wrapText="1"/>
    </xf>
    <xf numFmtId="0" fontId="42" fillId="3" borderId="84" applyAlignment="1" pivotButton="0" quotePrefix="0" xfId="0">
      <alignment horizontal="center" vertical="center" wrapText="1"/>
    </xf>
    <xf numFmtId="4" fontId="42" fillId="4" borderId="84" applyAlignment="1" pivotButton="0" quotePrefix="0" xfId="0">
      <alignment horizontal="left"/>
    </xf>
    <xf numFmtId="4" fontId="2" fillId="4" borderId="84" applyAlignment="1" pivotButton="0" quotePrefix="0" xfId="0">
      <alignment horizontal="center" vertical="center"/>
    </xf>
    <xf numFmtId="3" fontId="2" fillId="4" borderId="84" applyAlignment="1" pivotButton="0" quotePrefix="0" xfId="0">
      <alignment horizontal="center" vertical="center"/>
    </xf>
    <xf numFmtId="2" fontId="2" fillId="4" borderId="84" applyAlignment="1" pivotButton="0" quotePrefix="0" xfId="0">
      <alignment horizontal="center" vertical="center"/>
    </xf>
    <xf numFmtId="2" fontId="2" fillId="4" borderId="84" applyAlignment="1" pivotButton="0" quotePrefix="1" xfId="0">
      <alignment horizontal="center" vertical="center"/>
    </xf>
    <xf numFmtId="4" fontId="2" fillId="4" borderId="84" applyAlignment="1" pivotButton="0" quotePrefix="1" xfId="0">
      <alignment horizontal="center" vertical="center"/>
    </xf>
    <xf numFmtId="0" fontId="2" fillId="4" borderId="84" pivotButton="0" quotePrefix="0" xfId="0"/>
    <xf numFmtId="2" fontId="42" fillId="4" borderId="84" applyAlignment="1" pivotButton="0" quotePrefix="0" xfId="0">
      <alignment horizontal="left"/>
    </xf>
    <xf numFmtId="0" fontId="2" fillId="4" borderId="84" applyAlignment="1" pivotButton="0" quotePrefix="0" xfId="0">
      <alignment horizontal="center"/>
    </xf>
    <xf numFmtId="0" fontId="42" fillId="11" borderId="84" pivotButton="0" quotePrefix="0" xfId="0"/>
    <xf numFmtId="2" fontId="42" fillId="11" borderId="84" applyAlignment="1" pivotButton="0" quotePrefix="0" xfId="0">
      <alignment horizontal="center" vertical="center"/>
    </xf>
    <xf numFmtId="2" fontId="42" fillId="11" borderId="84" applyAlignment="1" pivotButton="0" quotePrefix="1" xfId="0">
      <alignment horizontal="center" vertical="center"/>
    </xf>
    <xf numFmtId="0" fontId="88" fillId="4" borderId="84" applyAlignment="1" pivotButton="0" quotePrefix="0" xfId="0">
      <alignment horizontal="left"/>
    </xf>
    <xf numFmtId="2" fontId="88" fillId="4" borderId="84" applyAlignment="1" pivotButton="0" quotePrefix="1" xfId="0">
      <alignment horizontal="center" vertical="center"/>
    </xf>
    <xf numFmtId="2" fontId="42" fillId="4" borderId="84" applyAlignment="1" pivotButton="0" quotePrefix="0" xfId="0">
      <alignment horizontal="center" vertical="center"/>
    </xf>
    <xf numFmtId="0" fontId="88" fillId="4" borderId="0" applyAlignment="1" pivotButton="0" quotePrefix="0" xfId="0">
      <alignment horizontal="left"/>
    </xf>
    <xf numFmtId="0" fontId="53" fillId="4" borderId="84" pivotButton="0" quotePrefix="0" xfId="7"/>
    <xf numFmtId="0" fontId="45" fillId="4" borderId="84" pivotButton="0" quotePrefix="0" xfId="0"/>
    <xf numFmtId="0" fontId="34" fillId="4" borderId="84" pivotButton="0" quotePrefix="0" xfId="0"/>
    <xf numFmtId="2" fontId="53" fillId="4" borderId="84" applyAlignment="1" pivotButton="0" quotePrefix="0" xfId="7">
      <alignment horizontal="center"/>
    </xf>
    <xf numFmtId="2" fontId="34" fillId="4" borderId="84" applyAlignment="1" pivotButton="0" quotePrefix="0" xfId="0">
      <alignment horizontal="center"/>
    </xf>
    <xf numFmtId="0" fontId="34" fillId="4" borderId="40" pivotButton="0" quotePrefix="0" xfId="0"/>
    <xf numFmtId="0" fontId="45" fillId="4" borderId="40" pivotButton="0" quotePrefix="0" xfId="0"/>
    <xf numFmtId="0" fontId="45" fillId="4" borderId="93" pivotButton="0" quotePrefix="0" xfId="0"/>
    <xf numFmtId="0" fontId="34" fillId="4" borderId="25" pivotButton="0" quotePrefix="0" xfId="0"/>
    <xf numFmtId="0" fontId="45" fillId="4" borderId="25" pivotButton="0" quotePrefix="0" xfId="0"/>
    <xf numFmtId="0" fontId="45" fillId="4" borderId="95" pivotButton="0" quotePrefix="0" xfId="0"/>
    <xf numFmtId="0" fontId="54" fillId="4" borderId="89" applyAlignment="1" pivotButton="0" quotePrefix="0" xfId="7">
      <alignment horizontal="left"/>
    </xf>
    <xf numFmtId="0" fontId="54" fillId="4" borderId="90" applyAlignment="1" pivotButton="0" quotePrefix="0" xfId="7">
      <alignment horizontal="left"/>
    </xf>
    <xf numFmtId="0" fontId="54" fillId="4" borderId="91" applyAlignment="1" pivotButton="0" quotePrefix="0" xfId="7">
      <alignment horizontal="left"/>
    </xf>
    <xf numFmtId="0" fontId="54" fillId="4" borderId="29" applyAlignment="1" pivotButton="0" quotePrefix="0" xfId="7">
      <alignment horizontal="left"/>
    </xf>
    <xf numFmtId="2" fontId="54" fillId="4" borderId="94" applyAlignment="1" pivotButton="0" quotePrefix="1" xfId="9">
      <alignment horizontal="center"/>
    </xf>
    <xf numFmtId="2" fontId="54" fillId="4" borderId="31" applyAlignment="1" pivotButton="0" quotePrefix="1" xfId="9">
      <alignment horizontal="center"/>
    </xf>
    <xf numFmtId="0" fontId="54" fillId="4" borderId="96" applyAlignment="1" pivotButton="0" quotePrefix="0" xfId="7">
      <alignment horizontal="left"/>
    </xf>
    <xf numFmtId="2" fontId="54" fillId="4" borderId="97" applyAlignment="1" pivotButton="0" quotePrefix="1" xfId="9">
      <alignment horizontal="center"/>
    </xf>
    <xf numFmtId="0" fontId="53" fillId="11" borderId="89" applyAlignment="1" pivotButton="0" quotePrefix="0" xfId="7">
      <alignment horizontal="left"/>
    </xf>
    <xf numFmtId="0" fontId="34" fillId="11" borderId="40" pivotButton="0" quotePrefix="0" xfId="0"/>
    <xf numFmtId="0" fontId="53" fillId="11" borderId="90" applyAlignment="1" pivotButton="0" quotePrefix="0" xfId="7">
      <alignment horizontal="left"/>
    </xf>
    <xf numFmtId="0" fontId="53" fillId="11" borderId="91" applyAlignment="1" pivotButton="0" quotePrefix="0" xfId="7">
      <alignment horizontal="left"/>
    </xf>
    <xf numFmtId="0" fontId="53" fillId="11" borderId="96" applyAlignment="1" pivotButton="0" quotePrefix="0" xfId="7">
      <alignment horizontal="left"/>
    </xf>
    <xf numFmtId="0" fontId="45" fillId="11" borderId="40" pivotButton="0" quotePrefix="0" xfId="0"/>
    <xf numFmtId="0" fontId="45" fillId="11" borderId="93" pivotButton="0" quotePrefix="0" xfId="0"/>
    <xf numFmtId="0" fontId="53" fillId="11" borderId="29" applyAlignment="1" pivotButton="0" quotePrefix="0" xfId="7">
      <alignment horizontal="left"/>
    </xf>
    <xf numFmtId="0" fontId="34" fillId="11" borderId="25" pivotButton="0" quotePrefix="0" xfId="0"/>
    <xf numFmtId="2" fontId="53" fillId="11" borderId="94" applyAlignment="1" pivotButton="0" quotePrefix="0" xfId="7">
      <alignment horizontal="center"/>
    </xf>
    <xf numFmtId="2" fontId="53" fillId="11" borderId="31" applyAlignment="1" pivotButton="0" quotePrefix="0" xfId="7">
      <alignment horizontal="center"/>
    </xf>
    <xf numFmtId="2" fontId="53" fillId="11" borderId="97" applyAlignment="1" pivotButton="0" quotePrefix="0" xfId="7">
      <alignment horizontal="center"/>
    </xf>
    <xf numFmtId="0" fontId="45" fillId="11" borderId="25" pivotButton="0" quotePrefix="0" xfId="0"/>
    <xf numFmtId="0" fontId="45" fillId="11" borderId="95" pivotButton="0" quotePrefix="0" xfId="0"/>
    <xf numFmtId="0" fontId="54" fillId="11" borderId="89" applyAlignment="1" pivotButton="0" quotePrefix="0" xfId="7">
      <alignment horizontal="left"/>
    </xf>
    <xf numFmtId="2" fontId="53" fillId="11" borderId="31" applyAlignment="1" pivotButton="0" quotePrefix="1" xfId="7">
      <alignment horizontal="center"/>
    </xf>
    <xf numFmtId="2" fontId="53" fillId="11" borderId="97" applyAlignment="1" pivotButton="0" quotePrefix="1" xfId="7">
      <alignment horizontal="center"/>
    </xf>
    <xf numFmtId="0" fontId="53" fillId="3" borderId="89" pivotButton="0" quotePrefix="0" xfId="7"/>
    <xf numFmtId="0" fontId="45" fillId="3" borderId="40" pivotButton="0" quotePrefix="0" xfId="0"/>
    <xf numFmtId="0" fontId="53" fillId="3" borderId="90" applyAlignment="1" pivotButton="0" quotePrefix="0" xfId="7">
      <alignment horizontal="center"/>
    </xf>
    <xf numFmtId="0" fontId="53" fillId="3" borderId="91" applyAlignment="1" pivotButton="0" quotePrefix="0" xfId="7">
      <alignment horizontal="center"/>
    </xf>
    <xf numFmtId="0" fontId="53" fillId="3" borderId="92" applyAlignment="1" pivotButton="0" quotePrefix="0" xfId="7">
      <alignment horizontal="center"/>
    </xf>
    <xf numFmtId="0" fontId="45" fillId="3" borderId="93" pivotButton="0" quotePrefix="0" xfId="0"/>
    <xf numFmtId="0" fontId="53" fillId="3" borderId="29" pivotButton="0" quotePrefix="0" xfId="7"/>
    <xf numFmtId="0" fontId="45" fillId="3" borderId="25" pivotButton="0" quotePrefix="0" xfId="0"/>
    <xf numFmtId="0" fontId="53" fillId="3" borderId="94" applyAlignment="1" pivotButton="0" quotePrefix="0" xfId="7">
      <alignment horizontal="center"/>
    </xf>
    <xf numFmtId="0" fontId="53" fillId="3" borderId="31" applyAlignment="1" pivotButton="0" quotePrefix="0" xfId="7">
      <alignment horizontal="center"/>
    </xf>
    <xf numFmtId="0" fontId="53" fillId="3" borderId="30" applyAlignment="1" pivotButton="0" quotePrefix="0" xfId="7">
      <alignment horizontal="center"/>
    </xf>
    <xf numFmtId="0" fontId="45" fillId="3" borderId="95" pivotButton="0" quotePrefix="0" xfId="0"/>
    <xf numFmtId="0" fontId="25" fillId="0" borderId="1" applyAlignment="1" pivotButton="0" quotePrefix="0" xfId="0">
      <alignment horizontal="center"/>
    </xf>
    <xf numFmtId="0" fontId="25" fillId="6" borderId="1" applyAlignment="1" pivotButton="0" quotePrefix="0" xfId="0">
      <alignment horizontal="center"/>
    </xf>
    <xf numFmtId="0" fontId="25" fillId="6" borderId="6" applyAlignment="1" pivotButton="0" quotePrefix="0" xfId="0">
      <alignment horizontal="center"/>
    </xf>
    <xf numFmtId="2" fontId="28" fillId="0" borderId="25" applyAlignment="1" pivotButton="0" quotePrefix="0" xfId="0">
      <alignment horizontal="left"/>
    </xf>
    <xf numFmtId="2" fontId="27" fillId="0" borderId="100" pivotButton="0" quotePrefix="0" xfId="0"/>
    <xf numFmtId="2" fontId="27" fillId="0" borderId="101" pivotButton="0" quotePrefix="0" xfId="0"/>
    <xf numFmtId="4" fontId="27" fillId="4" borderId="102" pivotButton="0" quotePrefix="0" xfId="0"/>
    <xf numFmtId="4" fontId="27" fillId="4" borderId="103" pivotButton="0" quotePrefix="0" xfId="0"/>
    <xf numFmtId="2" fontId="28" fillId="0" borderId="57" applyAlignment="1" pivotButton="0" quotePrefix="0" xfId="0">
      <alignment horizontal="left"/>
    </xf>
    <xf numFmtId="14" fontId="67" fillId="3" borderId="84" applyAlignment="1" pivotButton="0" quotePrefix="0" xfId="2">
      <alignment horizontal="centerContinuous"/>
    </xf>
    <xf numFmtId="2" fontId="25" fillId="0" borderId="99" applyAlignment="1" pivotButton="0" quotePrefix="0" xfId="0">
      <alignment horizontal="left"/>
    </xf>
    <xf numFmtId="4" fontId="27" fillId="4" borderId="104" pivotButton="0" quotePrefix="0" xfId="0"/>
    <xf numFmtId="4" fontId="27" fillId="4" borderId="105" pivotButton="0" quotePrefix="0" xfId="0"/>
    <xf numFmtId="0" fontId="108" fillId="4" borderId="81" applyAlignment="1" pivotButton="0" quotePrefix="0" xfId="7">
      <alignment horizontal="center"/>
    </xf>
    <xf numFmtId="3" fontId="26" fillId="0" borderId="106" pivotButton="0" quotePrefix="0" xfId="0"/>
    <xf numFmtId="4" fontId="25" fillId="0" borderId="106" pivotButton="0" quotePrefix="0" xfId="0"/>
    <xf numFmtId="4" fontId="25" fillId="4" borderId="106" pivotButton="0" quotePrefix="0" xfId="0"/>
    <xf numFmtId="164" fontId="25" fillId="0" borderId="106" applyAlignment="1" pivotButton="0" quotePrefix="0" xfId="0">
      <alignment horizontal="center"/>
    </xf>
    <xf numFmtId="2" fontId="110" fillId="0" borderId="23" applyAlignment="1" pivotButton="0" quotePrefix="1" xfId="15">
      <alignment vertical="top"/>
    </xf>
    <xf numFmtId="166" fontId="111" fillId="0" borderId="0" pivotButton="0" quotePrefix="0" xfId="26"/>
    <xf numFmtId="0" fontId="103" fillId="4" borderId="0" applyAlignment="1" pivotButton="0" quotePrefix="0" xfId="20">
      <alignment vertical="center"/>
    </xf>
    <xf numFmtId="0" fontId="89" fillId="0" borderId="0" applyAlignment="1" pivotButton="0" quotePrefix="0" xfId="19">
      <alignment vertical="center"/>
    </xf>
    <xf numFmtId="0" fontId="24" fillId="0" borderId="0" applyAlignment="1" pivotButton="0" quotePrefix="0" xfId="19">
      <alignment vertical="center"/>
    </xf>
    <xf numFmtId="0" fontId="35" fillId="0" borderId="0" applyAlignment="1" pivotButton="0" quotePrefix="0" xfId="27">
      <alignment vertical="center"/>
    </xf>
    <xf numFmtId="0" fontId="35" fillId="0" borderId="0" applyAlignment="1" pivotButton="0" quotePrefix="0" xfId="22">
      <alignment vertical="center"/>
    </xf>
    <xf numFmtId="0" fontId="24" fillId="0" borderId="0" applyAlignment="1" pivotButton="0" quotePrefix="0" xfId="22">
      <alignment vertical="center"/>
    </xf>
    <xf numFmtId="0" fontId="93" fillId="0" borderId="107" applyAlignment="1" pivotButton="0" quotePrefix="0" xfId="19">
      <alignment vertical="center"/>
    </xf>
    <xf numFmtId="0" fontId="94" fillId="0" borderId="107" pivotButton="0" quotePrefix="0" xfId="19"/>
    <xf numFmtId="0" fontId="93" fillId="0" borderId="107" pivotButton="0" quotePrefix="0" xfId="19"/>
    <xf numFmtId="3" fontId="25" fillId="8" borderId="2" pivotButton="0" quotePrefix="0" xfId="21"/>
    <xf numFmtId="3" fontId="25" fillId="0" borderId="18" pivotButton="0" quotePrefix="0" xfId="21"/>
    <xf numFmtId="3" fontId="27" fillId="8" borderId="69" pivotButton="0" quotePrefix="0" xfId="21"/>
    <xf numFmtId="3" fontId="27" fillId="0" borderId="71" pivotButton="0" quotePrefix="0" xfId="21"/>
    <xf numFmtId="3" fontId="27" fillId="8" borderId="69" pivotButton="0" quotePrefix="0" xfId="19"/>
    <xf numFmtId="3" fontId="27" fillId="8" borderId="3" pivotButton="0" quotePrefix="0" xfId="19"/>
    <xf numFmtId="0" fontId="24" fillId="0" borderId="107" pivotButton="0" quotePrefix="0" xfId="19"/>
    <xf numFmtId="3" fontId="27" fillId="8" borderId="63" pivotButton="0" quotePrefix="0" xfId="19"/>
    <xf numFmtId="3" fontId="24" fillId="0" borderId="107" pivotButton="0" quotePrefix="0" xfId="21"/>
    <xf numFmtId="3" fontId="24" fillId="0" borderId="0" pivotButton="0" quotePrefix="0" xfId="21"/>
    <xf numFmtId="3" fontId="24" fillId="0" borderId="107" pivotButton="0" quotePrefix="0" xfId="19"/>
    <xf numFmtId="0" fontId="93" fillId="0" borderId="0" applyAlignment="1" pivotButton="0" quotePrefix="0" xfId="19">
      <alignment horizontal="left"/>
    </xf>
    <xf numFmtId="0" fontId="35" fillId="0" borderId="0" pivotButton="0" quotePrefix="0" xfId="27"/>
    <xf numFmtId="0" fontId="35" fillId="0" borderId="0" pivotButton="0" quotePrefix="0" xfId="22"/>
    <xf numFmtId="0" fontId="112" fillId="0" borderId="0" applyAlignment="1" pivotButton="0" quotePrefix="0" xfId="15">
      <alignment vertical="top"/>
    </xf>
    <xf numFmtId="0" fontId="113" fillId="0" borderId="0" pivotButton="0" quotePrefix="0" xfId="15"/>
    <xf numFmtId="0" fontId="10" fillId="0" borderId="0" applyAlignment="1" pivotButton="0" quotePrefix="0" xfId="17">
      <alignment vertical="center"/>
    </xf>
    <xf numFmtId="0" fontId="93" fillId="0" borderId="0" applyAlignment="1" pivotButton="0" quotePrefix="0" xfId="19">
      <alignment vertical="top"/>
    </xf>
    <xf numFmtId="0" fontId="70" fillId="3" borderId="82" applyAlignment="1" pivotButton="0" quotePrefix="0" xfId="22">
      <alignment vertical="top"/>
    </xf>
    <xf numFmtId="0" fontId="67" fillId="3" borderId="108" applyAlignment="1" pivotButton="0" quotePrefix="0" xfId="19">
      <alignment horizontal="centerContinuous" vertical="center"/>
    </xf>
    <xf numFmtId="0" fontId="69" fillId="3" borderId="108" applyAlignment="1" pivotButton="0" quotePrefix="0" xfId="19">
      <alignment horizontal="centerContinuous" vertical="top"/>
    </xf>
    <xf numFmtId="0" fontId="69" fillId="3" borderId="109" applyAlignment="1" pivotButton="0" quotePrefix="0" xfId="19">
      <alignment horizontal="centerContinuous" vertical="top"/>
    </xf>
    <xf numFmtId="0" fontId="115" fillId="0" borderId="0" applyAlignment="1" pivotButton="0" quotePrefix="0" xfId="19">
      <alignment vertical="top"/>
    </xf>
    <xf numFmtId="0" fontId="64" fillId="0" borderId="0" applyAlignment="1" pivotButton="0" quotePrefix="0" xfId="15">
      <alignment vertical="top"/>
    </xf>
    <xf numFmtId="0" fontId="64" fillId="0" borderId="0" applyAlignment="1" pivotButton="0" quotePrefix="0" xfId="19">
      <alignment vertical="top"/>
    </xf>
    <xf numFmtId="0" fontId="40" fillId="0" borderId="0" applyAlignment="1" pivotButton="0" quotePrefix="0" xfId="15">
      <alignment horizontal="center" vertical="top"/>
    </xf>
    <xf numFmtId="164" fontId="64" fillId="0" borderId="0" applyAlignment="1" pivotButton="0" quotePrefix="0" xfId="19">
      <alignment vertical="top"/>
    </xf>
    <xf numFmtId="0" fontId="116" fillId="0" borderId="0" applyAlignment="1" pivotButton="0" quotePrefix="0" xfId="19">
      <alignment vertical="top"/>
    </xf>
    <xf numFmtId="0" fontId="67" fillId="3" borderId="110" applyAlignment="1" pivotButton="0" quotePrefix="0" xfId="19">
      <alignment horizontal="center" vertical="top"/>
    </xf>
    <xf numFmtId="0" fontId="70" fillId="3" borderId="16" applyAlignment="1" pivotButton="0" quotePrefix="0" xfId="19">
      <alignment horizontal="centerContinuous" vertical="center" wrapText="1"/>
    </xf>
    <xf numFmtId="0" fontId="70" fillId="3" borderId="72" applyAlignment="1" pivotButton="0" quotePrefix="0" xfId="19">
      <alignment horizontal="centerContinuous" vertical="center" wrapText="1"/>
    </xf>
    <xf numFmtId="0" fontId="70" fillId="3" borderId="111" applyAlignment="1" pivotButton="0" quotePrefix="0" xfId="19">
      <alignment horizontal="center" vertical="center" wrapText="1"/>
    </xf>
    <xf numFmtId="0" fontId="70" fillId="11" borderId="16" applyAlignment="1" pivotButton="0" quotePrefix="0" xfId="19">
      <alignment horizontal="centerContinuous" vertical="center" wrapText="1"/>
    </xf>
    <xf numFmtId="0" fontId="70" fillId="11" borderId="72" applyAlignment="1" pivotButton="0" quotePrefix="0" xfId="19">
      <alignment horizontal="centerContinuous" vertical="center" wrapText="1"/>
    </xf>
    <xf numFmtId="0" fontId="70" fillId="11" borderId="112" applyAlignment="1" pivotButton="0" quotePrefix="0" xfId="19">
      <alignment horizontal="center" vertical="center" wrapText="1"/>
    </xf>
    <xf numFmtId="0" fontId="70" fillId="11" borderId="113" applyAlignment="1" pivotButton="0" quotePrefix="0" xfId="19">
      <alignment horizontal="center" vertical="center" wrapText="1"/>
    </xf>
    <xf numFmtId="0" fontId="70" fillId="3" borderId="114" applyAlignment="1" pivotButton="0" quotePrefix="0" xfId="19">
      <alignment horizontal="centerContinuous" vertical="center" wrapText="1"/>
    </xf>
    <xf numFmtId="0" fontId="70" fillId="11" borderId="115" applyAlignment="1" pivotButton="0" quotePrefix="0" xfId="19">
      <alignment horizontal="center" vertical="center" wrapText="1"/>
    </xf>
    <xf numFmtId="0" fontId="117" fillId="0" borderId="0" applyAlignment="1" pivotButton="0" quotePrefix="0" xfId="19">
      <alignment horizontal="center" vertical="center"/>
    </xf>
    <xf numFmtId="0" fontId="117" fillId="0" borderId="0" applyAlignment="1" pivotButton="0" quotePrefix="0" xfId="19">
      <alignment horizontal="center" vertical="center" wrapText="1"/>
    </xf>
    <xf numFmtId="0" fontId="115" fillId="0" borderId="0" pivotButton="0" quotePrefix="0" xfId="19"/>
    <xf numFmtId="3" fontId="25" fillId="4" borderId="116" pivotButton="0" quotePrefix="0" xfId="21"/>
    <xf numFmtId="167" fontId="25" fillId="4" borderId="9" applyAlignment="1" pivotButton="0" quotePrefix="0" xfId="21">
      <alignment horizontal="center"/>
    </xf>
    <xf numFmtId="3" fontId="25" fillId="8" borderId="18" pivotButton="0" quotePrefix="0" xfId="21"/>
    <xf numFmtId="167" fontId="25" fillId="4" borderId="2" applyAlignment="1" pivotButton="0" quotePrefix="0" xfId="21">
      <alignment horizontal="center"/>
    </xf>
    <xf numFmtId="167" fontId="109" fillId="4" borderId="117" pivotButton="0" quotePrefix="0" xfId="21"/>
    <xf numFmtId="167" fontId="109" fillId="4" borderId="116" pivotButton="0" quotePrefix="0" xfId="21"/>
    <xf numFmtId="0" fontId="117" fillId="0" borderId="0" pivotButton="0" quotePrefix="0" xfId="19"/>
    <xf numFmtId="3" fontId="117" fillId="0" borderId="0" pivotButton="0" quotePrefix="0" xfId="21"/>
    <xf numFmtId="164" fontId="117" fillId="0" borderId="0" applyAlignment="1" pivotButton="0" quotePrefix="0" xfId="19">
      <alignment vertical="center"/>
    </xf>
    <xf numFmtId="167" fontId="117" fillId="0" borderId="0" pivotButton="0" quotePrefix="0" xfId="21"/>
    <xf numFmtId="3" fontId="27" fillId="4" borderId="118" pivotButton="0" quotePrefix="0" xfId="19"/>
    <xf numFmtId="167" fontId="27" fillId="4" borderId="119" applyAlignment="1" pivotButton="0" quotePrefix="0" xfId="19">
      <alignment horizontal="center"/>
    </xf>
    <xf numFmtId="3" fontId="27" fillId="8" borderId="71" pivotButton="0" quotePrefix="0" xfId="19"/>
    <xf numFmtId="167" fontId="27" fillId="4" borderId="3" applyAlignment="1" pivotButton="0" quotePrefix="0" xfId="19">
      <alignment horizontal="center"/>
    </xf>
    <xf numFmtId="167" fontId="109" fillId="4" borderId="120" pivotButton="0" quotePrefix="0" xfId="19"/>
    <xf numFmtId="167" fontId="109" fillId="4" borderId="118" pivotButton="0" quotePrefix="0" xfId="19"/>
    <xf numFmtId="4" fontId="44" fillId="0" borderId="0" pivotButton="0" quotePrefix="0" xfId="21"/>
    <xf numFmtId="3" fontId="44" fillId="0" borderId="0" pivotButton="0" quotePrefix="0" xfId="21"/>
    <xf numFmtId="167" fontId="44" fillId="0" borderId="0" pivotButton="0" quotePrefix="0" xfId="21"/>
    <xf numFmtId="3" fontId="27" fillId="4" borderId="80" pivotButton="0" quotePrefix="0" xfId="19"/>
    <xf numFmtId="167" fontId="27" fillId="4" borderId="11" applyAlignment="1" pivotButton="0" quotePrefix="0" xfId="19">
      <alignment horizontal="center"/>
    </xf>
    <xf numFmtId="3" fontId="27" fillId="8" borderId="5" pivotButton="0" quotePrefix="0" xfId="19"/>
    <xf numFmtId="167" fontId="109" fillId="4" borderId="121" pivotButton="0" quotePrefix="0" xfId="19"/>
    <xf numFmtId="167" fontId="109" fillId="4" borderId="80" pivotButton="0" quotePrefix="0" xfId="19"/>
    <xf numFmtId="0" fontId="118" fillId="0" borderId="0" pivotButton="0" quotePrefix="0" xfId="19"/>
    <xf numFmtId="3" fontId="64" fillId="0" borderId="0" pivotButton="0" quotePrefix="0" xfId="21"/>
    <xf numFmtId="167" fontId="64" fillId="0" borderId="0" pivotButton="0" quotePrefix="0" xfId="21"/>
    <xf numFmtId="4" fontId="64" fillId="0" borderId="0" pivotButton="0" quotePrefix="0" xfId="21"/>
    <xf numFmtId="3" fontId="119" fillId="0" borderId="0" pivotButton="0" quotePrefix="0" xfId="21"/>
    <xf numFmtId="3" fontId="27" fillId="4" borderId="80" applyAlignment="1" pivotButton="0" quotePrefix="0" xfId="19">
      <alignment horizontal="right"/>
    </xf>
    <xf numFmtId="167" fontId="27" fillId="0" borderId="3" applyAlignment="1" pivotButton="0" quotePrefix="0" xfId="19">
      <alignment horizontal="center"/>
    </xf>
    <xf numFmtId="3" fontId="27" fillId="4" borderId="5" applyAlignment="1" pivotButton="0" quotePrefix="0" xfId="19">
      <alignment horizontal="right"/>
    </xf>
    <xf numFmtId="3" fontId="27" fillId="0" borderId="82" pivotButton="0" quotePrefix="0" xfId="21"/>
    <xf numFmtId="3" fontId="27" fillId="4" borderId="81" applyAlignment="1" pivotButton="0" quotePrefix="0" xfId="19">
      <alignment horizontal="right"/>
    </xf>
    <xf numFmtId="3" fontId="27" fillId="4" borderId="64" applyAlignment="1" pivotButton="0" quotePrefix="0" xfId="19">
      <alignment horizontal="right"/>
    </xf>
    <xf numFmtId="167" fontId="27" fillId="0" borderId="122" applyAlignment="1" pivotButton="0" quotePrefix="0" xfId="19">
      <alignment horizontal="center"/>
    </xf>
    <xf numFmtId="3" fontId="27" fillId="8" borderId="64" pivotButton="0" quotePrefix="0" xfId="19"/>
    <xf numFmtId="167" fontId="27" fillId="4" borderId="63" applyAlignment="1" pivotButton="0" quotePrefix="0" xfId="19">
      <alignment horizontal="center"/>
    </xf>
    <xf numFmtId="167" fontId="109" fillId="4" borderId="123" pivotButton="0" quotePrefix="0" xfId="19"/>
    <xf numFmtId="167" fontId="109" fillId="4" borderId="81" pivotButton="0" quotePrefix="0" xfId="19"/>
    <xf numFmtId="0" fontId="120" fillId="0" borderId="0" pivotButton="0" quotePrefix="0" xfId="27"/>
    <xf numFmtId="3" fontId="27" fillId="4" borderId="0" pivotButton="0" quotePrefix="0" xfId="19"/>
    <xf numFmtId="0" fontId="64" fillId="0" borderId="0" pivotButton="0" quotePrefix="0" xfId="19"/>
    <xf numFmtId="0" fontId="40" fillId="0" borderId="0" pivotButton="0" quotePrefix="0" xfId="15"/>
    <xf numFmtId="3" fontId="64" fillId="0" borderId="0" pivotButton="0" quotePrefix="0" xfId="15"/>
    <xf numFmtId="2" fontId="28" fillId="0" borderId="40" applyAlignment="1" pivotButton="0" quotePrefix="0" xfId="0">
      <alignment horizontal="left"/>
    </xf>
    <xf numFmtId="2" fontId="25" fillId="0" borderId="124" applyAlignment="1" pivotButton="0" quotePrefix="0" xfId="0">
      <alignment horizontal="left"/>
    </xf>
    <xf numFmtId="0" fontId="103" fillId="0" borderId="0" pivotButton="0" quotePrefix="0" xfId="0"/>
    <xf numFmtId="0" fontId="43" fillId="7" borderId="0" applyAlignment="1" pivotButton="0" quotePrefix="0" xfId="0">
      <alignment horizontal="left"/>
    </xf>
    <xf numFmtId="3" fontId="28" fillId="0" borderId="125" pivotButton="0" quotePrefix="0" xfId="0"/>
    <xf numFmtId="4" fontId="27" fillId="0" borderId="102" pivotButton="0" quotePrefix="0" xfId="0"/>
    <xf numFmtId="4" fontId="27" fillId="0" borderId="127" pivotButton="0" quotePrefix="0" xfId="0"/>
    <xf numFmtId="164" fontId="27" fillId="0" borderId="125" applyAlignment="1" pivotButton="0" quotePrefix="0" xfId="0">
      <alignment horizontal="center"/>
    </xf>
    <xf numFmtId="164" fontId="27" fillId="0" borderId="102" applyAlignment="1" pivotButton="0" quotePrefix="0" xfId="0">
      <alignment horizontal="center"/>
    </xf>
    <xf numFmtId="164" fontId="27" fillId="0" borderId="126" applyAlignment="1" pivotButton="0" quotePrefix="0" xfId="0">
      <alignment horizontal="center"/>
    </xf>
    <xf numFmtId="3" fontId="28" fillId="0" borderId="55" pivotButton="0" quotePrefix="0" xfId="0"/>
    <xf numFmtId="4" fontId="27" fillId="0" borderId="54" pivotButton="0" quotePrefix="0" xfId="0"/>
    <xf numFmtId="4" fontId="27" fillId="4" borderId="54" pivotButton="0" quotePrefix="0" xfId="0"/>
    <xf numFmtId="4" fontId="27" fillId="0" borderId="128" pivotButton="0" quotePrefix="0" xfId="0"/>
    <xf numFmtId="164" fontId="27" fillId="0" borderId="55" applyAlignment="1" pivotButton="0" quotePrefix="0" xfId="0">
      <alignment horizontal="center"/>
    </xf>
    <xf numFmtId="3" fontId="26" fillId="0" borderId="57" pivotButton="0" quotePrefix="0" xfId="0"/>
    <xf numFmtId="4" fontId="25" fillId="0" borderId="57" pivotButton="0" quotePrefix="0" xfId="0"/>
    <xf numFmtId="4" fontId="25" fillId="4" borderId="57" pivotButton="0" quotePrefix="0" xfId="0"/>
    <xf numFmtId="164" fontId="25" fillId="0" borderId="57" applyAlignment="1" pivotButton="0" quotePrefix="0" xfId="0">
      <alignment horizontal="center"/>
    </xf>
    <xf numFmtId="0" fontId="33" fillId="0" borderId="98" pivotButton="0" quotePrefix="0" xfId="0"/>
    <xf numFmtId="2" fontId="28" fillId="0" borderId="129" applyAlignment="1" pivotButton="0" quotePrefix="0" xfId="0">
      <alignment horizontal="left"/>
    </xf>
    <xf numFmtId="2" fontId="28" fillId="0" borderId="130" applyAlignment="1" pivotButton="0" quotePrefix="0" xfId="0">
      <alignment horizontal="left"/>
    </xf>
    <xf numFmtId="4" fontId="27" fillId="4" borderId="42" pivotButton="0" quotePrefix="0" xfId="0"/>
    <xf numFmtId="4" fontId="27" fillId="4" borderId="21" pivotButton="0" quotePrefix="0" xfId="0"/>
    <xf numFmtId="2" fontId="26" fillId="0" borderId="130" applyAlignment="1" pivotButton="0" quotePrefix="0" xfId="0">
      <alignment horizontal="left"/>
    </xf>
    <xf numFmtId="2" fontId="27" fillId="0" borderId="131" pivotButton="0" quotePrefix="0" xfId="0"/>
    <xf numFmtId="14" fontId="70" fillId="3" borderId="62" applyAlignment="1" pivotButton="0" quotePrefix="0" xfId="2">
      <alignment horizontal="centerContinuous"/>
    </xf>
    <xf numFmtId="14" fontId="70" fillId="3" borderId="37" applyAlignment="1" pivotButton="0" quotePrefix="0" xfId="2">
      <alignment horizontal="centerContinuous"/>
    </xf>
    <xf numFmtId="14" fontId="69" fillId="3" borderId="25" applyAlignment="1" pivotButton="0" quotePrefix="0" xfId="2">
      <alignment horizontal="centerContinuous"/>
    </xf>
    <xf numFmtId="2" fontId="98" fillId="0" borderId="24" applyAlignment="1" pivotButton="0" quotePrefix="0" xfId="15">
      <alignment vertical="center"/>
    </xf>
    <xf numFmtId="0" fontId="24" fillId="11" borderId="0" pivotButton="0" quotePrefix="0" xfId="0"/>
    <xf numFmtId="0" fontId="24" fillId="4" borderId="0" pivotButton="0" quotePrefix="0" xfId="0"/>
    <xf numFmtId="0" fontId="0" fillId="0" borderId="0" pivotButton="0" quotePrefix="0" xfId="0"/>
    <xf numFmtId="0" fontId="99" fillId="4" borderId="0" applyAlignment="1" pivotButton="0" quotePrefix="0" xfId="0">
      <alignment horizontal="left" vertical="center"/>
    </xf>
    <xf numFmtId="0" fontId="27" fillId="4" borderId="0" pivotButton="0" quotePrefix="0" xfId="0"/>
    <xf numFmtId="0" fontId="53" fillId="4" borderId="92" applyAlignment="1" pivotButton="0" quotePrefix="0" xfId="7">
      <alignment horizontal="center"/>
    </xf>
    <xf numFmtId="0" fontId="53" fillId="4" borderId="30" applyAlignment="1" pivotButton="0" quotePrefix="0" xfId="7">
      <alignment horizontal="center"/>
    </xf>
    <xf numFmtId="0" fontId="52" fillId="7" borderId="0" applyAlignment="1" pivotButton="0" quotePrefix="0" xfId="0">
      <alignment horizontal="right" shrinkToFit="1"/>
    </xf>
    <xf numFmtId="2" fontId="42" fillId="4" borderId="84" applyAlignment="1" pivotButton="0" quotePrefix="0" xfId="0">
      <alignment vertical="center"/>
    </xf>
    <xf numFmtId="0" fontId="42" fillId="4" borderId="84" applyAlignment="1" pivotButton="0" quotePrefix="0" xfId="0">
      <alignment horizontal="center" vertical="center" wrapText="1"/>
    </xf>
    <xf numFmtId="4" fontId="1" fillId="4" borderId="84" applyAlignment="1" pivotButton="0" quotePrefix="0" xfId="0">
      <alignment horizontal="center" vertical="center"/>
    </xf>
    <xf numFmtId="2" fontId="1" fillId="4" borderId="84" applyAlignment="1" pivotButton="0" quotePrefix="0" xfId="0">
      <alignment horizontal="center" vertical="center"/>
    </xf>
    <xf numFmtId="0" fontId="1" fillId="4" borderId="84" applyAlignment="1" pivotButton="0" quotePrefix="0" xfId="0">
      <alignment horizontal="center"/>
    </xf>
    <xf numFmtId="4" fontId="1" fillId="4" borderId="84" applyAlignment="1" pivotButton="0" quotePrefix="1" xfId="0">
      <alignment horizontal="center" vertical="center"/>
    </xf>
    <xf numFmtId="0" fontId="42" fillId="4" borderId="84" pivotButton="0" quotePrefix="0" xfId="0"/>
    <xf numFmtId="2" fontId="42" fillId="4" borderId="84" applyAlignment="1" pivotButton="0" quotePrefix="0" xfId="0">
      <alignment horizontal="center"/>
    </xf>
    <xf numFmtId="4" fontId="42" fillId="4" borderId="84" applyAlignment="1" pivotButton="0" quotePrefix="0" xfId="0">
      <alignment horizontal="center" vertical="center"/>
    </xf>
    <xf numFmtId="4" fontId="88" fillId="4" borderId="84" applyAlignment="1" pivotButton="0" quotePrefix="1" xfId="0">
      <alignment horizontal="center" vertical="center"/>
    </xf>
    <xf numFmtId="0" fontId="98" fillId="4" borderId="81" applyAlignment="1" pivotButton="0" quotePrefix="0" xfId="7">
      <alignment horizontal="left"/>
    </xf>
    <xf numFmtId="0" fontId="124" fillId="12" borderId="138" applyAlignment="1" pivotButton="0" quotePrefix="0" xfId="0">
      <alignment horizontal="center" vertical="center" wrapText="1"/>
    </xf>
    <xf numFmtId="0" fontId="124" fillId="12" borderId="139" applyAlignment="1" pivotButton="0" quotePrefix="0" xfId="0">
      <alignment horizontal="center" vertical="center" wrapText="1"/>
    </xf>
    <xf numFmtId="167" fontId="0" fillId="0" borderId="141" applyAlignment="1" pivotButton="0" quotePrefix="0" xfId="0">
      <alignment horizontal="center" wrapText="1"/>
    </xf>
    <xf numFmtId="167" fontId="0" fillId="0" borderId="142" applyAlignment="1" pivotButton="0" quotePrefix="0" xfId="0">
      <alignment horizontal="center" wrapText="1"/>
    </xf>
    <xf numFmtId="0" fontId="125" fillId="0" borderId="0" applyAlignment="1" pivotButton="0" quotePrefix="0" xfId="28">
      <alignment horizontal="center" vertical="center" wrapText="1"/>
    </xf>
    <xf numFmtId="0" fontId="127" fillId="0" borderId="0" applyAlignment="1" pivotButton="0" quotePrefix="0" xfId="28">
      <alignment horizontal="left" vertical="center"/>
    </xf>
    <xf numFmtId="0" fontId="127" fillId="0" borderId="145" applyAlignment="1" pivotButton="0" quotePrefix="0" xfId="28">
      <alignment horizontal="left" vertical="center"/>
    </xf>
    <xf numFmtId="0" fontId="125" fillId="0" borderId="145" applyAlignment="1" pivotButton="0" quotePrefix="0" xfId="28">
      <alignment horizontal="center" vertical="center" wrapText="1"/>
    </xf>
    <xf numFmtId="0" fontId="128" fillId="0" borderId="0" applyAlignment="1" pivotButton="0" quotePrefix="0" xfId="28">
      <alignment horizontal="left" vertical="center"/>
    </xf>
    <xf numFmtId="0" fontId="124" fillId="12" borderId="138" applyAlignment="1" pivotButton="0" quotePrefix="0" xfId="28">
      <alignment horizontal="center" vertical="center" wrapText="1"/>
    </xf>
    <xf numFmtId="0" fontId="124" fillId="12" borderId="139" applyAlignment="1" pivotButton="0" quotePrefix="0" xfId="28">
      <alignment horizontal="center" vertical="center" wrapText="1"/>
    </xf>
    <xf numFmtId="0" fontId="125" fillId="0" borderId="132" applyAlignment="1" pivotButton="0" quotePrefix="0" xfId="28">
      <alignment horizontal="left" wrapText="1"/>
    </xf>
    <xf numFmtId="4" fontId="126" fillId="13" borderId="141" applyAlignment="1" pivotButton="0" quotePrefix="0" xfId="28">
      <alignment horizontal="right" wrapText="1"/>
    </xf>
    <xf numFmtId="4" fontId="126" fillId="0" borderId="141" applyAlignment="1" pivotButton="0" quotePrefix="0" xfId="28">
      <alignment horizontal="right" wrapText="1"/>
    </xf>
    <xf numFmtId="167" fontId="126" fillId="0" borderId="141" applyAlignment="1" pivotButton="0" quotePrefix="0" xfId="28">
      <alignment horizontal="center" wrapText="1"/>
    </xf>
    <xf numFmtId="167" fontId="126" fillId="0" borderId="142" applyAlignment="1" pivotButton="0" quotePrefix="0" xfId="28">
      <alignment horizontal="center" wrapText="1"/>
    </xf>
    <xf numFmtId="0" fontId="125" fillId="0" borderId="0" applyAlignment="1" pivotButton="0" quotePrefix="0" xfId="28">
      <alignment horizontal="left" wrapText="1"/>
    </xf>
    <xf numFmtId="4" fontId="126" fillId="13" borderId="143" applyAlignment="1" pivotButton="0" quotePrefix="0" xfId="28">
      <alignment horizontal="right" wrapText="1"/>
    </xf>
    <xf numFmtId="4" fontId="126" fillId="0" borderId="143" applyAlignment="1" pivotButton="0" quotePrefix="0" xfId="28">
      <alignment horizontal="right" wrapText="1"/>
    </xf>
    <xf numFmtId="167" fontId="126" fillId="0" borderId="143" applyAlignment="1" pivotButton="0" quotePrefix="0" xfId="28">
      <alignment horizontal="center" wrapText="1"/>
    </xf>
    <xf numFmtId="167" fontId="126" fillId="0" borderId="144" applyAlignment="1" pivotButton="0" quotePrefix="0" xfId="28">
      <alignment horizontal="center" wrapText="1"/>
    </xf>
    <xf numFmtId="4" fontId="129" fillId="0" borderId="19" pivotButton="0" quotePrefix="0" xfId="0"/>
    <xf numFmtId="0" fontId="125" fillId="0" borderId="132" applyAlignment="1" pivotButton="0" quotePrefix="0" xfId="0">
      <alignment horizontal="left" wrapText="1"/>
    </xf>
    <xf numFmtId="4" fontId="0" fillId="13" borderId="141" applyAlignment="1" pivotButton="0" quotePrefix="0" xfId="0">
      <alignment horizontal="right" wrapText="1"/>
    </xf>
    <xf numFmtId="4" fontId="0" fillId="0" borderId="141" applyAlignment="1" pivotButton="0" quotePrefix="0" xfId="0">
      <alignment horizontal="right" wrapText="1"/>
    </xf>
    <xf numFmtId="0" fontId="125" fillId="0" borderId="0" applyAlignment="1" pivotButton="0" quotePrefix="0" xfId="0">
      <alignment horizontal="left" wrapText="1"/>
    </xf>
    <xf numFmtId="4" fontId="0" fillId="13" borderId="143" applyAlignment="1" pivotButton="0" quotePrefix="0" xfId="0">
      <alignment horizontal="right" wrapText="1"/>
    </xf>
    <xf numFmtId="4" fontId="0" fillId="0" borderId="143" applyAlignment="1" pivotButton="0" quotePrefix="0" xfId="0">
      <alignment horizontal="right" wrapText="1"/>
    </xf>
    <xf numFmtId="167" fontId="0" fillId="0" borderId="143" applyAlignment="1" pivotButton="0" quotePrefix="0" xfId="0">
      <alignment horizontal="center" wrapText="1"/>
    </xf>
    <xf numFmtId="167" fontId="0" fillId="0" borderId="144" applyAlignment="1" pivotButton="0" quotePrefix="0" xfId="0">
      <alignment horizontal="center" wrapText="1"/>
    </xf>
    <xf numFmtId="0" fontId="125" fillId="0" borderId="140" applyAlignment="1" pivotButton="0" quotePrefix="0" xfId="28">
      <alignment horizontal="left" wrapText="1"/>
    </xf>
    <xf numFmtId="0" fontId="125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left" vertical="center"/>
    </xf>
    <xf numFmtId="0" fontId="122" fillId="12" borderId="132" applyAlignment="1" pivotButton="0" quotePrefix="0" xfId="28">
      <alignment horizontal="center" vertical="center" wrapText="1"/>
    </xf>
    <xf numFmtId="0" fontId="122" fillId="12" borderId="136" applyAlignment="1" pivotButton="0" quotePrefix="0" xfId="28">
      <alignment horizontal="center" vertical="center" wrapText="1"/>
    </xf>
    <xf numFmtId="0" fontId="123" fillId="12" borderId="134" applyAlignment="1" pivotButton="0" quotePrefix="0" xfId="28">
      <alignment horizontal="center" vertical="center" wrapText="1"/>
    </xf>
    <xf numFmtId="0" fontId="122" fillId="12" borderId="138" applyAlignment="1" pivotButton="0" quotePrefix="0" xfId="28">
      <alignment horizontal="center" vertical="center" wrapText="1"/>
    </xf>
    <xf numFmtId="0" fontId="124" fillId="12" borderId="134" applyAlignment="1" pivotButton="0" quotePrefix="0" xfId="28">
      <alignment horizontal="center" vertical="center" wrapText="1"/>
    </xf>
    <xf numFmtId="0" fontId="124" fillId="12" borderId="135" applyAlignment="1" pivotButton="0" quotePrefix="0" xfId="28">
      <alignment horizontal="center" vertical="center" wrapText="1"/>
    </xf>
    <xf numFmtId="0" fontId="125" fillId="0" borderId="132" applyAlignment="1" pivotButton="0" quotePrefix="0" xfId="28">
      <alignment horizontal="left" vertical="center" wrapText="1"/>
    </xf>
    <xf numFmtId="0" fontId="122" fillId="12" borderId="133" applyAlignment="1" pivotButton="0" quotePrefix="0" xfId="28">
      <alignment horizontal="center" vertical="center" wrapText="1"/>
    </xf>
    <xf numFmtId="0" fontId="122" fillId="12" borderId="137" applyAlignment="1" pivotButton="0" quotePrefix="0" xfId="28">
      <alignment horizontal="center" vertical="center" wrapText="1"/>
    </xf>
    <xf numFmtId="0" fontId="122" fillId="12" borderId="132" applyAlignment="1" pivotButton="0" quotePrefix="0" xfId="0">
      <alignment horizontal="center" vertical="center" wrapText="1"/>
    </xf>
    <xf numFmtId="0" fontId="122" fillId="12" borderId="136" applyAlignment="1" pivotButton="0" quotePrefix="0" xfId="0">
      <alignment horizontal="center" vertical="center" wrapText="1"/>
    </xf>
    <xf numFmtId="0" fontId="123" fillId="12" borderId="134" applyAlignment="1" pivotButton="0" quotePrefix="0" xfId="0">
      <alignment horizontal="center" vertical="center" wrapText="1"/>
    </xf>
    <xf numFmtId="0" fontId="122" fillId="12" borderId="138" applyAlignment="1" pivotButton="0" quotePrefix="0" xfId="0">
      <alignment horizontal="center" vertical="center" wrapText="1"/>
    </xf>
    <xf numFmtId="0" fontId="124" fillId="12" borderId="134" applyAlignment="1" pivotButton="0" quotePrefix="0" xfId="0">
      <alignment horizontal="center" vertical="center" wrapText="1"/>
    </xf>
    <xf numFmtId="0" fontId="124" fillId="12" borderId="135" applyAlignment="1" pivotButton="0" quotePrefix="0" xfId="0">
      <alignment horizontal="center" vertical="center" wrapText="1"/>
    </xf>
    <xf numFmtId="0" fontId="121" fillId="7" borderId="0" applyAlignment="1" pivotButton="0" quotePrefix="0" xfId="0">
      <alignment horizontal="left" shrinkToFit="1"/>
    </xf>
    <xf numFmtId="0" fontId="52" fillId="7" borderId="0" applyAlignment="1" pivotButton="0" quotePrefix="0" xfId="0">
      <alignment horizontal="right" shrinkToFit="1"/>
    </xf>
    <xf numFmtId="0" fontId="100" fillId="3" borderId="3" applyAlignment="1" pivotButton="0" quotePrefix="0" xfId="7">
      <alignment horizontal="center" vertical="center"/>
    </xf>
    <xf numFmtId="14" fontId="100" fillId="3" borderId="3" applyAlignment="1" applyProtection="1" pivotButton="0" quotePrefix="0" xfId="7">
      <alignment horizontal="center" vertical="center"/>
      <protection locked="1" hidden="1"/>
    </xf>
    <xf numFmtId="14" fontId="100" fillId="3" borderId="5" applyAlignment="1" applyProtection="1" pivotButton="0" quotePrefix="0" xfId="7">
      <alignment horizontal="center" vertical="center"/>
      <protection locked="1" hidden="1"/>
    </xf>
    <xf numFmtId="0" fontId="101" fillId="3" borderId="15" applyAlignment="1" pivotButton="0" quotePrefix="0" xfId="7">
      <alignment horizontal="center" vertical="center"/>
    </xf>
    <xf numFmtId="0" fontId="102" fillId="3" borderId="0" applyAlignment="1" pivotButton="0" quotePrefix="0" xfId="7">
      <alignment horizontal="center" vertical="center"/>
    </xf>
    <xf numFmtId="0" fontId="102" fillId="3" borderId="0" applyAlignment="1" pivotButton="0" quotePrefix="0" xfId="7">
      <alignment horizontal="center"/>
    </xf>
    <xf numFmtId="0" fontId="28" fillId="3" borderId="0" applyAlignment="1" pivotButton="0" quotePrefix="0" xfId="7">
      <alignment horizontal="center" vertical="center"/>
    </xf>
    <xf numFmtId="0" fontId="28" fillId="3" borderId="81" applyAlignment="1" pivotButton="0" quotePrefix="0" xfId="7">
      <alignment horizontal="center" wrapText="1"/>
    </xf>
    <xf numFmtId="0" fontId="114" fillId="0" borderId="0" applyAlignment="1" pivotButton="0" quotePrefix="0" xfId="17">
      <alignment horizontal="center" vertical="center"/>
    </xf>
    <xf numFmtId="0" fontId="0" fillId="0" borderId="133" pivotButton="0" quotePrefix="0" xfId="0"/>
    <xf numFmtId="0" fontId="0" fillId="0" borderId="132" pivotButton="0" quotePrefix="0" xfId="0"/>
    <xf numFmtId="0" fontId="0" fillId="0" borderId="134" pivotButton="0" quotePrefix="0" xfId="0"/>
    <xf numFmtId="0" fontId="0" fillId="0" borderId="15" pivotButton="0" quotePrefix="0" xfId="0"/>
    <xf numFmtId="0" fontId="0" fillId="0" borderId="81" pivotButton="0" quotePrefix="0" xfId="0"/>
    <xf numFmtId="0" fontId="0" fillId="0" borderId="80" pivotButton="0" quotePrefix="0" xfId="0"/>
    <xf numFmtId="0" fontId="0" fillId="0" borderId="67" pivotButton="0" quotePrefix="0" xfId="0"/>
    <xf numFmtId="0" fontId="0" fillId="0" borderId="80" applyProtection="1" pivotButton="0" quotePrefix="0" xfId="0">
      <protection locked="1" hidden="1"/>
    </xf>
    <xf numFmtId="0" fontId="0" fillId="0" borderId="67" applyProtection="1" pivotButton="0" quotePrefix="0" xfId="0">
      <protection locked="1" hidden="1"/>
    </xf>
  </cellXfs>
  <cellStyles count="29">
    <cellStyle name="Normalny" xfId="0" builtinId="0"/>
    <cellStyle name="Hiperłącze" xfId="1" builtinId="8"/>
    <cellStyle name="Normal_WK" xfId="2"/>
    <cellStyle name="Normalny_tabela (2)" xfId="3"/>
    <cellStyle name="Normalny 3 3" xfId="4"/>
    <cellStyle name="Normalny 2" xfId="5"/>
    <cellStyle name="Normalny_DROB41_0" xfId="6"/>
    <cellStyle name="Normalny 3" xfId="7"/>
    <cellStyle name="Normalny 4" xfId="8"/>
    <cellStyle name="Normalny_zaklady-ceny_sez" xfId="9"/>
    <cellStyle name="Normalny 5" xfId="10"/>
    <cellStyle name="Normalny 6" xfId="11"/>
    <cellStyle name="Normalny 7" xfId="12"/>
    <cellStyle name="Normal" xfId="13"/>
    <cellStyle name="Normalny 8" xfId="14"/>
    <cellStyle name="Normalny 3 2 2 2" xfId="15"/>
    <cellStyle name="Hiperłącze 2" xfId="16"/>
    <cellStyle name="Normalny_KE_handel" xfId="17"/>
    <cellStyle name="Złe 2" xfId="18"/>
    <cellStyle name="Normalny_MatrycaKRAJ 2 2" xfId="19"/>
    <cellStyle name="Normalny_Handel_2011 2" xfId="20"/>
    <cellStyle name="Normalny_Kopia I-IX.06" xfId="21"/>
    <cellStyle name="Normalny_wieprzowina 2010_2011_ wstepne 2 2" xfId="22"/>
    <cellStyle name="Normalny 8 2" xfId="23"/>
    <cellStyle name="Normalny 9" xfId="24"/>
    <cellStyle name="Normalny 2 2" xfId="25"/>
    <cellStyle name="Normalny 14 2 2" xfId="26"/>
    <cellStyle name="Normalny_Handel_wieprzowina_A 2 2" xfId="27"/>
    <cellStyle name="Normalny 10" xfId="28"/>
  </cellStyles>
  <dxfs count="322">
    <dxf>
      <font>
        <color rgb="FF006600"/>
      </font>
      <fill>
        <patternFill>
          <bgColor rgb="FFEFF7E1"/>
        </patternFill>
      </fill>
    </dxf>
    <dxf>
      <font>
        <color rgb="FFCC0000"/>
      </font>
      <fill>
        <patternFill>
          <bgColor rgb="FFFFE3E4"/>
        </patternFill>
      </fill>
    </dxf>
    <dxf>
      <font>
        <color auto="1"/>
      </font>
      <fill>
        <patternFill>
          <bgColor auto="1"/>
        </patternFill>
      </fill>
    </dxf>
    <dxf>
      <font>
        <color rgb="FF006600"/>
      </font>
      <fill>
        <patternFill>
          <bgColor rgb="FFEFF7E1"/>
        </patternFill>
      </fill>
    </dxf>
    <dxf>
      <font>
        <color rgb="FFCC0000"/>
      </font>
      <fill>
        <patternFill>
          <bgColor rgb="FFFFE3E4"/>
        </patternFill>
      </fill>
    </dxf>
    <dxf>
      <font>
        <color auto="1"/>
      </font>
      <fill>
        <patternFill>
          <bgColor auto="1"/>
        </patternFill>
      </fill>
    </dxf>
    <dxf>
      <font>
        <color rgb="FF006600"/>
      </font>
      <fill>
        <patternFill>
          <bgColor rgb="FFEFF7E1"/>
        </patternFill>
      </fill>
    </dxf>
    <dxf>
      <font>
        <color rgb="FFCC0000"/>
      </font>
      <fill>
        <patternFill>
          <bgColor rgb="FFFFE3E4"/>
        </patternFill>
      </fill>
    </dxf>
    <dxf>
      <font>
        <color auto="1"/>
      </font>
      <fill>
        <patternFill>
          <bgColor auto="1"/>
        </patternFill>
      </fill>
    </dxf>
    <dxf>
      <font>
        <color rgb="FF006600"/>
      </font>
      <fill>
        <patternFill>
          <bgColor rgb="FFEFF7E1"/>
        </patternFill>
      </fill>
    </dxf>
    <dxf>
      <font>
        <color rgb="FFCC0000"/>
      </font>
      <fill>
        <patternFill>
          <bgColor rgb="FFFFE3E4"/>
        </patternFill>
      </fill>
    </dxf>
    <dxf>
      <font>
        <color auto="1"/>
      </font>
      <fill>
        <patternFill>
          <bgColor auto="1"/>
        </patternFill>
      </fill>
    </dxf>
    <dxf>
      <font>
        <b val="1"/>
        <color rgb="FF0000FF"/>
      </font>
    </dxf>
    <dxf>
      <font>
        <b val="1"/>
        <color rgb="FF006600"/>
      </font>
    </dxf>
    <dxf>
      <font>
        <color rgb="FF006600"/>
      </font>
    </dxf>
    <dxf>
      <font>
        <b val="1"/>
        <color rgb="FF0000FF"/>
      </font>
    </dxf>
    <dxf>
      <font>
        <b val="1"/>
        <color rgb="FF006600"/>
      </font>
    </dxf>
    <dxf>
      <font>
        <b val="1"/>
        <color rgb="FF0000FF"/>
      </font>
    </dxf>
    <dxf>
      <font>
        <color rgb="FF006600"/>
      </font>
    </dxf>
    <dxf>
      <font>
        <color rgb="FF9C0006"/>
      </font>
    </dxf>
    <dxf>
      <font>
        <color auto="1"/>
      </font>
    </dxf>
    <dxf>
      <font>
        <b val="1"/>
        <color rgb="FF006600"/>
      </font>
    </dxf>
    <dxf>
      <font>
        <b val="1"/>
        <color rgb="FF0000FF"/>
      </font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006600"/>
      </font>
      <fill>
        <patternFill patternType="solid">
          <fgColor auto="1"/>
          <bgColor rgb="FFEFF7E1"/>
        </patternFill>
      </fill>
    </dxf>
    <dxf>
      <font>
        <color rgb="FFCC0000"/>
      </font>
      <fill>
        <patternFill patternType="solid">
          <fgColor auto="1"/>
          <bgColor rgb="FFFFE3E4"/>
        </patternFill>
      </fill>
    </dxf>
    <dxf>
      <fill>
        <patternFill patternType="solid">
          <fgColor auto="1"/>
          <bgColor rgb="FFFFFFFF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>
          <bgColor auto="1"/>
        </patternFill>
      </fill>
    </dxf>
    <dxf>
      <font>
        <color rgb="FFCC0000"/>
      </font>
      <fill>
        <patternFill>
          <bgColor rgb="FFFFE3E4"/>
        </patternFill>
      </fill>
    </dxf>
    <dxf>
      <font>
        <color rgb="FF006600"/>
      </font>
      <fill>
        <patternFill>
          <bgColor rgb="FFEFF7E1"/>
        </patternFill>
      </fill>
    </dxf>
    <dxf>
      <font>
        <color auto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externalLink" Target="/xl/externalLinks/externalLink1.xml" Id="rId35" /><Relationship Type="http://schemas.openxmlformats.org/officeDocument/2006/relationships/externalLink" Target="/xl/externalLinks/externalLink2.xml" Id="rId36" /><Relationship Type="http://schemas.openxmlformats.org/officeDocument/2006/relationships/externalLink" Target="/xl/externalLinks/externalLink3.xml" Id="rId37" /><Relationship Type="http://schemas.openxmlformats.org/officeDocument/2006/relationships/externalLink" Target="/xl/externalLinks/externalLink4.xml" Id="rId38" /><Relationship Type="http://schemas.openxmlformats.org/officeDocument/2006/relationships/externalLink" Target="/xl/externalLinks/externalLink5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7783045185987134"/>
          <y val="0.2706761574074074"/>
          <w val="0.8617513888888889"/>
          <h val="0.5635502314814815"/>
        </manualLayout>
      </layout>
      <lineChart>
        <grouping val="standard"/>
        <varyColors val="0"/>
        <ser>
          <idx val="0"/>
          <order val="0"/>
          <tx>
            <strRef>
              <f>'[3]ZAKUP KL. E WYKRES TYG'!$C$25:$D$25</f>
              <strCache>
                <ptCount val="1"/>
                <pt idx="0">
                  <v>2021</v>
                </pt>
              </strCache>
            </strRef>
          </tx>
          <spPr>
            <a:ln w="2540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'[3]ZAKUP KL. E WYKRES TYG'!$B$27:$B$78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'[3]ZAKUP KL. E WYKRES TYG'!$D$27:$D$78</f>
              <numCache>
                <formatCode>General</formatCode>
                <ptCount val="52"/>
                <pt idx="0">
                  <v>5051.33</v>
                </pt>
                <pt idx="1">
                  <v>5133.78</v>
                </pt>
                <pt idx="2">
                  <v>5154.19</v>
                </pt>
                <pt idx="3">
                  <v>5191.02</v>
                </pt>
                <pt idx="4">
                  <v>5300.09</v>
                </pt>
                <pt idx="5">
                  <v>5458.35</v>
                </pt>
                <pt idx="6">
                  <v>5677.76</v>
                </pt>
                <pt idx="7">
                  <v>6142.38</v>
                </pt>
                <pt idx="8">
                  <v>6583.41</v>
                </pt>
                <pt idx="9">
                  <v>6902.64</v>
                </pt>
                <pt idx="10">
                  <v>7127.55</v>
                </pt>
                <pt idx="11">
                  <v>7034.41</v>
                </pt>
                <pt idx="12">
                  <v>6946.15</v>
                </pt>
                <pt idx="13">
                  <v>6939.59</v>
                </pt>
                <pt idx="14">
                  <v>6937.16</v>
                </pt>
                <pt idx="15">
                  <v>6831.71</v>
                </pt>
                <pt idx="16">
                  <v>6609.45</v>
                </pt>
                <pt idx="17">
                  <v>6586.37</v>
                </pt>
                <pt idx="18">
                  <v>6681.8</v>
                </pt>
                <pt idx="19">
                  <v>7235.33</v>
                </pt>
                <pt idx="20">
                  <v>7437.18</v>
                </pt>
                <pt idx="21">
                  <v>7277.45</v>
                </pt>
                <pt idx="22">
                  <v>7247.88</v>
                </pt>
                <pt idx="23">
                  <v>7058.71</v>
                </pt>
                <pt idx="24">
                  <v>6739.52</v>
                </pt>
                <pt idx="25">
                  <v>6575.19</v>
                </pt>
                <pt idx="26">
                  <v>6584.84</v>
                </pt>
                <pt idx="27">
                  <v>6515.92</v>
                </pt>
                <pt idx="28">
                  <v>6398.02</v>
                </pt>
                <pt idx="29">
                  <v>6634.27</v>
                </pt>
                <pt idx="30">
                  <v>6725.34</v>
                </pt>
                <pt idx="31">
                  <v>6606.7</v>
                </pt>
                <pt idx="32">
                  <v>6651.31</v>
                </pt>
                <pt idx="33">
                  <v>6423.77</v>
                </pt>
                <pt idx="34">
                  <v>6117.29</v>
                </pt>
                <pt idx="35">
                  <v>5883.29</v>
                </pt>
                <pt idx="36">
                  <v>5701.26</v>
                </pt>
                <pt idx="37">
                  <v>5660.83</v>
                </pt>
                <pt idx="38">
                  <v>5598.65</v>
                </pt>
                <pt idx="39">
                  <v>5557.99</v>
                </pt>
                <pt idx="40">
                  <v>5398.01</v>
                </pt>
                <pt idx="41">
                  <v>5390.47</v>
                </pt>
                <pt idx="42">
                  <v>5370.37</v>
                </pt>
                <pt idx="43">
                  <v>5435.2</v>
                </pt>
                <pt idx="44">
                  <v>5482.13</v>
                </pt>
                <pt idx="45">
                  <v>5490.34</v>
                </pt>
                <pt idx="46">
                  <v>5538.97</v>
                </pt>
                <pt idx="47">
                  <v>5615.87</v>
                </pt>
                <pt idx="48">
                  <v>5890.51</v>
                </pt>
                <pt idx="49">
                  <v>6067.82</v>
                </pt>
                <pt idx="50">
                  <v>5927.55</v>
                </pt>
                <pt idx="51">
                  <v>5857.07</v>
                </pt>
              </numCache>
            </numRef>
          </val>
          <smooth val="0"/>
        </ser>
        <ser>
          <idx val="1"/>
          <order val="1"/>
          <tx>
            <strRef>
              <f>'[4]WYKRES JAPKA'!$E$25:$F$25</f>
              <strCache>
                <ptCount val="1"/>
                <pt idx="0">
                  <v>Gala</v>
                </pt>
              </strCache>
            </strRef>
          </tx>
          <spPr>
            <a:ln w="25400" cap="rnd" cmpd="sng" algn="ctr">
              <a:solidFill>
                <a:schemeClr val="accent6">
                  <a:lumMod val="75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30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l-PL"/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'[4]WYKRES JAPKA'!$B$27:$B$78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'[4]WYKRES JAPKA'!$F$27:$F$78</f>
              <numCache>
                <formatCode>General</formatCode>
                <ptCount val="52"/>
                <pt idx="0">
                  <v>3.5213</v>
                </pt>
                <pt idx="1">
                  <v>3.5</v>
                </pt>
                <pt idx="2">
                  <v>3.441</v>
                </pt>
                <pt idx="3">
                  <v>3.49</v>
                </pt>
                <pt idx="4">
                  <v>3.4611</v>
                </pt>
                <pt idx="5">
                  <v>3.32</v>
                </pt>
                <pt idx="6">
                  <v>3.2433</v>
                </pt>
                <pt idx="7">
                  <v>3.2433</v>
                </pt>
                <pt idx="8">
                  <v>3.3834</v>
                </pt>
                <pt idx="9">
                  <v>3.4159</v>
                </pt>
                <pt idx="10">
                  <v>3.4468</v>
                </pt>
                <pt idx="11">
                  <v>3.267</v>
                </pt>
                <pt idx="12">
                  <v>3.43</v>
                </pt>
                <pt idx="13">
                  <v>3.477</v>
                </pt>
                <pt idx="14">
                  <v>3.477</v>
                </pt>
                <pt idx="15">
                  <v>3.58</v>
                </pt>
                <pt idx="16">
                  <v>3.66</v>
                </pt>
                <pt idx="17">
                  <v>3.63</v>
                </pt>
                <pt idx="18">
                  <v>3.657</v>
                </pt>
                <pt idx="19">
                  <v>3.564</v>
                </pt>
                <pt idx="20">
                  <v>3.564</v>
                </pt>
                <pt idx="21">
                  <v>3.657</v>
                </pt>
                <pt idx="22">
                  <v>3.76</v>
                </pt>
                <pt idx="23">
                  <v>3.66</v>
                </pt>
                <pt idx="24">
                  <v>3.6673</v>
                </pt>
                <pt idx="25">
                  <v>3.65</v>
                </pt>
                <pt idx="26">
                  <v>3.62</v>
                </pt>
                <pt idx="27">
                  <v>3.59</v>
                </pt>
                <pt idx="28">
                  <v>3.61</v>
                </pt>
                <pt idx="29">
                  <v>3.63</v>
                </pt>
                <pt idx="30">
                  <v>3.72</v>
                </pt>
              </numCache>
            </numRef>
          </val>
          <smooth val="0"/>
        </ser>
        <ser>
          <idx val="2"/>
          <order val="2"/>
          <tx>
            <strRef>
              <f>'[4]WYKRES JAPKA'!$G$25:$H$25</f>
              <strCache>
                <ptCount val="1"/>
                <pt idx="0">
                  <v>Golden</v>
                </pt>
              </strCache>
            </strRef>
          </tx>
          <spPr>
            <a:ln w="2540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30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l-PL"/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'[4]WYKRES JAPKA'!$B$27:$B$78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'[4]WYKRES JAPKA'!$H$27:$H$78</f>
              <numCache>
                <formatCode>General</formatCode>
                <ptCount val="52"/>
                <pt idx="0">
                  <v>3.376</v>
                </pt>
                <pt idx="1">
                  <v>3.3537</v>
                </pt>
                <pt idx="2">
                  <v>3.3</v>
                </pt>
                <pt idx="3">
                  <v>3.29</v>
                </pt>
                <pt idx="4">
                  <v>3.2455</v>
                </pt>
                <pt idx="5">
                  <v>3.239</v>
                </pt>
                <pt idx="6">
                  <v>3.1159</v>
                </pt>
                <pt idx="7">
                  <v>3.1159</v>
                </pt>
                <pt idx="8">
                  <v>3.229</v>
                </pt>
                <pt idx="9">
                  <v>3.2922</v>
                </pt>
                <pt idx="10">
                  <v>3.1719</v>
                </pt>
                <pt idx="11">
                  <v>3.2116</v>
                </pt>
                <pt idx="12">
                  <v>3.2</v>
                </pt>
                <pt idx="13">
                  <v>2.1949</v>
                </pt>
                <pt idx="14">
                  <v>2.1949</v>
                </pt>
                <pt idx="15">
                  <v>3.2499</v>
                </pt>
                <pt idx="16">
                  <v>3.26</v>
                </pt>
                <pt idx="17">
                  <v>3.317</v>
                </pt>
                <pt idx="18">
                  <v>3.299</v>
                </pt>
                <pt idx="19">
                  <v>3.2539</v>
                </pt>
                <pt idx="20">
                  <v>3.26</v>
                </pt>
                <pt idx="21">
                  <v>3.299</v>
                </pt>
                <pt idx="22">
                  <v>3.34</v>
                </pt>
                <pt idx="23">
                  <v>3.34</v>
                </pt>
                <pt idx="24">
                  <v>3.33673</v>
                </pt>
                <pt idx="25">
                  <v>3.33</v>
                </pt>
                <pt idx="26">
                  <v>3.34</v>
                </pt>
                <pt idx="27">
                  <v>3.37</v>
                </pt>
                <pt idx="28">
                  <v>3.3185</v>
                </pt>
                <pt idx="29">
                  <v>3.34</v>
                </pt>
                <pt idx="30">
                  <v>3.36</v>
                </pt>
              </numCache>
            </numRef>
          </val>
          <smooth val="0"/>
        </ser>
        <ser>
          <idx val="3"/>
          <order val="3"/>
          <tx>
            <strRef>
              <f>'[4]WYKRES JAPKA'!$I$25:$J$25</f>
              <strCache>
                <ptCount val="1"/>
                <pt idx="0">
                  <v>Jonagold</v>
                </pt>
              </strCache>
            </strRef>
          </tx>
          <spPr>
            <a:ln w="2540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3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l-PL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'[4]WYKRES JAPKA'!$B$27:$B$78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'[4]WYKRES JAPKA'!$J$27:$J$78</f>
              <numCache>
                <formatCode>General</formatCode>
                <ptCount val="52"/>
                <pt idx="0">
                  <v>2.8827</v>
                </pt>
                <pt idx="1">
                  <v>2.744</v>
                </pt>
                <pt idx="2">
                  <v>2.7898</v>
                </pt>
                <pt idx="3">
                  <v>2.7948</v>
                </pt>
                <pt idx="4">
                  <v>2.89</v>
                </pt>
                <pt idx="5">
                  <v>2.6</v>
                </pt>
                <pt idx="6">
                  <v>2.63</v>
                </pt>
                <pt idx="7">
                  <v>2.6315</v>
                </pt>
                <pt idx="8">
                  <v>2.561</v>
                </pt>
                <pt idx="9">
                  <v>2.625</v>
                </pt>
                <pt idx="10">
                  <v>2.5805</v>
                </pt>
                <pt idx="11">
                  <v>2.554</v>
                </pt>
                <pt idx="12">
                  <v>2.62</v>
                </pt>
                <pt idx="13">
                  <v>2.6681</v>
                </pt>
                <pt idx="14">
                  <v>2.7</v>
                </pt>
                <pt idx="15">
                  <v>2.6118</v>
                </pt>
                <pt idx="16">
                  <v>2.62</v>
                </pt>
                <pt idx="17">
                  <v>2.6258</v>
                </pt>
                <pt idx="18">
                  <v>2.831</v>
                </pt>
                <pt idx="19">
                  <v>2.7296</v>
                </pt>
                <pt idx="20">
                  <v>2.72</v>
                </pt>
                <pt idx="21">
                  <v>2.831</v>
                </pt>
                <pt idx="22">
                  <v>2.91</v>
                </pt>
                <pt idx="23">
                  <v>2.75</v>
                </pt>
                <pt idx="24">
                  <v>2.88</v>
                </pt>
                <pt idx="25">
                  <v>2.81</v>
                </pt>
                <pt idx="26">
                  <v>2.79</v>
                </pt>
                <pt idx="27">
                  <v>2.83</v>
                </pt>
                <pt idx="28">
                  <v>2.83</v>
                </pt>
                <pt idx="29">
                  <v>2.84</v>
                </pt>
                <pt idx="30">
                  <v>2.88</v>
                </pt>
              </numCache>
            </numRef>
          </val>
          <smooth val="0"/>
        </ser>
        <ser>
          <idx val="4"/>
          <order val="4"/>
          <tx>
            <strRef>
              <f>'[4]WYKRES JAPKA'!$K$25:$L$25</f>
              <strCache>
                <ptCount val="1"/>
                <pt idx="0">
                  <v>Ligol</v>
                </pt>
              </strCache>
            </strRef>
          </tx>
          <spPr>
            <a:ln w="25400" cap="rnd" cmpd="sng" algn="ctr">
              <a:solidFill>
                <a:schemeClr val="accent1">
                  <a:lumMod val="75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3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l-PL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'[4]WYKRES JAPKA'!$B$27:$B$78</f>
              <numCache>
                <formatCode>General</formatCode>
                <ptCount val="5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</numCache>
            </numRef>
          </cat>
          <val>
            <numRef>
              <f>'[4]WYKRES JAPKA'!$L$27:$L$79</f>
              <numCache>
                <formatCode>General</formatCode>
                <ptCount val="53"/>
                <pt idx="0">
                  <v>3.113</v>
                </pt>
                <pt idx="1">
                  <v>3.1619</v>
                </pt>
                <pt idx="2">
                  <v>3.09</v>
                </pt>
                <pt idx="3">
                  <v>3.1854</v>
                </pt>
                <pt idx="4">
                  <v>3.14</v>
                </pt>
                <pt idx="5">
                  <v>3.07</v>
                </pt>
                <pt idx="6">
                  <v>2.96</v>
                </pt>
                <pt idx="7">
                  <v>2.96</v>
                </pt>
                <pt idx="8">
                  <v>3.328</v>
                </pt>
                <pt idx="9">
                  <v>3.11</v>
                </pt>
                <pt idx="10">
                  <v>3.0244</v>
                </pt>
                <pt idx="11">
                  <v>3.0729</v>
                </pt>
                <pt idx="12">
                  <v>2.9189</v>
                </pt>
                <pt idx="13">
                  <v>3.02</v>
                </pt>
                <pt idx="14">
                  <v>3</v>
                </pt>
                <pt idx="15">
                  <v>3.1</v>
                </pt>
                <pt idx="16">
                  <v>3.13</v>
                </pt>
                <pt idx="17">
                  <v>3.1684</v>
                </pt>
                <pt idx="18">
                  <v>3.1</v>
                </pt>
                <pt idx="19">
                  <v>3.088</v>
                </pt>
                <pt idx="20">
                  <v>3.1</v>
                </pt>
                <pt idx="21">
                  <v>3.1</v>
                </pt>
                <pt idx="22">
                  <v>3.18</v>
                </pt>
                <pt idx="23">
                  <v>3.18</v>
                </pt>
                <pt idx="24">
                  <v>3.18</v>
                </pt>
                <pt idx="25">
                  <v>3.195</v>
                </pt>
                <pt idx="26">
                  <v>3.18</v>
                </pt>
                <pt idx="27">
                  <v>3.16</v>
                </pt>
                <pt idx="28">
                  <v>3.27</v>
                </pt>
                <pt idx="29">
                  <v>3.13</v>
                </pt>
                <pt idx="30">
                  <v>3.21</v>
                </pt>
              </numCache>
            </numRef>
          </val>
          <smooth val="0"/>
        </ser>
        <ser>
          <idx val="5"/>
          <order val="5"/>
          <tx>
            <strRef>
              <f>'[4]WYKRES JAPKA'!$M$25:$N$25</f>
              <strCache>
                <ptCount val="1"/>
                <pt idx="0">
                  <v>Szampion</v>
                </pt>
              </strCache>
            </strRef>
          </tx>
          <spPr>
            <a:ln w="31750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0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.00"/>
            <spPr>
              <a:solidFill>
                <a:srgbClr val="FFC9C9"/>
              </a:solid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l-PL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'[4]WYKRES JAPKA'!$N$27:$N$79</f>
              <numCache>
                <formatCode>General</formatCode>
                <ptCount val="53"/>
                <pt idx="0">
                  <v>2.7725</v>
                </pt>
                <pt idx="1">
                  <v>2.9426</v>
                </pt>
                <pt idx="2">
                  <v>3.04</v>
                </pt>
                <pt idx="3">
                  <v>2.94</v>
                </pt>
                <pt idx="4">
                  <v>2.8281</v>
                </pt>
                <pt idx="5">
                  <v>2.9943</v>
                </pt>
                <pt idx="6">
                  <v>2.7351</v>
                </pt>
                <pt idx="7">
                  <v>2.7351</v>
                </pt>
                <pt idx="8">
                  <v>2.9116</v>
                </pt>
                <pt idx="9">
                  <v>2.9225</v>
                </pt>
                <pt idx="10">
                  <v>2.8206</v>
                </pt>
                <pt idx="11">
                  <v>2.6899</v>
                </pt>
                <pt idx="12">
                  <v>2.749</v>
                </pt>
                <pt idx="13">
                  <v>2.71</v>
                </pt>
                <pt idx="14">
                  <v>2.7</v>
                </pt>
                <pt idx="15">
                  <v>2.9338</v>
                </pt>
                <pt idx="16">
                  <v>2.7893</v>
                </pt>
                <pt idx="17">
                  <v>2.9572</v>
                </pt>
                <pt idx="18">
                  <v>2.7924</v>
                </pt>
                <pt idx="19">
                  <v>2.9447</v>
                </pt>
                <pt idx="20">
                  <v>2.9447</v>
                </pt>
                <pt idx="21">
                  <v>2.7924</v>
                </pt>
                <pt idx="22">
                  <v>3.076</v>
                </pt>
                <pt idx="23">
                  <v>3.06</v>
                </pt>
                <pt idx="24">
                  <v>3.09</v>
                </pt>
                <pt idx="25">
                  <v>3.038</v>
                </pt>
                <pt idx="26">
                  <v>3</v>
                </pt>
                <pt idx="27">
                  <v>3.06</v>
                </pt>
                <pt idx="28">
                  <v>3.01</v>
                </pt>
                <pt idx="29">
                  <v>2.99</v>
                </pt>
                <pt idx="30">
                  <v>3.0374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0222336"/>
        <axId val="110498176"/>
      </lineChart>
      <catAx>
        <axId val="110222336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rgbClr val="5F5F5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>
                    <a:solidFill>
                      <a:srgbClr val="5F5F5F"/>
                    </a:solidFill>
                  </a:rPr>
                  <a:t>tydzień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9397941919191919"/>
              <y val="0.8496627314814814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1" i="0" strike="noStrike" kern="1200" baseline="0">
                  <a:solidFill>
                    <a:srgbClr val="5F5F5F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l-PL"/>
            </a:p>
          </txPr>
        </title>
        <numFmt formatCode="General" sourceLinked="1"/>
        <majorTickMark val="none"/>
        <minorTickMark val="none"/>
        <tickLblPos val="low"/>
        <spPr>
          <a:noFill/>
          <a:ln w="12700" cap="flat" cmpd="sng" algn="ctr">
            <a:solidFill>
              <a:schemeClr val="bg1">
                <a:lumMod val="75000"/>
              </a:schemeClr>
            </a:solidFill>
            <a:prstDash val="solid"/>
            <a:round/>
          </a:ln>
        </spPr>
        <txPr>
          <a:bodyPr rot="0" spcFirstLastPara="1" vertOverflow="ellipsis" wrap="square" anchor="ctr" anchorCtr="1"/>
          <a:lstStyle/>
          <a:p>
            <a:pPr>
              <a:defRPr sz="1000" b="0" i="0" strike="noStrike" kern="1200" baseline="0">
                <a:solidFill>
                  <a:srgbClr val="777777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l-PL"/>
          </a:p>
        </txPr>
        <crossAx val="110498176"/>
        <crosses val="autoZero"/>
        <auto val="0"/>
        <lblAlgn val="ctr"/>
        <lblOffset val="100"/>
        <tickLblSkip val="3"/>
        <tickMarkSkip val="5"/>
        <noMultiLvlLbl val="1"/>
      </catAx>
      <valAx>
        <axId val="110498176"/>
        <scaling>
          <orientation val="minMax"/>
          <max val="4"/>
          <min val="2"/>
        </scaling>
        <delete val="0"/>
        <axPos val="l"/>
        <majorGridlines>
          <spPr>
            <a:ln w="317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ctr" anchorCtr="1"/>
              <a:lstStyle/>
              <a:p>
                <a:pPr>
                  <a:defRPr sz="1000" b="1" i="0" strike="noStrike" kern="1200" baseline="0">
                    <a:solidFill>
                      <a:srgbClr val="5F5F5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>
                    <a:solidFill>
                      <a:srgbClr val="5F5F5F"/>
                    </a:solidFill>
                  </a:rPr>
                  <a:t>zł/t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960454545454546"/>
              <y val="0.1975810185185185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wrap="square" anchor="ctr" anchorCtr="1"/>
            <a:lstStyle/>
            <a:p>
              <a:pPr>
                <a:defRPr sz="1000" b="1" i="0" strike="noStrike" kern="1200" baseline="0">
                  <a:solidFill>
                    <a:srgbClr val="5F5F5F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l-PL"/>
            </a:p>
          </txPr>
        </title>
        <numFmt formatCode="#,##0.00" sourceLinked="0"/>
        <majorTickMark val="none"/>
        <minorTickMark val="none"/>
        <tickLblPos val="nextTo"/>
        <spPr>
          <a:noFill/>
          <a:ln w="12700" cap="flat" cmpd="sng" algn="ctr">
            <a:noFill/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777777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l-PL"/>
          </a:p>
        </txPr>
        <crossAx val="110222336"/>
        <crossesAt val="1"/>
        <crossBetween val="between"/>
        <majorUnit val="0.25"/>
      </valAx>
    </plotArea>
    <legend>
      <legendPos val="r"/>
      <legendEntry>
        <idx val="0"/>
        <delete val="1"/>
      </legendEntry>
      <layout>
        <manualLayout>
          <xMode val="edge"/>
          <yMode val="edge"/>
          <wMode val="factor"/>
          <hMode val="factor"/>
          <x val="0.1400560606060606"/>
          <y val="0.9212502314814814"/>
          <w val="0.7221040404040404"/>
          <h val="0.0699303240740740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l-PL"/>
        </a:p>
      </txPr>
    </legend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Warzywa</a:t>
            </a:r>
            <a:r>
              <a:rPr lang="pl-PL" baseline="0"/>
              <a:t xml:space="preserve"> (krajowe)</a:t>
            </a:r>
            <a:endParaRPr lang="pl-PL"/>
          </a:p>
        </rich>
      </tx>
      <layout>
        <manualLayout>
          <xMode val="edge"/>
          <yMode val="edge"/>
          <wMode val="factor"/>
          <hMode val="factor"/>
          <x val="0.4079891414141414"/>
          <y val="0.07937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l-PL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9674797979797979"/>
          <y val="0.2472090277777778"/>
          <w val="0.8262823232323232"/>
          <h val="0.502511111111111"/>
        </manualLayout>
      </layout>
      <barChart>
        <barDir val="col"/>
        <grouping val="clustered"/>
        <varyColors val="0"/>
        <ser>
          <idx val="0"/>
          <order val="0"/>
          <tx>
            <strRef>
              <f>'DETAL WARZ WYKRES'!$B$60</f>
              <strCache>
                <ptCount val="1"/>
                <pt idx="0">
                  <v xml:space="preserve">12.07.2026 </v>
                </pt>
              </strCache>
            </strRef>
          </tx>
          <spPr>
            <a:solidFill>
              <a:schemeClr val="bg2">
                <a:lumMod val="50000"/>
              </a:schemeClr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strike="noStrike" kern="1200" baseline="0">
                    <a:solidFill>
                      <a:srgbClr val="9966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l-PL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'DETAL WARZ WYKRES'!$A$61:$A$63</f>
              <strCache>
                <ptCount val="3"/>
                <pt idx="0">
                  <v>Marchew</v>
                </pt>
                <pt idx="1">
                  <v>Pomidory okrągłe</v>
                </pt>
                <pt idx="2">
                  <v>Ziemniaki</v>
                </pt>
              </strCache>
            </strRef>
          </cat>
          <val>
            <numRef>
              <f>'DETAL WARZ WYKRES'!$B$61:$B$63</f>
              <numCache>
                <formatCode>0.00</formatCode>
                <ptCount val="3"/>
                <pt idx="0">
                  <v>2.48</v>
                </pt>
                <pt idx="1">
                  <v>4.207</v>
                </pt>
                <pt idx="2">
                  <v>1.259</v>
                </pt>
              </numCache>
            </numRef>
          </val>
        </ser>
        <ser>
          <idx val="1"/>
          <order val="1"/>
          <tx>
            <strRef>
              <f>'DETAL WARZ WYKRES'!$C$60</f>
              <strCache>
                <ptCount val="1"/>
                <pt idx="0">
                  <v>05.07.2026</v>
                </pt>
              </strCache>
            </strRef>
          </tx>
          <spPr>
            <a:solidFill>
              <a:srgbClr val="FF9900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l-PL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'DETAL WARZ WYKRES'!$A$61:$A$63</f>
              <strCache>
                <ptCount val="3"/>
                <pt idx="0">
                  <v>Marchew</v>
                </pt>
                <pt idx="1">
                  <v>Pomidory okrągłe</v>
                </pt>
                <pt idx="2">
                  <v>Ziemniaki</v>
                </pt>
              </strCache>
            </strRef>
          </cat>
          <val>
            <numRef>
              <f>'DETAL WARZ WYKRES'!$C$61:$C$63</f>
              <numCache>
                <formatCode>0.00</formatCode>
                <ptCount val="3"/>
                <pt idx="0">
                  <v>2.56</v>
                </pt>
                <pt idx="1">
                  <v>3.86</v>
                </pt>
                <pt idx="2">
                  <v>1.43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43016896"/>
        <axId val="443015912"/>
      </barChart>
      <catAx>
        <axId val="4430168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l-PL"/>
          </a:p>
        </txPr>
        <crossAx val="443015912"/>
        <crosses val="autoZero"/>
        <auto val="1"/>
        <lblAlgn val="ctr"/>
        <lblOffset val="100"/>
        <noMultiLvlLbl val="0"/>
      </catAx>
      <valAx>
        <axId val="4430159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l-PL"/>
          </a:p>
        </txPr>
        <crossAx val="443016896"/>
        <crosses val="autoZero"/>
        <crossBetween val="between"/>
        <majorUnit val="4"/>
      </valAx>
    </plotArea>
    <legend>
      <legendPos val="b"/>
      <layout>
        <manualLayout>
          <xMode val="edge"/>
          <yMode val="edge"/>
          <wMode val="factor"/>
          <hMode val="factor"/>
          <x val="0.3938501262626263"/>
          <y val="0.8851034722222223"/>
          <w val="0.2219208333333333"/>
          <h val="0.0531604166666666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l-PL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736600" y="1285875"/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704849</colOff>
      <row>3</row>
      <rowOff>285750</rowOff>
    </from>
    <to>
      <col>13</col>
      <colOff>128549</colOff>
      <row>25</row>
      <rowOff>90900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Marianna\moje%20dokumen\Moje%20dokumenty\Moje%20dokumenty\BiuletynInf\BiuletynInf\Charakterystyka1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VMINROLDATA\Wydzia&#322;%20Informacji%20Rynkowej%20i%20Statystyki%20Rolnej$\Users\apater.ADMINROL\Documents\Kopia%20pig-price-europa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VMINROLDATA\Wydzia&#322;%20Informacji%20Rynkowej%20i%20Statystyki%20Rolnej$\!!!%20WYMIANA\19%20ROBOTYZACJA\NOWY%20BIULETYN\wieprzowina%20x_2026.xlsm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!!!%20WYMIANA/8%20Owoce%20i%20Warzywa/BiuletynInf/Wykresy_detal_jab&#322;ka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!!!%20WYMIANA/1%20Wieprzowina/1%20BIULETYN/wieprzowina%2025_2026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ABwyn1"/>
      <sheetName val="Zestawienie2"/>
      <sheetName val="MINMAX"/>
      <sheetName val="SPRAWDZANIE (2)"/>
      <sheetName val="tabelaWARZ"/>
      <sheetName val="WK"/>
      <sheetName val="tabelaOW"/>
      <sheetName val="OK"/>
      <sheetName val="do danych"/>
      <sheetName val="dane"/>
      <sheetName val="WersjaAng"/>
      <sheetName val="Moduł1"/>
      <sheetName val="Moduł2"/>
      <sheetName val="Moduł3"/>
      <sheetName val="Moduł4"/>
      <sheetName val="Moduł5"/>
      <sheetName val="Moduł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Amis Exchange rate"/>
      <sheetName val="COVER"/>
      <sheetName val="Prices"/>
      <sheetName val="Weekly Piglet prices"/>
      <sheetName val="Class S"/>
      <sheetName val="Class E"/>
      <sheetName val="Class R"/>
      <sheetName val="Graphs Prices"/>
      <sheetName val="Monthly piglet prices"/>
      <sheetName val="Monthly pig prices-Classe S "/>
      <sheetName val="Monthly pig prices-Classe E"/>
      <sheetName val="Monthly pig prices-Class R"/>
      <sheetName val="Annual pig price-Class E"/>
      <sheetName val="Annual piglet price"/>
    </sheetNames>
    <sheetDataSet>
      <sheetData sheetId="0">
        <row r="2">
          <cell r="D2">
            <v>41426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INFO"/>
      <sheetName val="SPIS"/>
      <sheetName val="DODATKOWE INFO"/>
      <sheetName val="ZAKUP EUROP"/>
      <sheetName val="ZAKUP ŻYWIEC"/>
      <sheetName val="ZAKUP ŻYWIEC WYKRES TYG"/>
      <sheetName val="ZAKUP KL. E WYKRES TYG"/>
      <sheetName val="STRUKTURA EUROP"/>
      <sheetName val="ZAKUP MIN_MAX"/>
      <sheetName val="ZAKUP EUROP MCE"/>
      <sheetName val="ZAKUP ŻYWIEC MSC"/>
      <sheetName val="ZAKUP ŻYWIEC WYKRES MSC"/>
      <sheetName val="SPRZEDAŻ PÓŁTUSZ"/>
      <sheetName val="SPRZEDAŻ PÓŁTUSZ WYKRES TYG"/>
      <sheetName val="SPRZEDAŻ PÓŁTUSZ WYKRES MSC"/>
      <sheetName val="SPRZEDAŻ ELEMENTY"/>
      <sheetName val="SPRZEDAŻ WYBRANE ELEMENTY MSC"/>
      <sheetName val="ZAKUP DETAL"/>
      <sheetName val="Ceny_miesieczneUE_IV_2021"/>
      <sheetName val="UE (KRAJE) - KL. E"/>
      <sheetName val="UE (KRAJE) - KL. E WYKRES TYG"/>
      <sheetName val="PL, DE, UE - KL. E WYKRES"/>
      <sheetName val="UE (KRAJE) - KL. E MSC"/>
      <sheetName val="UE (KRAJE) - KL. E WYKRES MSC"/>
      <sheetName val="SALDO I-XI 2025"/>
      <sheetName val="EXP-IMP KRAJE I-XI 2025"/>
      <sheetName val="EXP-IMP KRAJE 23_24"/>
      <sheetName val="KRAJE ZMIANY CN 0203"/>
      <sheetName val="KRAJE ZMIANY CN 0103"/>
      <sheetName val="UBOJE GUS"/>
      <sheetName val="POMOC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C25">
            <v>2021</v>
          </cell>
          <cell r="D25"/>
        </row>
        <row r="27">
          <cell r="B27">
            <v>1</v>
          </cell>
          <cell r="D27">
            <v>5051.33</v>
          </cell>
        </row>
        <row r="28">
          <cell r="B28">
            <v>2</v>
          </cell>
          <cell r="D28">
            <v>5133.78</v>
          </cell>
        </row>
        <row r="29">
          <cell r="B29">
            <v>3</v>
          </cell>
          <cell r="D29">
            <v>5154.1899999999996</v>
          </cell>
        </row>
        <row r="30">
          <cell r="B30">
            <v>4</v>
          </cell>
          <cell r="D30">
            <v>5191.0200000000004</v>
          </cell>
        </row>
        <row r="31">
          <cell r="B31">
            <v>5</v>
          </cell>
          <cell r="D31">
            <v>5300.09</v>
          </cell>
        </row>
        <row r="32">
          <cell r="B32">
            <v>6</v>
          </cell>
          <cell r="D32">
            <v>5458.35</v>
          </cell>
        </row>
        <row r="33">
          <cell r="B33">
            <v>7</v>
          </cell>
          <cell r="D33">
            <v>5677.76</v>
          </cell>
        </row>
        <row r="34">
          <cell r="B34">
            <v>8</v>
          </cell>
          <cell r="D34">
            <v>6142.38</v>
          </cell>
        </row>
        <row r="35">
          <cell r="B35">
            <v>9</v>
          </cell>
          <cell r="D35">
            <v>6583.41</v>
          </cell>
        </row>
        <row r="36">
          <cell r="B36">
            <v>10</v>
          </cell>
          <cell r="D36">
            <v>6902.64</v>
          </cell>
        </row>
        <row r="37">
          <cell r="B37">
            <v>11</v>
          </cell>
          <cell r="D37">
            <v>7127.55</v>
          </cell>
        </row>
        <row r="38">
          <cell r="B38">
            <v>12</v>
          </cell>
          <cell r="D38">
            <v>7034.41</v>
          </cell>
        </row>
        <row r="39">
          <cell r="B39">
            <v>13</v>
          </cell>
          <cell r="D39">
            <v>6946.15</v>
          </cell>
        </row>
        <row r="40">
          <cell r="B40">
            <v>14</v>
          </cell>
          <cell r="D40">
            <v>6939.59</v>
          </cell>
        </row>
        <row r="41">
          <cell r="B41">
            <v>15</v>
          </cell>
          <cell r="D41">
            <v>6937.16</v>
          </cell>
        </row>
        <row r="42">
          <cell r="B42">
            <v>16</v>
          </cell>
          <cell r="D42">
            <v>6831.71</v>
          </cell>
        </row>
        <row r="43">
          <cell r="B43">
            <v>17</v>
          </cell>
          <cell r="D43">
            <v>6609.45</v>
          </cell>
        </row>
        <row r="44">
          <cell r="B44">
            <v>18</v>
          </cell>
          <cell r="D44">
            <v>6586.37</v>
          </cell>
        </row>
        <row r="45">
          <cell r="B45">
            <v>19</v>
          </cell>
          <cell r="D45">
            <v>6681.8</v>
          </cell>
        </row>
        <row r="46">
          <cell r="B46">
            <v>20</v>
          </cell>
          <cell r="D46">
            <v>7235.33</v>
          </cell>
        </row>
        <row r="47">
          <cell r="B47">
            <v>21</v>
          </cell>
          <cell r="D47">
            <v>7437.18</v>
          </cell>
        </row>
        <row r="48">
          <cell r="B48">
            <v>22</v>
          </cell>
          <cell r="D48">
            <v>7277.45</v>
          </cell>
        </row>
        <row r="49">
          <cell r="B49">
            <v>23</v>
          </cell>
          <cell r="D49">
            <v>7247.88</v>
          </cell>
        </row>
        <row r="50">
          <cell r="B50">
            <v>24</v>
          </cell>
          <cell r="D50">
            <v>7058.71</v>
          </cell>
        </row>
        <row r="51">
          <cell r="B51">
            <v>25</v>
          </cell>
          <cell r="D51">
            <v>6739.52</v>
          </cell>
        </row>
        <row r="52">
          <cell r="B52">
            <v>26</v>
          </cell>
          <cell r="D52">
            <v>6575.19</v>
          </cell>
        </row>
        <row r="53">
          <cell r="B53">
            <v>27</v>
          </cell>
          <cell r="D53">
            <v>6584.84</v>
          </cell>
        </row>
        <row r="54">
          <cell r="B54">
            <v>28</v>
          </cell>
          <cell r="D54">
            <v>6515.92</v>
          </cell>
        </row>
        <row r="55">
          <cell r="B55">
            <v>29</v>
          </cell>
          <cell r="D55">
            <v>6398.02</v>
          </cell>
        </row>
        <row r="56">
          <cell r="B56">
            <v>30</v>
          </cell>
          <cell r="D56">
            <v>6634.27</v>
          </cell>
        </row>
        <row r="57">
          <cell r="B57">
            <v>31</v>
          </cell>
          <cell r="D57">
            <v>6725.34</v>
          </cell>
        </row>
        <row r="58">
          <cell r="B58">
            <v>32</v>
          </cell>
          <cell r="D58">
            <v>6606.7</v>
          </cell>
        </row>
        <row r="59">
          <cell r="B59">
            <v>33</v>
          </cell>
          <cell r="D59">
            <v>6651.31</v>
          </cell>
        </row>
        <row r="60">
          <cell r="B60">
            <v>34</v>
          </cell>
          <cell r="D60">
            <v>6423.77</v>
          </cell>
        </row>
        <row r="61">
          <cell r="B61">
            <v>35</v>
          </cell>
          <cell r="D61">
            <v>6117.29</v>
          </cell>
        </row>
        <row r="62">
          <cell r="B62">
            <v>36</v>
          </cell>
          <cell r="D62">
            <v>5883.29</v>
          </cell>
        </row>
        <row r="63">
          <cell r="B63">
            <v>37</v>
          </cell>
          <cell r="D63">
            <v>5701.26</v>
          </cell>
        </row>
        <row r="64">
          <cell r="B64">
            <v>38</v>
          </cell>
          <cell r="D64">
            <v>5660.83</v>
          </cell>
        </row>
        <row r="65">
          <cell r="B65">
            <v>39</v>
          </cell>
          <cell r="D65">
            <v>5598.65</v>
          </cell>
        </row>
        <row r="66">
          <cell r="B66">
            <v>40</v>
          </cell>
          <cell r="D66">
            <v>5557.99</v>
          </cell>
        </row>
        <row r="67">
          <cell r="B67">
            <v>41</v>
          </cell>
          <cell r="D67">
            <v>5398.01</v>
          </cell>
        </row>
        <row r="68">
          <cell r="B68">
            <v>42</v>
          </cell>
          <cell r="D68">
            <v>5390.47</v>
          </cell>
        </row>
        <row r="69">
          <cell r="B69">
            <v>43</v>
          </cell>
          <cell r="D69">
            <v>5370.37</v>
          </cell>
        </row>
        <row r="70">
          <cell r="B70">
            <v>44</v>
          </cell>
          <cell r="D70">
            <v>5435.2</v>
          </cell>
        </row>
        <row r="71">
          <cell r="B71">
            <v>45</v>
          </cell>
          <cell r="D71">
            <v>5482.13</v>
          </cell>
        </row>
        <row r="72">
          <cell r="B72">
            <v>46</v>
          </cell>
          <cell r="D72">
            <v>5490.34</v>
          </cell>
        </row>
        <row r="73">
          <cell r="B73">
            <v>47</v>
          </cell>
          <cell r="D73">
            <v>5538.97</v>
          </cell>
        </row>
        <row r="74">
          <cell r="B74">
            <v>48</v>
          </cell>
          <cell r="D74">
            <v>5615.87</v>
          </cell>
        </row>
        <row r="75">
          <cell r="B75">
            <v>49</v>
          </cell>
          <cell r="D75">
            <v>5890.51</v>
          </cell>
        </row>
        <row r="76">
          <cell r="B76">
            <v>50</v>
          </cell>
          <cell r="D76">
            <v>6067.82</v>
          </cell>
        </row>
        <row r="77">
          <cell r="B77">
            <v>51</v>
          </cell>
          <cell r="D77">
            <v>5927.55</v>
          </cell>
        </row>
        <row r="78">
          <cell r="B78">
            <v>52</v>
          </cell>
          <cell r="D78">
            <v>5857.07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B5" t="str">
            <v>Notowania 12 - 18.01.2026 / Tydzień 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WYKRES JAPKA"/>
    </sheetNames>
    <sheetDataSet>
      <sheetData sheetId="0">
        <row r="25">
          <cell r="E25" t="str">
            <v>Gala</v>
          </cell>
          <cell r="F25"/>
          <cell r="G25" t="str">
            <v>Golden</v>
          </cell>
          <cell r="H25"/>
          <cell r="I25" t="str">
            <v>Jonagold</v>
          </cell>
          <cell r="J25"/>
          <cell r="K25" t="str">
            <v>Ligol</v>
          </cell>
          <cell r="L25"/>
          <cell r="M25" t="str">
            <v>Szampion</v>
          </cell>
          <cell r="N25"/>
        </row>
        <row r="27">
          <cell r="B27">
            <v>1</v>
          </cell>
          <cell r="F27">
            <v>3.5213000000000001</v>
          </cell>
          <cell r="H27">
            <v>3.3759999999999999</v>
          </cell>
          <cell r="J27">
            <v>2.8826999999999998</v>
          </cell>
          <cell r="L27">
            <v>3.113</v>
          </cell>
          <cell r="N27">
            <v>2.7725</v>
          </cell>
        </row>
        <row r="28">
          <cell r="B28">
            <v>2</v>
          </cell>
          <cell r="F28">
            <v>3.5</v>
          </cell>
          <cell r="H28">
            <v>3.3536999999999999</v>
          </cell>
          <cell r="J28">
            <v>2.7440000000000002</v>
          </cell>
          <cell r="L28">
            <v>3.1619000000000002</v>
          </cell>
          <cell r="N28">
            <v>2.9426000000000001</v>
          </cell>
        </row>
        <row r="29">
          <cell r="B29">
            <v>3</v>
          </cell>
          <cell r="F29">
            <v>3.4409999999999998</v>
          </cell>
          <cell r="H29">
            <v>3.3</v>
          </cell>
          <cell r="J29">
            <v>2.7898000000000001</v>
          </cell>
          <cell r="L29">
            <v>3.09</v>
          </cell>
          <cell r="N29">
            <v>3.04</v>
          </cell>
        </row>
        <row r="30">
          <cell r="B30">
            <v>4</v>
          </cell>
          <cell r="F30">
            <v>3.49</v>
          </cell>
          <cell r="H30">
            <v>3.29</v>
          </cell>
          <cell r="J30">
            <v>2.7948</v>
          </cell>
          <cell r="L30">
            <v>3.1854</v>
          </cell>
          <cell r="N30">
            <v>2.94</v>
          </cell>
        </row>
        <row r="31">
          <cell r="B31">
            <v>5</v>
          </cell>
          <cell r="F31">
            <v>3.4611000000000001</v>
          </cell>
          <cell r="H31">
            <v>3.2454999999999998</v>
          </cell>
          <cell r="J31">
            <v>2.89</v>
          </cell>
          <cell r="L31">
            <v>3.14</v>
          </cell>
          <cell r="N31">
            <v>2.8281000000000001</v>
          </cell>
        </row>
        <row r="32">
          <cell r="B32">
            <v>6</v>
          </cell>
          <cell r="F32">
            <v>3.32</v>
          </cell>
          <cell r="H32">
            <v>3.2389999999999999</v>
          </cell>
          <cell r="J32">
            <v>2.6</v>
          </cell>
          <cell r="L32">
            <v>3.07</v>
          </cell>
          <cell r="N32">
            <v>2.9943</v>
          </cell>
        </row>
        <row r="33">
          <cell r="B33">
            <v>7</v>
          </cell>
          <cell r="F33">
            <v>3.2433000000000001</v>
          </cell>
          <cell r="H33">
            <v>3.1158999999999999</v>
          </cell>
          <cell r="J33">
            <v>2.63</v>
          </cell>
          <cell r="L33">
            <v>2.96</v>
          </cell>
          <cell r="N33">
            <v>2.7351000000000001</v>
          </cell>
        </row>
        <row r="34">
          <cell r="B34">
            <v>8</v>
          </cell>
          <cell r="F34">
            <v>3.2433000000000001</v>
          </cell>
          <cell r="H34">
            <v>3.1158999999999999</v>
          </cell>
          <cell r="J34">
            <v>2.6315</v>
          </cell>
          <cell r="L34">
            <v>2.96</v>
          </cell>
          <cell r="N34">
            <v>2.7351000000000001</v>
          </cell>
        </row>
        <row r="35">
          <cell r="B35">
            <v>9</v>
          </cell>
          <cell r="F35">
            <v>3.3834</v>
          </cell>
          <cell r="H35">
            <v>3.2290000000000001</v>
          </cell>
          <cell r="J35">
            <v>2.5609999999999999</v>
          </cell>
          <cell r="L35">
            <v>3.3279999999999998</v>
          </cell>
          <cell r="N35">
            <v>2.9116</v>
          </cell>
        </row>
        <row r="36">
          <cell r="B36">
            <v>10</v>
          </cell>
          <cell r="F36">
            <v>3.4159000000000002</v>
          </cell>
          <cell r="H36">
            <v>3.2921999999999998</v>
          </cell>
          <cell r="J36">
            <v>2.625</v>
          </cell>
          <cell r="L36">
            <v>3.11</v>
          </cell>
          <cell r="N36">
            <v>2.9224999999999999</v>
          </cell>
        </row>
        <row r="37">
          <cell r="B37">
            <v>11</v>
          </cell>
          <cell r="F37">
            <v>3.4468000000000001</v>
          </cell>
          <cell r="H37">
            <v>3.1718999999999999</v>
          </cell>
          <cell r="J37">
            <v>2.5804999999999998</v>
          </cell>
          <cell r="L37">
            <v>3.0244</v>
          </cell>
          <cell r="N37">
            <v>2.8206000000000002</v>
          </cell>
        </row>
        <row r="38">
          <cell r="B38">
            <v>12</v>
          </cell>
          <cell r="F38">
            <v>3.2669999999999999</v>
          </cell>
          <cell r="H38">
            <v>3.2115999999999998</v>
          </cell>
          <cell r="J38">
            <v>2.5539999999999998</v>
          </cell>
          <cell r="L38">
            <v>3.0729000000000002</v>
          </cell>
          <cell r="N38">
            <v>2.6899000000000002</v>
          </cell>
        </row>
        <row r="39">
          <cell r="B39">
            <v>13</v>
          </cell>
          <cell r="F39">
            <v>3.43</v>
          </cell>
          <cell r="H39">
            <v>3.2</v>
          </cell>
          <cell r="J39">
            <v>2.62</v>
          </cell>
          <cell r="L39">
            <v>2.9188999999999998</v>
          </cell>
          <cell r="N39">
            <v>2.7490000000000001</v>
          </cell>
        </row>
        <row r="40">
          <cell r="B40">
            <v>14</v>
          </cell>
          <cell r="F40">
            <v>3.4769999999999999</v>
          </cell>
          <cell r="H40">
            <v>2.1949000000000001</v>
          </cell>
          <cell r="J40">
            <v>2.6680999999999999</v>
          </cell>
          <cell r="L40">
            <v>3.02</v>
          </cell>
          <cell r="N40">
            <v>2.71</v>
          </cell>
        </row>
        <row r="41">
          <cell r="B41">
            <v>15</v>
          </cell>
          <cell r="F41">
            <v>3.4769999999999999</v>
          </cell>
          <cell r="H41">
            <v>2.1949000000000001</v>
          </cell>
          <cell r="J41">
            <v>2.7</v>
          </cell>
          <cell r="L41">
            <v>3</v>
          </cell>
          <cell r="N41">
            <v>2.7</v>
          </cell>
        </row>
        <row r="42">
          <cell r="B42">
            <v>16</v>
          </cell>
          <cell r="F42">
            <v>3.58</v>
          </cell>
          <cell r="H42">
            <v>3.2498999999999998</v>
          </cell>
          <cell r="J42">
            <v>2.6118000000000001</v>
          </cell>
          <cell r="L42">
            <v>3.1</v>
          </cell>
          <cell r="N42">
            <v>2.9338000000000002</v>
          </cell>
        </row>
        <row r="43">
          <cell r="B43">
            <v>17</v>
          </cell>
          <cell r="F43">
            <v>3.66</v>
          </cell>
          <cell r="H43">
            <v>3.26</v>
          </cell>
          <cell r="J43">
            <v>2.62</v>
          </cell>
          <cell r="L43">
            <v>3.13</v>
          </cell>
          <cell r="N43">
            <v>2.7892999999999999</v>
          </cell>
        </row>
        <row r="44">
          <cell r="B44">
            <v>18</v>
          </cell>
          <cell r="F44">
            <v>3.63</v>
          </cell>
          <cell r="H44">
            <v>3.3170000000000002</v>
          </cell>
          <cell r="J44">
            <v>2.6257999999999999</v>
          </cell>
          <cell r="L44">
            <v>3.1684000000000001</v>
          </cell>
          <cell r="N44">
            <v>2.9571999999999998</v>
          </cell>
        </row>
        <row r="45">
          <cell r="B45">
            <v>19</v>
          </cell>
          <cell r="F45">
            <v>3.657</v>
          </cell>
          <cell r="H45">
            <v>3.2989999999999999</v>
          </cell>
          <cell r="J45">
            <v>2.831</v>
          </cell>
          <cell r="L45">
            <v>3.1</v>
          </cell>
          <cell r="N45">
            <v>2.7924000000000002</v>
          </cell>
        </row>
        <row r="46">
          <cell r="B46">
            <v>20</v>
          </cell>
          <cell r="F46">
            <v>3.5640000000000001</v>
          </cell>
          <cell r="H46">
            <v>3.2538999999999998</v>
          </cell>
          <cell r="J46">
            <v>2.7296</v>
          </cell>
          <cell r="L46">
            <v>3.0880000000000001</v>
          </cell>
          <cell r="N46">
            <v>2.9447000000000001</v>
          </cell>
        </row>
        <row r="47">
          <cell r="B47">
            <v>21</v>
          </cell>
          <cell r="F47">
            <v>3.5640000000000001</v>
          </cell>
          <cell r="H47">
            <v>3.26</v>
          </cell>
          <cell r="J47">
            <v>2.72</v>
          </cell>
          <cell r="L47">
            <v>3.1</v>
          </cell>
          <cell r="N47">
            <v>2.9447000000000001</v>
          </cell>
        </row>
        <row r="48">
          <cell r="B48">
            <v>22</v>
          </cell>
          <cell r="F48">
            <v>3.657</v>
          </cell>
          <cell r="H48">
            <v>3.2989999999999999</v>
          </cell>
          <cell r="J48">
            <v>2.831</v>
          </cell>
          <cell r="L48">
            <v>3.1</v>
          </cell>
          <cell r="N48">
            <v>2.7924000000000002</v>
          </cell>
        </row>
        <row r="49">
          <cell r="B49">
            <v>23</v>
          </cell>
          <cell r="F49">
            <v>3.76</v>
          </cell>
          <cell r="H49">
            <v>3.34</v>
          </cell>
          <cell r="J49">
            <v>2.91</v>
          </cell>
          <cell r="L49">
            <v>3.18</v>
          </cell>
          <cell r="N49">
            <v>3.0760000000000001</v>
          </cell>
        </row>
        <row r="50">
          <cell r="B50">
            <v>24</v>
          </cell>
          <cell r="F50">
            <v>3.66</v>
          </cell>
          <cell r="H50">
            <v>3.34</v>
          </cell>
          <cell r="J50">
            <v>2.75</v>
          </cell>
          <cell r="L50">
            <v>3.18</v>
          </cell>
          <cell r="N50">
            <v>3.06</v>
          </cell>
        </row>
        <row r="51">
          <cell r="B51">
            <v>25</v>
          </cell>
          <cell r="F51">
            <v>3.6673</v>
          </cell>
          <cell r="H51">
            <v>3.3367300000000002</v>
          </cell>
          <cell r="J51">
            <v>2.88</v>
          </cell>
          <cell r="L51">
            <v>3.18</v>
          </cell>
          <cell r="N51">
            <v>3.09</v>
          </cell>
        </row>
        <row r="52">
          <cell r="B52">
            <v>26</v>
          </cell>
          <cell r="F52">
            <v>3.65</v>
          </cell>
          <cell r="H52">
            <v>3.33</v>
          </cell>
          <cell r="J52">
            <v>2.81</v>
          </cell>
          <cell r="L52">
            <v>3.1949999999999998</v>
          </cell>
          <cell r="N52">
            <v>3.0379999999999998</v>
          </cell>
        </row>
        <row r="53">
          <cell r="B53">
            <v>27</v>
          </cell>
          <cell r="F53">
            <v>3.62</v>
          </cell>
          <cell r="H53">
            <v>3.34</v>
          </cell>
          <cell r="J53">
            <v>2.79</v>
          </cell>
          <cell r="L53">
            <v>3.18</v>
          </cell>
          <cell r="N53">
            <v>3</v>
          </cell>
        </row>
        <row r="54">
          <cell r="B54">
            <v>28</v>
          </cell>
          <cell r="F54">
            <v>3.59</v>
          </cell>
          <cell r="H54">
            <v>3.37</v>
          </cell>
          <cell r="J54">
            <v>2.83</v>
          </cell>
          <cell r="L54">
            <v>3.16</v>
          </cell>
          <cell r="N54">
            <v>3.06</v>
          </cell>
        </row>
        <row r="55">
          <cell r="B55">
            <v>29</v>
          </cell>
          <cell r="F55">
            <v>3.61</v>
          </cell>
          <cell r="H55">
            <v>3.3184999999999998</v>
          </cell>
          <cell r="J55">
            <v>2.83</v>
          </cell>
          <cell r="L55">
            <v>3.27</v>
          </cell>
          <cell r="N55">
            <v>3.01</v>
          </cell>
        </row>
        <row r="56">
          <cell r="B56">
            <v>30</v>
          </cell>
          <cell r="F56">
            <v>3.63</v>
          </cell>
          <cell r="H56">
            <v>3.34</v>
          </cell>
          <cell r="J56">
            <v>2.84</v>
          </cell>
          <cell r="L56">
            <v>3.13</v>
          </cell>
          <cell r="N56">
            <v>2.99</v>
          </cell>
        </row>
        <row r="57">
          <cell r="B57">
            <v>31</v>
          </cell>
          <cell r="F57">
            <v>3.72</v>
          </cell>
          <cell r="H57">
            <v>3.36</v>
          </cell>
          <cell r="J57">
            <v>2.88</v>
          </cell>
          <cell r="L57">
            <v>3.21</v>
          </cell>
          <cell r="N57">
            <v>3.0373999999999999</v>
          </cell>
        </row>
        <row r="58">
          <cell r="B58">
            <v>32</v>
          </cell>
          <cell r="F58"/>
          <cell r="H58"/>
          <cell r="J58"/>
          <cell r="L58"/>
          <cell r="N58"/>
        </row>
        <row r="59">
          <cell r="B59">
            <v>33</v>
          </cell>
          <cell r="F59"/>
          <cell r="H59"/>
          <cell r="J59"/>
          <cell r="L59"/>
          <cell r="N59"/>
        </row>
        <row r="60">
          <cell r="B60">
            <v>34</v>
          </cell>
          <cell r="F60"/>
          <cell r="H60"/>
          <cell r="J60"/>
          <cell r="L60"/>
          <cell r="N60"/>
        </row>
        <row r="61">
          <cell r="B61">
            <v>35</v>
          </cell>
          <cell r="F61"/>
          <cell r="H61"/>
          <cell r="J61"/>
          <cell r="L61"/>
          <cell r="N61"/>
        </row>
        <row r="62">
          <cell r="B62">
            <v>36</v>
          </cell>
          <cell r="F62"/>
          <cell r="H62"/>
          <cell r="J62"/>
          <cell r="L62"/>
          <cell r="N62"/>
        </row>
        <row r="63">
          <cell r="B63">
            <v>37</v>
          </cell>
          <cell r="F63"/>
          <cell r="H63"/>
          <cell r="J63"/>
          <cell r="L63"/>
          <cell r="N63"/>
        </row>
        <row r="64">
          <cell r="B64">
            <v>38</v>
          </cell>
          <cell r="F64"/>
          <cell r="H64"/>
          <cell r="J64"/>
          <cell r="L64"/>
          <cell r="N64"/>
        </row>
        <row r="65">
          <cell r="B65">
            <v>39</v>
          </cell>
          <cell r="F65"/>
          <cell r="H65"/>
          <cell r="J65"/>
          <cell r="L65"/>
          <cell r="N65"/>
        </row>
        <row r="66">
          <cell r="B66">
            <v>40</v>
          </cell>
          <cell r="F66"/>
          <cell r="H66"/>
          <cell r="J66"/>
          <cell r="L66"/>
          <cell r="N66"/>
        </row>
        <row r="67">
          <cell r="B67">
            <v>41</v>
          </cell>
          <cell r="F67"/>
          <cell r="H67"/>
          <cell r="J67"/>
          <cell r="L67"/>
          <cell r="N67"/>
        </row>
        <row r="68">
          <cell r="B68">
            <v>42</v>
          </cell>
          <cell r="F68"/>
          <cell r="H68"/>
          <cell r="J68"/>
          <cell r="L68"/>
          <cell r="N68"/>
        </row>
        <row r="69">
          <cell r="B69">
            <v>43</v>
          </cell>
          <cell r="F69"/>
          <cell r="H69"/>
          <cell r="J69"/>
          <cell r="L69"/>
          <cell r="N69"/>
        </row>
        <row r="70">
          <cell r="B70">
            <v>44</v>
          </cell>
          <cell r="F70"/>
          <cell r="H70"/>
          <cell r="J70"/>
          <cell r="L70"/>
          <cell r="N70"/>
        </row>
        <row r="71">
          <cell r="B71">
            <v>45</v>
          </cell>
          <cell r="F71"/>
          <cell r="H71"/>
          <cell r="J71"/>
          <cell r="L71"/>
          <cell r="N71"/>
        </row>
        <row r="72">
          <cell r="B72">
            <v>46</v>
          </cell>
          <cell r="F72"/>
          <cell r="H72"/>
          <cell r="J72"/>
          <cell r="L72"/>
          <cell r="N72"/>
        </row>
        <row r="73">
          <cell r="B73">
            <v>47</v>
          </cell>
          <cell r="F73"/>
          <cell r="H73"/>
          <cell r="J73"/>
          <cell r="L73"/>
          <cell r="N73"/>
        </row>
        <row r="74">
          <cell r="B74">
            <v>48</v>
          </cell>
          <cell r="F74"/>
          <cell r="H74"/>
          <cell r="J74"/>
          <cell r="L74"/>
          <cell r="N74"/>
        </row>
        <row r="75">
          <cell r="B75">
            <v>49</v>
          </cell>
          <cell r="F75"/>
          <cell r="H75"/>
          <cell r="J75"/>
          <cell r="L75"/>
          <cell r="N75"/>
        </row>
        <row r="76">
          <cell r="B76">
            <v>50</v>
          </cell>
          <cell r="F76"/>
          <cell r="H76"/>
          <cell r="J76"/>
          <cell r="L76"/>
          <cell r="N76"/>
        </row>
        <row r="77">
          <cell r="B77">
            <v>51</v>
          </cell>
          <cell r="F77"/>
          <cell r="H77"/>
          <cell r="J77"/>
          <cell r="L77"/>
          <cell r="N77"/>
        </row>
        <row r="78">
          <cell r="B78">
            <v>52</v>
          </cell>
          <cell r="F78"/>
          <cell r="H78"/>
          <cell r="J78"/>
          <cell r="L78"/>
          <cell r="N78"/>
        </row>
        <row r="79">
          <cell r="L79"/>
          <cell r="N79"/>
        </row>
      </sheetData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INFO"/>
      <sheetName val="SPIS"/>
      <sheetName val="DODATKOWE INFO"/>
      <sheetName val="ZAKUP EUROP"/>
      <sheetName val="ZAKUP ŻYWIEC"/>
      <sheetName val="ZAKUP ŻYWIEC WYKRES TYG"/>
      <sheetName val="ZAKUP KL. E WYKRES TYG"/>
      <sheetName val="STRUKTURA EUROP"/>
      <sheetName val="ZAKUP MIN_MAX"/>
      <sheetName val="ZAKUP EUROP MCE"/>
      <sheetName val="ZAKUP ŻYWIEC MSC"/>
      <sheetName val="ZAKUP ŻYWIEC WYKRES MSC"/>
      <sheetName val="SPRZEDAŻ PÓŁTUSZ"/>
      <sheetName val="SPRZEDAŻ PÓŁTUSZ WYKRES TYG"/>
      <sheetName val="SPRZEDAŻ PÓŁTUSZ WYKRES MSC"/>
      <sheetName val="SPRZEDAŻ ELEMENTY"/>
      <sheetName val="SPRZEDAŻ WYBRANE ELEMENTY MSC"/>
      <sheetName val="ZAKUP DETAL"/>
      <sheetName val="Ceny_miesieczneUE_IV_2021"/>
      <sheetName val="UE (KRAJE) - KL. E"/>
      <sheetName val="UE (KRAJE) - KL. E WYKRES TYG"/>
      <sheetName val="PL, DE, UE - KL. E WYKRES"/>
      <sheetName val="UE (KRAJE) - KL. E MSC"/>
      <sheetName val="UE (KRAJE) - KL. E. MSC"/>
      <sheetName val="UE (KRAJE) - KL. E WYKRES MSC"/>
      <sheetName val="SALDO"/>
      <sheetName val="EXP-IMP KRAJE"/>
      <sheetName val="EXP-IMP KRAJE LATA"/>
      <sheetName val="KRAJE ZMIANY CN 0203"/>
      <sheetName val="UBOJE GUS"/>
      <sheetName val="POM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6">
          <cell r="B6" t="str">
            <v>Notowania 15 - 21.06.2026 / Tydzień 25</v>
          </cell>
        </row>
      </sheetData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Arkusz1">
    <tabColor rgb="FF008000"/>
    <outlinePr summaryBelow="1" summaryRight="1"/>
    <pageSetUpPr fitToPage="1"/>
  </sheetPr>
  <dimension ref="A1:AI50"/>
  <sheetViews>
    <sheetView showGridLines="0" tabSelected="1" topLeftCell="A10" zoomScaleNormal="100" workbookViewId="0">
      <selection activeCell="I12" sqref="I12"/>
    </sheetView>
  </sheetViews>
  <sheetFormatPr baseColWidth="8" defaultRowHeight="12.5"/>
  <cols>
    <col width="10.7265625" customWidth="1" style="524" min="1" max="13"/>
    <col width="10.7265625" customWidth="1" style="123" min="14" max="15"/>
    <col width="10.7265625" customWidth="1" style="524" min="16" max="26"/>
  </cols>
  <sheetData>
    <row r="1" ht="25" customHeight="1" s="524">
      <c r="L1" s="104" t="n"/>
      <c r="M1" s="104" t="n"/>
      <c r="N1" s="523" t="n"/>
      <c r="O1" s="523" t="n"/>
      <c r="P1" s="10" t="n"/>
      <c r="Q1" s="10" t="n"/>
      <c r="R1" s="10" t="n"/>
      <c r="S1" s="10" t="n"/>
      <c r="AH1" s="105" t="n"/>
      <c r="AI1" s="105" t="n"/>
    </row>
    <row r="2" ht="25" customHeight="1" s="524">
      <c r="L2" s="104" t="n"/>
      <c r="N2" s="523" t="n"/>
      <c r="O2" s="523" t="n"/>
      <c r="Q2" s="10" t="n"/>
      <c r="R2" s="10" t="n"/>
      <c r="S2" s="10" t="n"/>
      <c r="AH2" s="105" t="n"/>
      <c r="AI2" s="105" t="n"/>
    </row>
    <row r="3" ht="25" customHeight="1" s="524">
      <c r="L3" s="104" t="n"/>
      <c r="N3" s="523" t="n"/>
      <c r="O3" s="523" t="n"/>
      <c r="P3" s="10" t="n"/>
      <c r="Q3" s="10" t="n"/>
      <c r="R3" s="10" t="n"/>
      <c r="S3" s="10" t="n"/>
      <c r="AH3" s="105" t="n"/>
      <c r="AI3" s="105" t="n"/>
    </row>
    <row r="4" ht="25" customHeight="1" s="524">
      <c r="A4" s="15" t="n"/>
      <c r="C4" s="10" t="n"/>
      <c r="D4" s="10" t="n"/>
      <c r="E4" s="10" t="n"/>
      <c r="F4" s="10" t="n"/>
      <c r="G4" s="16" t="n"/>
      <c r="H4" s="10" t="n"/>
      <c r="I4" s="10" t="n"/>
      <c r="J4" s="10" t="n"/>
      <c r="K4" s="10" t="n"/>
      <c r="L4" s="10" t="n"/>
      <c r="M4" s="10" t="n"/>
      <c r="N4" s="523" t="n"/>
      <c r="O4" s="523" t="n"/>
      <c r="P4" s="10" t="n"/>
      <c r="Q4" s="10" t="n"/>
      <c r="R4" s="10" t="n"/>
      <c r="S4" s="10" t="n"/>
    </row>
    <row r="5" ht="20.15" customHeight="1" s="524">
      <c r="B5" s="106" t="inlineStr">
        <is>
          <t xml:space="preserve"> ZINTEGROWANY SYSTEM ROLNICZEJ INFORMACJI RYNKOWEJ</t>
        </is>
      </c>
      <c r="C5" s="107" t="n"/>
      <c r="D5" s="107" t="n"/>
      <c r="E5" s="107" t="n"/>
      <c r="F5" s="107" t="n"/>
      <c r="G5" s="107" t="n"/>
      <c r="H5" s="107" t="n"/>
      <c r="I5" s="107" t="n"/>
      <c r="J5" s="107" t="n"/>
      <c r="K5" s="107" t="n"/>
      <c r="L5" s="107" t="n"/>
      <c r="M5" s="107" t="n"/>
      <c r="N5" s="108" t="n"/>
      <c r="O5" s="523" t="n"/>
      <c r="P5" s="10" t="n"/>
      <c r="Q5" s="10" t="n"/>
      <c r="R5" s="10" t="n"/>
      <c r="S5" s="10" t="n"/>
    </row>
    <row r="6" ht="20.15" customHeight="1" s="524">
      <c r="A6" s="109" t="n"/>
      <c r="B6" s="13" t="n"/>
      <c r="C6" s="13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523" t="n"/>
      <c r="O6" s="523" t="n"/>
      <c r="P6" s="10" t="n"/>
      <c r="Q6" s="10" t="n"/>
      <c r="R6" s="10" t="n"/>
      <c r="S6" s="10" t="n"/>
    </row>
    <row r="7" ht="20.15" customHeight="1" s="524">
      <c r="A7" s="109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523" t="n"/>
      <c r="O7" s="523" t="n"/>
      <c r="P7" s="10" t="n"/>
      <c r="Q7" s="10" t="n"/>
      <c r="R7" s="10" t="n"/>
      <c r="S7" s="10" t="n"/>
    </row>
    <row r="8" ht="20.15" customHeight="1" s="524">
      <c r="A8" s="109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523" t="n"/>
      <c r="O8" s="523" t="n"/>
      <c r="P8" s="10" t="n"/>
      <c r="Q8" s="10" t="n"/>
      <c r="R8" s="10" t="n"/>
      <c r="S8" s="10" t="n"/>
    </row>
    <row r="9" ht="20.15" customHeight="1" s="524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523" t="n"/>
      <c r="O9" s="523" t="n"/>
      <c r="P9" s="10" t="n"/>
      <c r="Q9" s="10" t="n"/>
      <c r="R9" s="10" t="n"/>
      <c r="S9" s="10" t="n"/>
    </row>
    <row r="10" ht="49" customHeight="1" s="524">
      <c r="A10" s="110" t="n"/>
      <c r="B10" s="111" t="inlineStr">
        <is>
          <t>Rynek</t>
        </is>
      </c>
      <c r="C10" s="112" t="n"/>
      <c r="D10" s="112" t="n"/>
      <c r="E10" s="112" t="n"/>
      <c r="F10" s="112" t="n"/>
      <c r="G10" s="112" t="n"/>
      <c r="H10" s="112" t="n"/>
      <c r="I10" s="112" t="n"/>
      <c r="J10" s="10" t="n"/>
      <c r="K10" s="10" t="n"/>
      <c r="L10" s="10" t="n"/>
      <c r="N10" s="523" t="n"/>
      <c r="O10" s="523" t="n"/>
      <c r="P10" s="10" t="n"/>
      <c r="Q10" s="10" t="n"/>
      <c r="R10" s="10" t="n"/>
      <c r="S10" s="10" t="n"/>
    </row>
    <row r="11" ht="49" customHeight="1" s="524">
      <c r="A11" s="110" t="n"/>
      <c r="B11" s="113" t="inlineStr">
        <is>
          <t xml:space="preserve">owoców i warzyw </t>
        </is>
      </c>
      <c r="C11" s="112" t="n"/>
      <c r="D11" s="112" t="n"/>
      <c r="E11" s="112" t="n"/>
      <c r="F11" s="112" t="n"/>
      <c r="G11" s="112" t="n"/>
      <c r="H11" s="112" t="n"/>
      <c r="I11" s="112" t="n"/>
      <c r="J11" s="10" t="n"/>
      <c r="K11" s="10" t="n"/>
      <c r="L11" s="10" t="n"/>
      <c r="N11" s="523" t="n"/>
      <c r="O11" s="523" t="n"/>
      <c r="P11" s="10" t="n"/>
      <c r="Q11" s="10" t="n"/>
      <c r="R11" s="10" t="n"/>
      <c r="S11" s="10" t="n"/>
    </row>
    <row r="12" ht="49" customHeight="1" s="524">
      <c r="A12" s="110" t="n"/>
      <c r="B12" s="113" t="n"/>
      <c r="C12" s="112" t="n"/>
      <c r="D12" s="112" t="n"/>
      <c r="E12" s="112" t="n"/>
      <c r="F12" s="112" t="n"/>
      <c r="G12" s="112" t="n"/>
      <c r="H12" s="112" t="n"/>
      <c r="I12" s="112" t="n"/>
      <c r="J12" s="10" t="n"/>
      <c r="K12" s="10" t="n"/>
      <c r="L12" s="10" t="n"/>
      <c r="N12" s="523" t="n"/>
      <c r="O12" s="523" t="n"/>
      <c r="P12" s="10" t="n"/>
      <c r="Q12" s="10" t="n"/>
      <c r="R12" s="10" t="n"/>
      <c r="S12" s="10" t="n"/>
    </row>
    <row r="13" ht="51" customHeight="1" s="524">
      <c r="A13" s="110" t="n"/>
      <c r="B13" s="114" t="n"/>
      <c r="C13" s="112" t="n"/>
      <c r="D13" s="112" t="n"/>
      <c r="E13" s="112" t="n"/>
      <c r="F13" s="112" t="n"/>
      <c r="G13" s="112" t="n"/>
      <c r="H13" s="112" t="n"/>
      <c r="I13" s="112" t="n"/>
      <c r="J13" s="10" t="n"/>
      <c r="K13" s="10" t="n"/>
      <c r="N13" s="523" t="n"/>
      <c r="O13" s="523" t="n"/>
      <c r="P13" s="10" t="n"/>
      <c r="Q13" s="10" t="n"/>
      <c r="R13" s="10" t="n"/>
      <c r="S13" s="10" t="n"/>
    </row>
    <row r="14" ht="20.15" customHeight="1" s="524">
      <c r="A14" s="110" t="n"/>
      <c r="B14" s="115" t="inlineStr">
        <is>
          <t>NR 34/2026</t>
        </is>
      </c>
      <c r="C14" s="112" t="n"/>
      <c r="D14" s="112" t="n"/>
      <c r="E14" s="112" t="n"/>
      <c r="F14" s="112" t="n"/>
      <c r="G14" s="112" t="n"/>
      <c r="H14" s="112" t="n"/>
      <c r="L14" s="10" t="n"/>
      <c r="M14" s="116" t="n"/>
      <c r="N14" s="523" t="n"/>
      <c r="O14" s="523" t="n"/>
      <c r="P14" s="10" t="n"/>
      <c r="Q14" s="10" t="n"/>
      <c r="R14" s="10" t="n"/>
      <c r="S14" s="10" t="n"/>
    </row>
    <row r="15" ht="20.15" customHeight="1" s="524">
      <c r="A15" s="110" t="n"/>
      <c r="B15" s="117" t="n"/>
      <c r="C15" s="112" t="n"/>
      <c r="D15" s="112" t="n"/>
      <c r="E15" s="112" t="n"/>
      <c r="F15" s="112" t="n"/>
      <c r="G15" s="112" t="n"/>
      <c r="H15" s="112" t="n"/>
      <c r="I15" s="112" t="n"/>
      <c r="J15" s="10" t="n"/>
      <c r="M15" s="116" t="n"/>
      <c r="N15" s="523" t="n"/>
      <c r="O15" s="523" t="n"/>
      <c r="P15" s="10" t="n"/>
      <c r="Q15" s="10" t="n"/>
      <c r="R15" s="10" t="n"/>
      <c r="S15" s="10" t="n"/>
    </row>
    <row r="16" ht="20.15" customHeight="1" s="524">
      <c r="A16" s="118" t="n"/>
      <c r="B16" s="119" t="n"/>
      <c r="C16" s="22" t="n"/>
      <c r="D16" s="22" t="n"/>
      <c r="E16" s="22" t="n"/>
      <c r="F16" s="10" t="n"/>
      <c r="G16" s="10" t="n"/>
      <c r="H16" s="10" t="n"/>
      <c r="K16" s="10" t="n"/>
      <c r="L16" s="10" t="n"/>
      <c r="M16" s="120" t="inlineStr">
        <is>
          <t>27 sierpnia 2026 r.</t>
        </is>
      </c>
      <c r="N16" s="523" t="n"/>
      <c r="O16" s="523" t="n"/>
      <c r="P16" s="10" t="n"/>
      <c r="Q16" s="10" t="n"/>
      <c r="R16" s="10" t="n"/>
      <c r="S16" s="10" t="n"/>
    </row>
    <row r="17" ht="20.15" customHeight="1" s="524">
      <c r="A17" s="118" t="n"/>
      <c r="B17" s="22" t="n"/>
      <c r="C17" s="22" t="n"/>
      <c r="D17" s="22" t="n"/>
      <c r="E17" s="22" t="n"/>
      <c r="F17" s="10" t="n"/>
      <c r="G17" s="10" t="n"/>
      <c r="H17" s="10" t="n"/>
      <c r="I17" s="10" t="n"/>
      <c r="J17" s="10" t="n"/>
      <c r="K17" s="10" t="n"/>
      <c r="L17" s="10" t="n"/>
      <c r="N17" s="523" t="n"/>
      <c r="O17" s="523" t="n"/>
      <c r="P17" s="10" t="n"/>
      <c r="Q17" s="10" t="n"/>
      <c r="R17" s="10" t="n"/>
      <c r="S17" s="10" t="n"/>
    </row>
    <row r="18" ht="20.15" customHeight="1" s="524">
      <c r="A18" s="121" t="n"/>
      <c r="B18" s="22" t="n"/>
      <c r="C18" s="22" t="n"/>
      <c r="D18" s="22" t="n"/>
      <c r="E18" s="22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523" t="n"/>
      <c r="O18" s="523" t="n"/>
      <c r="P18" s="10" t="n"/>
      <c r="Q18" s="10" t="n"/>
      <c r="R18" s="10" t="n"/>
      <c r="S18" s="10" t="n"/>
    </row>
    <row r="19" ht="20.15" customHeight="1" s="524">
      <c r="D19" s="122" t="inlineStr">
        <is>
          <t>zsrir.minrol.gov.pl</t>
        </is>
      </c>
      <c r="E19" s="22" t="n"/>
      <c r="P19" s="10" t="n"/>
      <c r="Q19" s="10" t="n"/>
      <c r="R19" s="10" t="n"/>
      <c r="S19" s="10" t="n"/>
    </row>
    <row r="20" ht="20.15" customHeight="1" s="524">
      <c r="P20" s="10" t="n"/>
      <c r="Q20" s="10" t="n"/>
      <c r="R20" s="10" t="n"/>
      <c r="S20" s="10" t="n"/>
    </row>
    <row r="21" ht="20.15" customHeight="1" s="524">
      <c r="P21" s="10" t="n"/>
      <c r="Q21" s="10" t="n"/>
      <c r="R21" s="10" t="n"/>
      <c r="S21" s="10" t="n"/>
    </row>
    <row r="22" ht="20.15" customHeight="1" s="524">
      <c r="A22" s="22" t="inlineStr">
        <is>
          <t>Informacje dot. cen hurtowych dostarczone są przez przedstawicieli niżej wymienionych rynków hurtowych.</t>
        </is>
      </c>
      <c r="P22" s="10" t="n"/>
      <c r="Q22" s="10" t="n"/>
      <c r="R22" s="10" t="n"/>
      <c r="S22" s="10" t="n"/>
    </row>
    <row r="23" ht="20.15" customHeight="1" s="524">
      <c r="A23" s="22" t="inlineStr">
        <is>
          <t>Warszawski Rolno-Spożywczy Rynek Hurtowy S.A. – Bronisze – www.bronisze.com.pl; Giełda - Białystok Podlaskie Centrum Rolno Towarowe S.A. - https://www.podlaskiecentrum.pl/; Lubelski Rynek Hurtowy S.A. – Lublin – www.elizowka.pl, Wielkopolska Gildia Rolno-Ogrodnicza S.A. – Poznań – www.wgro.com.pl; Podkarpackie Centrum Hurtowe Agrohurt S.A. – Rzeszów – www.mgrt.rzeszow.pl; Zachodniopomorskie Centrum Hurtowe Rolhurt- www.rolhurt.pl, Mewat Bydgoszcz - www.targowisko.mewat.pl, Rolno-spożywczy rynek hurtowy we Wrocławiu - http://www.targpiast.com.pl/, Łódzki Rynek Hurtowy ZJAZDOWA S.A. https://zjazdowa.com.pl/., Radomska Giełda Rolna - https://rsrh-radom.pl/, Targowisko Miejskie Sandomierz - http://targowiskasandomierz.pl/, Kompleks Handlowy RYBITWY - https://khrybitwy.pl/.</t>
        </is>
      </c>
      <c r="P23" s="10" t="n"/>
      <c r="Q23" s="10" t="n"/>
      <c r="R23" s="10" t="n"/>
      <c r="S23" s="10" t="n"/>
    </row>
    <row r="24" ht="20.15" customHeight="1" s="524">
      <c r="P24" s="10" t="n"/>
      <c r="Q24" s="10" t="n"/>
      <c r="R24" s="10" t="n"/>
      <c r="S24" s="10" t="n"/>
    </row>
    <row r="25" ht="20.15" customHeight="1" s="524">
      <c r="O25" s="523" t="n"/>
      <c r="P25" s="10" t="n"/>
      <c r="Q25" s="10" t="n"/>
      <c r="R25" s="10" t="n"/>
      <c r="S25" s="10" t="n"/>
    </row>
    <row r="26" ht="20.15" customHeight="1" s="524">
      <c r="O26" s="523" t="n"/>
      <c r="P26" s="10" t="n"/>
      <c r="Q26" s="10" t="n"/>
      <c r="R26" s="10" t="n"/>
      <c r="S26" s="10" t="n"/>
    </row>
    <row r="27" ht="20.15" customHeight="1" s="524">
      <c r="O27" s="523" t="n"/>
      <c r="P27" s="10" t="n"/>
      <c r="Q27" s="10" t="n"/>
      <c r="R27" s="10" t="n"/>
      <c r="S27" s="10" t="n"/>
    </row>
    <row r="28" ht="20.15" customHeight="1" s="524">
      <c r="O28" s="523" t="n"/>
      <c r="P28" s="10" t="n"/>
      <c r="Q28" s="10" t="n"/>
      <c r="R28" s="10" t="n"/>
      <c r="S28" s="10" t="n"/>
    </row>
    <row r="29" ht="20.15" customHeight="1" s="524">
      <c r="M29" s="10" t="n"/>
      <c r="N29" s="523" t="n"/>
      <c r="O29" s="523" t="n"/>
      <c r="P29" s="10" t="n"/>
      <c r="Q29" s="10" t="n"/>
      <c r="R29" s="10" t="n"/>
      <c r="S29" s="10" t="n"/>
    </row>
    <row r="30" ht="20.15" customHeight="1" s="524">
      <c r="M30" s="10" t="n"/>
      <c r="N30" s="523" t="n"/>
      <c r="O30" s="523" t="n"/>
      <c r="P30" s="10" t="n"/>
      <c r="Q30" s="10" t="n"/>
      <c r="R30" s="10" t="n"/>
      <c r="S30" s="10" t="n"/>
    </row>
    <row r="31" ht="20.15" customHeight="1" s="524">
      <c r="M31" s="10" t="n"/>
      <c r="N31" s="523" t="n"/>
      <c r="O31" s="523" t="n"/>
      <c r="P31" s="10" t="n"/>
      <c r="Q31" s="10" t="n"/>
      <c r="R31" s="10" t="n"/>
      <c r="S31" s="10" t="n"/>
    </row>
    <row r="32" ht="20.15" customHeight="1" s="524">
      <c r="M32" s="10" t="n"/>
      <c r="N32" s="523" t="n"/>
      <c r="O32" s="523" t="n"/>
      <c r="P32" s="10" t="n"/>
      <c r="Q32" s="10" t="n"/>
      <c r="R32" s="10" t="n"/>
      <c r="S32" s="10" t="n"/>
    </row>
    <row r="33" ht="20.15" customHeight="1" s="524">
      <c r="M33" s="10" t="n"/>
      <c r="N33" s="523" t="n"/>
      <c r="O33" s="523" t="n"/>
      <c r="P33" s="10" t="n"/>
      <c r="Q33" s="10" t="n"/>
      <c r="R33" s="10" t="n"/>
      <c r="S33" s="10" t="n"/>
    </row>
    <row r="34" ht="20.15" customHeight="1" s="524">
      <c r="M34" s="10" t="n"/>
      <c r="N34" s="523" t="n"/>
      <c r="O34" s="523" t="n"/>
      <c r="P34" s="10" t="n"/>
      <c r="Q34" s="10" t="n"/>
      <c r="R34" s="10" t="n"/>
      <c r="S34" s="10" t="n"/>
    </row>
    <row r="35" ht="20.15" customHeight="1" s="524">
      <c r="M35" s="10" t="n"/>
      <c r="N35" s="523" t="n"/>
      <c r="O35" s="523" t="n"/>
      <c r="P35" s="10" t="n"/>
      <c r="Q35" s="10" t="n"/>
      <c r="R35" s="10" t="n"/>
      <c r="S35" s="10" t="n"/>
    </row>
    <row r="36" ht="20.15" customHeight="1" s="524">
      <c r="M36" s="10" t="n"/>
      <c r="N36" s="523" t="n"/>
      <c r="O36" s="523" t="n"/>
      <c r="P36" s="10" t="n"/>
      <c r="Q36" s="10" t="n"/>
      <c r="R36" s="10" t="n"/>
      <c r="S36" s="10" t="n"/>
    </row>
    <row r="37" ht="20.15" customHeight="1" s="524">
      <c r="M37" s="10" t="n"/>
      <c r="N37" s="523" t="n"/>
      <c r="O37" s="523" t="n"/>
      <c r="P37" s="10" t="n"/>
      <c r="Q37" s="10" t="n"/>
      <c r="R37" s="10" t="n"/>
      <c r="S37" s="10" t="n"/>
    </row>
    <row r="38" ht="20.15" customHeight="1" s="524">
      <c r="M38" s="10" t="n"/>
      <c r="N38" s="523" t="n"/>
      <c r="O38" s="523" t="n"/>
      <c r="P38" s="10" t="n"/>
      <c r="Q38" s="10" t="n"/>
      <c r="R38" s="10" t="n"/>
      <c r="S38" s="10" t="n"/>
    </row>
    <row r="39" ht="20.15" customHeight="1" s="524">
      <c r="B39" s="124" t="n"/>
      <c r="C39" s="124" t="n"/>
      <c r="D39" s="124" t="n"/>
      <c r="E39" s="124" t="n"/>
      <c r="F39" s="125" t="n"/>
      <c r="G39" s="125" t="n"/>
      <c r="H39" s="125" t="n"/>
      <c r="I39" s="125" t="n"/>
      <c r="J39" s="10" t="n"/>
      <c r="K39" s="10" t="n"/>
      <c r="L39" s="10" t="n"/>
      <c r="M39" s="10" t="n"/>
      <c r="N39" s="523" t="n"/>
      <c r="O39" s="523" t="n"/>
      <c r="P39" s="10" t="n"/>
      <c r="Q39" s="10" t="n"/>
      <c r="R39" s="10" t="n"/>
      <c r="S39" s="10" t="n"/>
    </row>
    <row r="40" ht="20.15" customHeight="1" s="524">
      <c r="K40" s="10" t="n"/>
      <c r="L40" s="10" t="n"/>
      <c r="M40" s="126" t="n"/>
      <c r="N40" s="523" t="n"/>
      <c r="O40" s="523" t="n"/>
      <c r="P40" s="10" t="n"/>
      <c r="Q40" s="10" t="n"/>
      <c r="R40" s="10" t="n"/>
      <c r="S40" s="10" t="n"/>
    </row>
    <row r="41" ht="20.15" customHeight="1" s="524">
      <c r="A41" s="22" t="n"/>
      <c r="B41" s="22" t="n"/>
      <c r="C41" s="22" t="n"/>
      <c r="D41" s="22" t="n"/>
      <c r="E41" s="22" t="n"/>
      <c r="F41" s="10" t="n"/>
      <c r="G41" s="10" t="n"/>
      <c r="H41" s="10" t="n"/>
      <c r="I41" s="10" t="n"/>
      <c r="J41" s="10" t="n"/>
      <c r="K41" s="10" t="n"/>
      <c r="L41" s="10" t="n"/>
      <c r="M41" s="126" t="n"/>
      <c r="N41" s="523" t="n"/>
      <c r="O41" s="523" t="n"/>
      <c r="P41" s="10" t="n"/>
      <c r="Q41" s="10" t="n"/>
      <c r="R41" s="10" t="n"/>
      <c r="S41" s="10" t="n"/>
    </row>
    <row r="42" ht="15.5" customHeight="1" s="524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26" t="n"/>
      <c r="N42" s="523" t="n"/>
      <c r="O42" s="523" t="n"/>
      <c r="P42" s="10" t="n"/>
      <c r="Q42" s="10" t="n"/>
      <c r="R42" s="10" t="n"/>
      <c r="S42" s="10" t="n"/>
    </row>
    <row r="43" ht="15.5" customHeight="1" s="524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26" t="n"/>
      <c r="N43" s="523" t="n"/>
      <c r="O43" s="523" t="n"/>
      <c r="P43" s="10" t="n"/>
      <c r="Q43" s="10" t="n"/>
      <c r="R43" s="10" t="n"/>
      <c r="S43" s="10" t="n"/>
    </row>
    <row r="44" ht="15.5" customHeight="1" s="524">
      <c r="A44" s="127" t="n"/>
      <c r="B44" s="127" t="n"/>
      <c r="C44" s="127" t="n"/>
      <c r="D44" s="127" t="n"/>
      <c r="E44" s="127" t="n"/>
      <c r="F44" s="127" t="n"/>
      <c r="G44" s="127" t="n"/>
      <c r="H44" s="127" t="n"/>
      <c r="I44" s="127" t="n"/>
      <c r="J44" s="127" t="n"/>
      <c r="M44" s="128" t="n"/>
    </row>
    <row r="45" ht="15.5" customHeight="1" s="524">
      <c r="A45" s="127" t="n"/>
      <c r="B45" s="127" t="n"/>
      <c r="C45" s="127" t="n"/>
      <c r="D45" s="127" t="n"/>
      <c r="E45" s="127" t="n"/>
      <c r="F45" s="127" t="n"/>
      <c r="G45" s="127" t="n"/>
      <c r="H45" s="127" t="n"/>
      <c r="I45" s="127" t="n"/>
      <c r="J45" s="127" t="n"/>
      <c r="M45" s="128" t="n"/>
    </row>
    <row r="46">
      <c r="A46" s="127" t="n"/>
      <c r="B46" s="127" t="n"/>
      <c r="C46" s="127" t="n"/>
      <c r="D46" s="127" t="n"/>
      <c r="E46" s="127" t="n"/>
      <c r="F46" s="127" t="n"/>
      <c r="G46" s="127" t="n"/>
      <c r="H46" s="127" t="n"/>
      <c r="I46" s="127" t="n"/>
      <c r="J46" s="127" t="n"/>
    </row>
    <row r="47">
      <c r="A47" s="127" t="n"/>
      <c r="B47" s="127" t="n"/>
      <c r="C47" s="127" t="n"/>
      <c r="D47" s="127" t="n"/>
      <c r="E47" s="127" t="n"/>
      <c r="F47" s="127" t="n"/>
      <c r="G47" s="127" t="n"/>
      <c r="H47" s="127" t="n"/>
      <c r="I47" s="127" t="n"/>
      <c r="J47" s="127" t="n"/>
    </row>
    <row r="48">
      <c r="A48" s="127" t="n"/>
      <c r="B48" s="127" t="n"/>
      <c r="C48" s="127" t="n"/>
      <c r="D48" s="127" t="n"/>
      <c r="E48" s="127" t="n"/>
      <c r="F48" s="127" t="n"/>
      <c r="G48" s="127" t="n"/>
      <c r="H48" s="127" t="n"/>
      <c r="I48" s="127" t="n"/>
      <c r="J48" s="127" t="n"/>
    </row>
    <row r="49">
      <c r="A49" s="127" t="n"/>
      <c r="B49" s="127" t="n"/>
      <c r="C49" s="127" t="n"/>
      <c r="D49" s="127" t="n"/>
      <c r="E49" s="127" t="n"/>
      <c r="F49" s="127" t="n"/>
      <c r="G49" s="127" t="n"/>
      <c r="H49" s="127" t="n"/>
      <c r="I49" s="127" t="n"/>
      <c r="J49" s="127" t="n"/>
    </row>
    <row r="50">
      <c r="A50" s="127" t="n"/>
      <c r="B50" s="127" t="n"/>
      <c r="C50" s="127" t="n"/>
      <c r="D50" s="127" t="n"/>
      <c r="E50" s="127" t="n"/>
      <c r="F50" s="127" t="n"/>
      <c r="G50" s="127" t="n"/>
      <c r="H50" s="127" t="n"/>
      <c r="I50" s="127" t="n"/>
      <c r="J50" s="127" t="n"/>
    </row>
  </sheetData>
  <pageMargins left="0.7086614173228347" right="0.7086614173228347" top="0.7480314960629921" bottom="0.7480314960629921" header="0.3149606299212598" footer="0.3149606299212598"/>
  <pageSetup orientation="landscape" paperSize="9" scale="78" horizontalDpi="300" verticalDpi="300"/>
</worksheet>
</file>

<file path=xl/worksheets/sheet2.xml><?xml version="1.0" encoding="utf-8"?>
<worksheet xmlns="http://schemas.openxmlformats.org/spreadsheetml/2006/main">
  <sheetPr>
    <tabColor rgb="FFCC0000"/>
    <outlinePr summaryBelow="1" summaryRight="1"/>
    <pageSetUpPr/>
  </sheetPr>
  <dimension ref="A1:P34"/>
  <sheetViews>
    <sheetView showGridLines="0" zoomScaleNormal="100" workbookViewId="0">
      <selection activeCell="A1" sqref="A1"/>
    </sheetView>
  </sheetViews>
  <sheetFormatPr baseColWidth="8" defaultRowHeight="12.5"/>
  <cols>
    <col width="10.7265625" customWidth="1" style="524" min="1" max="26"/>
  </cols>
  <sheetData>
    <row r="1" ht="25" customFormat="1" customHeight="1" s="29">
      <c r="C1" s="129" t="n"/>
      <c r="F1" s="30" t="n"/>
      <c r="L1" s="31" t="n"/>
      <c r="M1" s="32" t="n"/>
    </row>
    <row r="2" ht="25" customHeight="1" s="524">
      <c r="A2" s="33" t="n"/>
      <c r="B2" s="34" t="inlineStr">
        <is>
          <t>SPIS TREŚCI</t>
        </is>
      </c>
      <c r="C2" s="130" t="n"/>
      <c r="D2" s="35" t="n"/>
      <c r="E2" s="35" t="n"/>
      <c r="F2" s="35" t="n"/>
      <c r="G2" s="35" t="n"/>
      <c r="H2" s="35" t="n"/>
      <c r="I2" s="35" t="n"/>
      <c r="J2" s="35" t="n"/>
      <c r="K2" s="35" t="n"/>
      <c r="L2" s="36" t="n"/>
      <c r="M2" s="36" t="n"/>
      <c r="N2" s="36" t="n"/>
      <c r="O2" s="36" t="n"/>
      <c r="P2" s="36" t="n"/>
    </row>
    <row r="3" ht="25" customHeight="1" s="524" thickBot="1">
      <c r="B3" s="37" t="n"/>
      <c r="C3" s="39" t="n"/>
      <c r="D3" s="38" t="n"/>
      <c r="E3" s="39" t="n"/>
      <c r="F3" s="40" t="n"/>
      <c r="G3" s="41" t="n"/>
      <c r="H3" s="42" t="n"/>
      <c r="I3" s="42" t="n"/>
      <c r="J3" s="43" t="n"/>
      <c r="K3" s="44" t="n"/>
      <c r="L3" s="45" t="n"/>
      <c r="M3" s="45" t="n"/>
      <c r="N3" s="45" t="n"/>
      <c r="O3" s="45" t="n"/>
      <c r="P3" s="45" t="n"/>
    </row>
    <row r="4" ht="25" customHeight="1" s="524" thickTop="1">
      <c r="B4" s="131" t="n"/>
      <c r="D4" s="47" t="n"/>
      <c r="E4" s="48" t="n"/>
      <c r="F4" s="48" t="n"/>
      <c r="G4" s="49" t="n"/>
      <c r="H4" s="132" t="n"/>
      <c r="I4" s="50" t="n"/>
      <c r="J4" s="50" t="n"/>
      <c r="K4" s="50" t="n"/>
      <c r="L4" s="50" t="n"/>
      <c r="M4" s="133" t="n"/>
      <c r="N4" s="29" t="n"/>
      <c r="P4" s="133" t="n"/>
    </row>
    <row r="5" ht="20.15" customHeight="1" s="524">
      <c r="C5" s="12" t="n"/>
      <c r="D5" s="12" t="n"/>
    </row>
    <row r="6" ht="20.15" customHeight="1" s="524">
      <c r="C6" s="12" t="inlineStr">
        <is>
          <t>ZMIANY CEN HURTOWYCH</t>
        </is>
      </c>
      <c r="D6" s="12" t="n"/>
    </row>
    <row r="7" ht="20.15" customHeight="1" s="524">
      <c r="C7" s="12" t="inlineStr">
        <is>
          <t>CENY HURTOWE WARZYW</t>
        </is>
      </c>
      <c r="D7" s="12" t="n"/>
    </row>
    <row r="8" ht="20.15" customHeight="1" s="524">
      <c r="C8" s="12" t="inlineStr">
        <is>
          <t>CENY HURTOWE OWOCÓW</t>
        </is>
      </c>
      <c r="D8" s="12" t="n"/>
    </row>
    <row r="9" ht="20.15" customHeight="1" s="524">
      <c r="C9" s="12" t="inlineStr">
        <is>
          <t>CENY OWOCÓW ORGANIZACJI PRODUCENTÓW</t>
        </is>
      </c>
      <c r="D9" s="12" t="n"/>
    </row>
    <row r="10" ht="20.15" customHeight="1" s="524">
      <c r="C10" s="12" t="inlineStr">
        <is>
          <t>CENY OWOCÓW DO PRZETWORSTWA</t>
        </is>
      </c>
      <c r="D10" s="12" t="n"/>
    </row>
    <row r="11" ht="20.15" customHeight="1" s="524">
      <c r="C11" s="12" t="inlineStr">
        <is>
          <t>CENY WARZYW DO PRZETWORSTWA</t>
        </is>
      </c>
      <c r="D11" s="12" t="n"/>
    </row>
    <row r="12" ht="20.15" customHeight="1" s="524">
      <c r="B12" s="12" t="n"/>
      <c r="C12" s="12" t="inlineStr">
        <is>
          <t>CENY DETALICZNE OWOCÓW</t>
        </is>
      </c>
    </row>
    <row r="13" ht="20.15" customHeight="1" s="524">
      <c r="B13" s="12" t="n"/>
      <c r="C13" s="12" t="inlineStr">
        <is>
          <t>CENY DETALICZNE WARZYW</t>
        </is>
      </c>
    </row>
    <row r="14" ht="20.15" customHeight="1" s="524">
      <c r="B14" s="12" t="n"/>
      <c r="C14" s="12" t="inlineStr">
        <is>
          <t>WYKRESY - OWOCE DETAL</t>
        </is>
      </c>
    </row>
    <row r="15" ht="20.15" customHeight="1" s="524">
      <c r="B15" s="12" t="n"/>
      <c r="C15" s="12" t="inlineStr">
        <is>
          <t>WYKRESY - WARZYWA DETAL</t>
        </is>
      </c>
    </row>
    <row r="16" ht="20.15" customHeight="1" s="524">
      <c r="B16" s="12" t="n"/>
      <c r="C16" s="12" t="inlineStr">
        <is>
          <t>IERGZ - CENY WARZYW</t>
        </is>
      </c>
    </row>
    <row r="17" ht="20.15" customHeight="1" s="524">
      <c r="B17" s="12" t="n"/>
      <c r="C17" s="12" t="inlineStr">
        <is>
          <t>IRGZ- CENY W ZAKŁADACH PRZETWÓRCZYCH I SPÓLDZIELNIACH</t>
        </is>
      </c>
    </row>
    <row r="18" ht="20.15" customHeight="1" s="524">
      <c r="B18" s="12" t="n"/>
      <c r="C18" s="12" t="inlineStr">
        <is>
          <t>IRGZ- CENY OWOCÓW</t>
        </is>
      </c>
    </row>
    <row r="19" ht="20.15" customHeight="1" s="524">
      <c r="B19" s="12" t="n"/>
      <c r="C19" s="12" t="inlineStr">
        <is>
          <t>CENY OWOCÓW I WARZY - KIRR</t>
        </is>
      </c>
    </row>
    <row r="20" ht="20.15" customHeight="1" s="524">
      <c r="B20" s="12" t="n"/>
      <c r="C20" s="12" t="inlineStr">
        <is>
          <t>HANDEL ZAGRANICZNY</t>
        </is>
      </c>
    </row>
    <row r="21" ht="20.15" customHeight="1" s="524">
      <c r="B21" s="12" t="n"/>
      <c r="C21" s="12" t="n"/>
    </row>
    <row r="22" ht="20.15" customHeight="1" s="524">
      <c r="B22" s="12" t="n"/>
      <c r="C22" s="12" t="n"/>
    </row>
    <row r="23" ht="20.15" customHeight="1" s="524">
      <c r="B23" s="12" t="n"/>
      <c r="C23" s="12" t="n"/>
    </row>
    <row r="24" ht="20.15" customHeight="1" s="524">
      <c r="B24" s="12" t="n"/>
      <c r="C24" s="12" t="n"/>
    </row>
    <row r="25" ht="20.15" customHeight="1" s="524">
      <c r="B25" s="12" t="n"/>
      <c r="C25" s="12" t="n"/>
    </row>
    <row r="26" ht="20.15" customHeight="1" s="524">
      <c r="B26" s="12" t="n"/>
      <c r="C26" s="12" t="n"/>
    </row>
    <row r="27" ht="20.15" customHeight="1" s="524">
      <c r="B27" s="12" t="n"/>
      <c r="C27" s="12" t="n"/>
    </row>
    <row r="28" ht="20.15" customHeight="1" s="524">
      <c r="B28" s="12" t="n"/>
      <c r="C28" s="12" t="n"/>
    </row>
    <row r="29" ht="20.15" customHeight="1" s="524">
      <c r="B29" s="12" t="n"/>
      <c r="C29" s="12" t="n"/>
    </row>
    <row r="30" ht="20.15" customHeight="1" s="524">
      <c r="B30" s="12" t="n"/>
      <c r="C30" s="12" t="n"/>
    </row>
    <row r="31" ht="20.15" customHeight="1" s="524">
      <c r="B31" s="12" t="n"/>
      <c r="C31" s="12" t="n"/>
    </row>
    <row r="32" ht="20.15" customHeight="1" s="524">
      <c r="B32" s="12" t="n"/>
      <c r="C32" s="12" t="n"/>
    </row>
    <row r="33" ht="20.15" customHeight="1" s="524">
      <c r="B33" s="12" t="n"/>
      <c r="C33" s="12" t="n"/>
    </row>
    <row r="34" ht="20.15" customHeight="1" s="524">
      <c r="B34" s="12" t="n"/>
      <c r="C34" s="12" t="n"/>
    </row>
    <row r="35" ht="20.15" customHeight="1" s="524"/>
    <row r="36" ht="20.15" customHeight="1" s="524"/>
    <row r="37" ht="20.15" customHeight="1" s="524"/>
    <row r="38" ht="20.15" customHeight="1" s="524"/>
    <row r="39" ht="20.15" customHeight="1" s="524"/>
    <row r="40" ht="20.15" customHeight="1" s="524"/>
    <row r="41" ht="20.15" customHeight="1" s="524"/>
    <row r="42" ht="20.15" customHeight="1" s="524"/>
    <row r="43" ht="20.15" customHeight="1" s="524"/>
    <row r="44" ht="20.15" customHeight="1" s="524"/>
    <row r="45" ht="20.15" customHeight="1" s="524"/>
    <row r="46" ht="20.15" customHeight="1" s="524"/>
    <row r="47" ht="20.15" customHeight="1" s="524"/>
    <row r="48" ht="20.15" customHeight="1" s="524"/>
    <row r="49" ht="20.15" customHeight="1" s="524"/>
    <row r="50" ht="20.15" customHeight="1" s="524"/>
    <row r="51" ht="20.15" customHeight="1" s="524"/>
    <row r="52" ht="20.15" customHeight="1" s="524"/>
    <row r="53" ht="20.15" customHeight="1" s="524"/>
    <row r="54" ht="20.15" customHeight="1" s="524"/>
    <row r="55" ht="20.15" customHeight="1" s="524"/>
    <row r="56" ht="20.15" customHeight="1" s="524"/>
    <row r="57" ht="20.15" customHeight="1" s="524"/>
    <row r="58" ht="20.15" customHeight="1" s="524"/>
    <row r="59" ht="20.15" customHeight="1" s="524"/>
    <row r="60" ht="20.15" customHeight="1" s="524"/>
    <row r="61" ht="20.15" customHeight="1" s="524"/>
    <row r="62" ht="20.15" customHeight="1" s="524"/>
    <row r="63" ht="20.15" customHeight="1" s="524"/>
    <row r="64" ht="20.15" customHeight="1" s="524"/>
    <row r="65" ht="20.15" customHeight="1" s="524"/>
    <row r="66" ht="20.15" customHeight="1" s="524"/>
    <row r="67" ht="20.15" customHeight="1" s="524"/>
    <row r="68" ht="20.15" customHeight="1" s="524"/>
    <row r="69" ht="20.15" customHeight="1" s="524"/>
    <row r="70" ht="20.15" customHeight="1" s="524"/>
    <row r="71" ht="20.15" customHeight="1" s="524"/>
    <row r="72" ht="20.15" customHeight="1" s="524"/>
    <row r="73" ht="20.15" customHeight="1" s="524"/>
    <row r="74" ht="20.15" customHeight="1" s="524"/>
    <row r="75" ht="20.15" customHeight="1" s="524"/>
    <row r="76" ht="20.15" customHeight="1" s="524"/>
    <row r="77" ht="20.15" customHeight="1" s="524"/>
    <row r="78" ht="20.15" customHeight="1" s="524"/>
    <row r="79" ht="20.15" customHeight="1" s="524"/>
    <row r="80" ht="20.15" customHeight="1" s="524"/>
    <row r="81" ht="20.15" customHeight="1" s="524"/>
    <row r="82" ht="20.15" customHeight="1" s="524"/>
    <row r="83" ht="20.15" customHeight="1" s="524"/>
    <row r="84" ht="20.15" customHeight="1" s="524"/>
    <row r="85" ht="20.15" customHeight="1" s="524"/>
    <row r="86" ht="20.15" customHeight="1" s="524"/>
    <row r="87" ht="20.15" customHeight="1" s="524"/>
    <row r="88" ht="20.15" customHeight="1" s="524"/>
    <row r="89" ht="20.15" customHeight="1" s="524"/>
    <row r="90" ht="20.15" customHeight="1" s="524"/>
    <row r="91" ht="20.15" customHeight="1" s="524"/>
    <row r="92" ht="20.15" customHeight="1" s="524"/>
    <row r="93" ht="20.15" customHeight="1" s="524"/>
    <row r="94" ht="20.15" customHeight="1" s="524"/>
    <row r="95" ht="20.15" customHeight="1" s="524"/>
    <row r="96" ht="20.15" customHeight="1" s="524"/>
    <row r="97" ht="20.15" customHeight="1" s="524"/>
    <row r="98" ht="20.15" customHeight="1" s="524"/>
    <row r="99" ht="20.15" customHeight="1" s="524"/>
    <row r="100" ht="20.15" customHeight="1" s="524"/>
    <row r="101" ht="20.15" customHeight="1" s="524"/>
  </sheetData>
  <hyperlinks>
    <hyperlink ref="C6" location="'ZMIANY HURT'!B1" display="ZMIANY CEN HURTOWYCH"/>
    <hyperlink ref="C7" location="'HURT WARZ'!B1" display="CENY HURTOWE WARZYW"/>
  </hyperlinks>
  <pageMargins left="0.7" right="0.7" top="0.75" bottom="0.75" header="0.3" footer="0.3"/>
  <pageSetup orientation="landscape" paperSize="9" verticalDpi="0"/>
</worksheet>
</file>

<file path=xl/worksheets/sheet3.xml><?xml version="1.0" encoding="utf-8"?>
<worksheet xmlns="http://schemas.openxmlformats.org/spreadsheetml/2006/main">
  <sheetPr codeName="Arkusz2">
    <tabColor theme="9" tint="0.5999938962981048"/>
    <outlinePr summaryBelow="1" summaryRight="1"/>
    <pageSetUpPr autoPageBreaks="0" fitToPage="1"/>
  </sheetPr>
  <dimension ref="A1:S69"/>
  <sheetViews>
    <sheetView showGridLines="0" zoomScaleNormal="100" workbookViewId="0">
      <selection activeCell="B70" sqref="B70:B79"/>
    </sheetView>
  </sheetViews>
  <sheetFormatPr baseColWidth="8" defaultColWidth="9.1796875" defaultRowHeight="21"/>
  <cols>
    <col width="10.7265625" customWidth="1" style="14" min="1" max="1"/>
    <col width="23.26953125" customWidth="1" style="12" min="2" max="2"/>
    <col width="10.7265625" customWidth="1" style="14" min="3" max="3"/>
    <col width="10.1796875" bestFit="1" customWidth="1" style="14" min="4" max="6"/>
    <col width="11.453125" customWidth="1" style="14" min="7" max="7"/>
    <col width="10.1796875" customWidth="1" style="14" min="8" max="8"/>
    <col width="10.54296875" customWidth="1" style="14" min="9" max="9"/>
    <col width="12.1796875" customWidth="1" style="14" min="10" max="10"/>
    <col width="11.1796875" customWidth="1" style="14" min="11" max="11"/>
    <col width="11.7265625" customWidth="1" style="14" min="12" max="12"/>
    <col width="10.26953125" customWidth="1" style="14" min="13" max="13"/>
    <col width="10.7265625" customWidth="1" style="14" min="14" max="14"/>
    <col width="10" customWidth="1" style="14" min="15" max="15"/>
    <col width="9.1796875" customWidth="1" style="14" min="16" max="22"/>
    <col width="10.7265625" bestFit="1" customWidth="1" style="14" min="23" max="23"/>
    <col width="9.1796875" customWidth="1" style="14" min="24" max="16384"/>
  </cols>
  <sheetData>
    <row r="1" ht="25" customFormat="1" customHeight="1" s="29">
      <c r="B1" s="53" t="n"/>
      <c r="E1" s="30" t="n"/>
      <c r="J1" s="31" t="n"/>
      <c r="K1" s="32" t="n"/>
    </row>
    <row r="2" ht="25" customHeight="1" s="524">
      <c r="A2" s="33" t="n"/>
      <c r="B2" s="34" t="inlineStr">
        <is>
          <t>ZMIANY ŚREDNICH CEN HURTOWYCH DLA WYBRANEGO ASORTYMENTU OWOCÓW I WARZYW</t>
        </is>
      </c>
      <c r="C2" s="35" t="n"/>
      <c r="D2" s="35" t="n"/>
      <c r="E2" s="35" t="n"/>
      <c r="F2" s="35" t="n"/>
      <c r="G2" s="35" t="n"/>
      <c r="H2" s="35" t="n"/>
      <c r="I2" s="35" t="n"/>
      <c r="J2" s="36" t="n"/>
      <c r="K2" s="36" t="n"/>
      <c r="L2" s="36" t="n"/>
      <c r="M2" s="29" t="n"/>
      <c r="N2" s="36" t="n"/>
    </row>
    <row r="3" ht="25" customHeight="1" s="524" thickBot="1">
      <c r="B3" s="54" t="n"/>
      <c r="C3" s="38" t="n"/>
      <c r="D3" s="39" t="n"/>
      <c r="E3" s="40" t="n"/>
      <c r="F3" s="41" t="n"/>
      <c r="G3" s="42" t="n"/>
      <c r="H3" s="43" t="n"/>
      <c r="I3" s="44" t="n"/>
      <c r="J3" s="45" t="n"/>
      <c r="K3" s="45" t="n"/>
      <c r="L3" s="45" t="n"/>
      <c r="M3" s="45" t="n"/>
      <c r="N3" s="45" t="n"/>
      <c r="O3" s="45" t="n"/>
      <c r="R3" s="29" t="n"/>
    </row>
    <row r="4" ht="25" customHeight="1" s="524" thickTop="1">
      <c r="B4" s="295" t="n"/>
      <c r="C4" s="47" t="n"/>
      <c r="D4" s="48" t="n"/>
      <c r="E4" s="48" t="n"/>
      <c r="F4" s="49" t="n"/>
      <c r="G4" s="50" t="n"/>
      <c r="H4" s="50" t="n"/>
      <c r="I4" s="50" t="n"/>
      <c r="J4" s="50" t="n"/>
      <c r="K4" s="51" t="n"/>
      <c r="L4" s="29" t="n"/>
      <c r="M4" s="52" t="n"/>
      <c r="N4" s="36" t="n"/>
      <c r="O4" s="159">
        <f>POMOC!B5</f>
        <v/>
      </c>
      <c r="Q4" s="29" t="n"/>
    </row>
    <row r="5" ht="20.15" customHeight="1" s="524">
      <c r="B5" s="56" t="n"/>
      <c r="C5" s="58" t="n"/>
      <c r="D5" s="94" t="inlineStr">
        <is>
          <t>Cena zł/jedn</t>
        </is>
      </c>
      <c r="E5" s="95" t="n"/>
      <c r="F5" s="96" t="n"/>
      <c r="G5" s="97" t="n"/>
      <c r="H5" s="96" t="inlineStr">
        <is>
          <t>Zmiany ceny (%)</t>
        </is>
      </c>
      <c r="I5" s="96" t="n"/>
      <c r="J5" s="96" t="n"/>
      <c r="K5" s="96" t="n"/>
      <c r="L5" s="95" t="n"/>
      <c r="M5" s="95" t="n"/>
      <c r="N5" s="95" t="n"/>
      <c r="O5" s="98" t="n"/>
    </row>
    <row r="6" ht="40" customHeight="1" s="524">
      <c r="B6" s="78" t="inlineStr">
        <is>
          <t>Produkt</t>
        </is>
      </c>
      <c r="C6" s="79" t="inlineStr">
        <is>
          <t>Jedn.</t>
        </is>
      </c>
      <c r="D6" s="180" t="n">
        <v>46261</v>
      </c>
      <c r="E6" s="181" t="n"/>
      <c r="F6" s="180" t="n">
        <v>46254</v>
      </c>
      <c r="G6" s="182" t="n"/>
      <c r="H6" s="183" t="inlineStr">
        <is>
          <t>w stosunku do poprzedniego notowania*)</t>
        </is>
      </c>
      <c r="I6" s="184" t="n"/>
      <c r="J6" s="185" t="inlineStr">
        <is>
          <t>2 tyg.</t>
        </is>
      </c>
      <c r="K6" s="184" t="n"/>
      <c r="L6" s="185" t="inlineStr">
        <is>
          <t>3 tyg.</t>
        </is>
      </c>
      <c r="M6" s="184" t="n"/>
      <c r="N6" s="185" t="inlineStr">
        <is>
          <t>4 tyg.</t>
        </is>
      </c>
      <c r="O6" s="184" t="n"/>
    </row>
    <row r="7" ht="20.15" customHeight="1" s="524">
      <c r="B7" s="57" t="n"/>
      <c r="C7" s="59" t="n"/>
      <c r="D7" s="186" t="inlineStr">
        <is>
          <t>Min</t>
        </is>
      </c>
      <c r="E7" s="187" t="inlineStr">
        <is>
          <t>Max</t>
        </is>
      </c>
      <c r="F7" s="188" t="inlineStr">
        <is>
          <t>Min</t>
        </is>
      </c>
      <c r="G7" s="189" t="inlineStr">
        <is>
          <t>Max</t>
        </is>
      </c>
      <c r="H7" s="190" t="inlineStr">
        <is>
          <t>Min</t>
        </is>
      </c>
      <c r="I7" s="187" t="inlineStr">
        <is>
          <t>Max</t>
        </is>
      </c>
      <c r="J7" s="186" t="inlineStr">
        <is>
          <t>Min</t>
        </is>
      </c>
      <c r="K7" s="187" t="inlineStr">
        <is>
          <t>Max</t>
        </is>
      </c>
      <c r="L7" s="186" t="inlineStr">
        <is>
          <t>Min</t>
        </is>
      </c>
      <c r="M7" s="187" t="inlineStr">
        <is>
          <t>Max</t>
        </is>
      </c>
      <c r="N7" s="188" t="inlineStr">
        <is>
          <t>Min</t>
        </is>
      </c>
      <c r="O7" s="191" t="inlineStr">
        <is>
          <t>Max</t>
        </is>
      </c>
    </row>
    <row r="8" ht="20.15" customHeight="1" s="524" thickBot="1">
      <c r="B8" s="60" t="n">
        <v>1</v>
      </c>
      <c r="C8" s="61" t="n">
        <v>2</v>
      </c>
      <c r="D8" s="99" t="n">
        <v>3</v>
      </c>
      <c r="E8" s="100" t="n">
        <v>4</v>
      </c>
      <c r="F8" s="101" t="n">
        <v>5</v>
      </c>
      <c r="G8" s="102" t="n">
        <v>6</v>
      </c>
      <c r="H8" s="103" t="n">
        <v>7</v>
      </c>
      <c r="I8" s="100" t="n">
        <v>8</v>
      </c>
      <c r="J8" s="99" t="n">
        <v>9</v>
      </c>
      <c r="K8" s="100" t="n">
        <v>10</v>
      </c>
      <c r="L8" s="99" t="n">
        <v>11</v>
      </c>
      <c r="M8" s="100" t="n">
        <v>12</v>
      </c>
      <c r="N8" s="101" t="n">
        <v>13</v>
      </c>
      <c r="O8" s="101" t="n">
        <v>14</v>
      </c>
      <c r="P8" s="14" t="inlineStr">
        <is>
          <t> </t>
        </is>
      </c>
    </row>
    <row r="9" ht="20.15" customHeight="1" s="524">
      <c r="B9" s="77" t="inlineStr">
        <is>
          <t>Warzywa krajowe</t>
        </is>
      </c>
      <c r="C9" s="69" t="n"/>
      <c r="D9" s="62" t="n"/>
      <c r="E9" s="62" t="n"/>
      <c r="F9" s="62" t="n"/>
      <c r="G9" s="70" t="n"/>
      <c r="H9" s="63" t="n"/>
      <c r="I9" s="63" t="n"/>
      <c r="J9" s="63" t="n"/>
      <c r="K9" s="63" t="n"/>
      <c r="L9" s="63" t="n"/>
      <c r="M9" s="63" t="n"/>
      <c r="N9" s="63" t="n"/>
      <c r="O9" s="63" t="n"/>
    </row>
    <row r="10" ht="20.15" customHeight="1" s="524">
      <c r="B10" s="68" t="inlineStr">
        <is>
          <t>Boczniaki</t>
        </is>
      </c>
      <c r="C10" s="64" t="inlineStr">
        <is>
          <t>kg</t>
        </is>
      </c>
      <c r="D10" s="65" t="n">
        <v>21.75</v>
      </c>
      <c r="E10" s="64" t="n">
        <v>27.5</v>
      </c>
      <c r="F10" s="64" t="n">
        <v>21.16666666666667</v>
      </c>
      <c r="G10" s="73" t="n">
        <v>27</v>
      </c>
      <c r="H10" s="71" t="n">
        <v>-5.768332554880875</v>
      </c>
      <c r="I10" s="66" t="n">
        <v>-1.324786324786304</v>
      </c>
      <c r="J10" s="66" t="n">
        <v>-3.283796740172569</v>
      </c>
      <c r="K10" s="66" t="n">
        <v>-4.238553417385527</v>
      </c>
      <c r="L10" s="66" t="n">
        <v>-5.768332554880894</v>
      </c>
      <c r="M10" s="66" t="n">
        <v>-4.238553417385527</v>
      </c>
      <c r="N10" s="66" t="n">
        <v>-11.77113702623906</v>
      </c>
      <c r="O10" s="67" t="n">
        <v>-11.64540816326528</v>
      </c>
    </row>
    <row r="11" ht="20.15" customHeight="1" s="524">
      <c r="B11" s="55" t="inlineStr">
        <is>
          <t>Buraki ćwikłowe</t>
        </is>
      </c>
      <c r="C11" s="25" t="inlineStr">
        <is>
          <t>kg</t>
        </is>
      </c>
      <c r="D11" s="27" t="n">
        <v>0.9333333333333332</v>
      </c>
      <c r="E11" s="25" t="n">
        <v>1.266666666666667</v>
      </c>
      <c r="F11" s="25" t="n">
        <v>1.016666666666667</v>
      </c>
      <c r="G11" s="74" t="n">
        <v>1.31</v>
      </c>
      <c r="H11" s="72" t="n">
        <v>-8.196721311475413</v>
      </c>
      <c r="I11" s="26" t="n">
        <v>-3.307888040712477</v>
      </c>
      <c r="J11" s="26" t="n">
        <v>7.692307692307677</v>
      </c>
      <c r="K11" s="26" t="n">
        <v>0</v>
      </c>
      <c r="L11" s="26" t="n">
        <v>3.70370370370369</v>
      </c>
      <c r="M11" s="26" t="n">
        <v>-7.317073170731699</v>
      </c>
      <c r="N11" s="26" t="n">
        <v>0.9009009009008856</v>
      </c>
      <c r="O11" s="28" t="n">
        <v>-6.17283950617285</v>
      </c>
    </row>
    <row r="12" ht="20.15" customHeight="1" s="524">
      <c r="B12" s="55" t="inlineStr">
        <is>
          <t>Cebula biała</t>
        </is>
      </c>
      <c r="C12" s="25" t="inlineStr">
        <is>
          <t>kg</t>
        </is>
      </c>
      <c r="D12" s="27" t="n">
        <v>1.1</v>
      </c>
      <c r="E12" s="25" t="n">
        <v>1.583333333333333</v>
      </c>
      <c r="F12" s="25" t="n">
        <v>1.1825</v>
      </c>
      <c r="G12" s="74" t="n">
        <v>1.605</v>
      </c>
      <c r="H12" s="72" t="n">
        <v>-6.976744186046513</v>
      </c>
      <c r="I12" s="26" t="n">
        <v>-1.349948078920045</v>
      </c>
      <c r="J12" s="26" t="n">
        <v>-34.62109955423477</v>
      </c>
      <c r="K12" s="26" t="n">
        <v>-32.19129193433263</v>
      </c>
      <c r="L12" s="26" t="n">
        <v>-34.62109955423477</v>
      </c>
      <c r="M12" s="26" t="n">
        <v>-31.08451215088865</v>
      </c>
      <c r="N12" s="26" t="n">
        <v>-34.32835820895522</v>
      </c>
      <c r="O12" s="28" t="n">
        <v>-31.15942028985507</v>
      </c>
    </row>
    <row r="13" ht="20.15" customHeight="1" s="524">
      <c r="B13" s="55" t="inlineStr">
        <is>
          <t>Cebula młoda</t>
        </is>
      </c>
      <c r="C13" s="25" t="inlineStr">
        <is>
          <t>kg</t>
        </is>
      </c>
      <c r="D13" s="27" t="n">
        <v>3.75</v>
      </c>
      <c r="E13" s="25" t="n">
        <v>5</v>
      </c>
      <c r="F13" s="25" t="n">
        <v>4.166666666666667</v>
      </c>
      <c r="G13" s="74" t="n">
        <v>4.833333333333333</v>
      </c>
      <c r="H13" s="72" t="n">
        <v>-10.00000000000001</v>
      </c>
      <c r="I13" s="26" t="n">
        <v>3.448275862068972</v>
      </c>
      <c r="J13" s="26" t="n">
        <v>-13.46153846153845</v>
      </c>
      <c r="K13" s="26" t="n">
        <v>0</v>
      </c>
      <c r="L13" s="26" t="n">
        <v>18.42105263157895</v>
      </c>
      <c r="M13" s="26" t="n">
        <v>0</v>
      </c>
      <c r="N13" s="26" t="n">
        <v>-19.64285714285715</v>
      </c>
      <c r="O13" s="28" t="n">
        <v>-16.66666666666666</v>
      </c>
    </row>
    <row r="14" ht="20.15" customHeight="1" s="524">
      <c r="B14" s="55" t="inlineStr">
        <is>
          <t>Kalafiory</t>
        </is>
      </c>
      <c r="C14" s="25" t="inlineStr">
        <is>
          <t>szt.</t>
        </is>
      </c>
      <c r="D14" s="27" t="n">
        <v>3.75</v>
      </c>
      <c r="E14" s="25" t="n">
        <v>5.7925</v>
      </c>
      <c r="F14" s="25" t="n">
        <v>4.625999999999999</v>
      </c>
      <c r="G14" s="74" t="n">
        <v>6.814</v>
      </c>
      <c r="H14" s="72" t="n">
        <v>-18.93644617380025</v>
      </c>
      <c r="I14" s="26" t="n">
        <v>-14.99119459935427</v>
      </c>
      <c r="J14" s="26" t="n">
        <v>-20.21276595744681</v>
      </c>
      <c r="K14" s="26" t="n">
        <v>-12.23484848484847</v>
      </c>
      <c r="L14" s="26" t="n">
        <v>-8.53658536585365</v>
      </c>
      <c r="M14" s="26" t="n">
        <v>-1.822033898305083</v>
      </c>
      <c r="N14" s="26" t="n">
        <v>-19.64285714285715</v>
      </c>
      <c r="O14" s="28" t="n">
        <v>-15.23170731707316</v>
      </c>
    </row>
    <row r="15" ht="20.15" customHeight="1" s="524">
      <c r="B15" s="55" t="inlineStr">
        <is>
          <t>Kapusta biała</t>
        </is>
      </c>
      <c r="C15" s="25" t="inlineStr">
        <is>
          <t>kg</t>
        </is>
      </c>
      <c r="D15" s="27" t="n">
        <v>0.8666666666666666</v>
      </c>
      <c r="E15" s="25" t="n">
        <v>1.1</v>
      </c>
      <c r="F15" s="25" t="n">
        <v>0.9</v>
      </c>
      <c r="G15" s="74" t="n">
        <v>1.1</v>
      </c>
      <c r="H15" s="72" t="n">
        <v>-3.703703703703715</v>
      </c>
      <c r="I15" s="26" t="n">
        <v>0</v>
      </c>
      <c r="J15" s="26" t="n">
        <v>-18.75000000000001</v>
      </c>
      <c r="K15" s="26" t="n">
        <v>-13.15789473684211</v>
      </c>
      <c r="L15" s="26" t="n">
        <v>-24.6376811594203</v>
      </c>
      <c r="M15" s="26" t="n">
        <v>-21.42857142857142</v>
      </c>
      <c r="N15" s="26" t="n">
        <v>-24.6376811594203</v>
      </c>
      <c r="O15" s="28" t="n">
        <v>-21.42857142857142</v>
      </c>
    </row>
    <row r="16" ht="20.15" customHeight="1" s="524">
      <c r="B16" s="55" t="inlineStr">
        <is>
          <t>Kapusta młoda</t>
        </is>
      </c>
      <c r="C16" s="25" t="inlineStr">
        <is>
          <t>szt.</t>
        </is>
      </c>
      <c r="D16" s="27" t="n">
        <v>2.2075</v>
      </c>
      <c r="E16" s="25" t="n">
        <v>3.125</v>
      </c>
      <c r="F16" s="25" t="n">
        <v>2.666</v>
      </c>
      <c r="G16" s="74" t="n">
        <v>3.25</v>
      </c>
      <c r="H16" s="72" t="n">
        <v>-17.19804951237809</v>
      </c>
      <c r="I16" s="26" t="n">
        <v>-3.846153846153846</v>
      </c>
      <c r="J16" s="26" t="n">
        <v>-20.19161243673174</v>
      </c>
      <c r="K16" s="26" t="n">
        <v>-15.54054054054055</v>
      </c>
      <c r="L16" s="26" t="n">
        <v>-22.97627355198884</v>
      </c>
      <c r="M16" s="26" t="n">
        <v>-17.76315789473684</v>
      </c>
      <c r="N16" s="26" t="n">
        <v>-25.04244482173176</v>
      </c>
      <c r="O16" s="28" t="n">
        <v>-17.29157476841642</v>
      </c>
    </row>
    <row r="17" ht="20.15" customHeight="1" s="524">
      <c r="B17" s="55" t="inlineStr">
        <is>
          <t>Marchew</t>
        </is>
      </c>
      <c r="C17" s="25" t="inlineStr">
        <is>
          <t>kg</t>
        </is>
      </c>
      <c r="D17" s="27" t="n">
        <v>1.1</v>
      </c>
      <c r="E17" s="25" t="n">
        <v>1.633333333333334</v>
      </c>
      <c r="F17" s="25" t="n">
        <v>1.166666666666667</v>
      </c>
      <c r="G17" s="74" t="n">
        <v>1.733333333333333</v>
      </c>
      <c r="H17" s="72" t="n">
        <v>-5.714285714285731</v>
      </c>
      <c r="I17" s="26" t="n">
        <v>-5.769230769230761</v>
      </c>
      <c r="J17" s="26" t="n">
        <v>-5.714285714285731</v>
      </c>
      <c r="K17" s="26" t="n">
        <v>-5.769230769230761</v>
      </c>
      <c r="L17" s="26" t="n">
        <v>-13.15789473684211</v>
      </c>
      <c r="M17" s="26" t="n">
        <v>-18.33333333333333</v>
      </c>
      <c r="N17" s="26" t="n">
        <v>-27.8688524590164</v>
      </c>
      <c r="O17" s="28" t="n">
        <v>-24.03100775193797</v>
      </c>
    </row>
    <row r="18" ht="20.15" customHeight="1" s="524">
      <c r="B18" s="55" t="inlineStr">
        <is>
          <t>Ogórki gruntowe</t>
        </is>
      </c>
      <c r="C18" s="25" t="inlineStr">
        <is>
          <t>kg</t>
        </is>
      </c>
      <c r="D18" s="27" t="n">
        <v>3.1</v>
      </c>
      <c r="E18" s="25" t="n">
        <v>6</v>
      </c>
      <c r="F18" s="25" t="n">
        <v>2.6</v>
      </c>
      <c r="G18" s="74" t="n">
        <v>4.733333333333333</v>
      </c>
      <c r="H18" s="72" t="n">
        <v>19.23076923076923</v>
      </c>
      <c r="I18" s="26" t="n">
        <v>26.76056338028169</v>
      </c>
      <c r="J18" s="26" t="n">
        <v>16.25000000000001</v>
      </c>
      <c r="K18" s="26" t="n">
        <v>20</v>
      </c>
      <c r="L18" s="26" t="n">
        <v>25.67567567567567</v>
      </c>
      <c r="M18" s="26" t="n">
        <v>52.54237288135592</v>
      </c>
      <c r="N18" s="26" t="n">
        <v>-31.11111111111111</v>
      </c>
      <c r="O18" s="28" t="n">
        <v>-7.692307692307693</v>
      </c>
    </row>
    <row r="19" ht="20.15" customHeight="1" s="524">
      <c r="B19" s="55" t="inlineStr">
        <is>
          <t>Papryka czerwona</t>
        </is>
      </c>
      <c r="C19" s="25" t="inlineStr">
        <is>
          <t>kg</t>
        </is>
      </c>
      <c r="D19" s="27" t="n">
        <v>6.65</v>
      </c>
      <c r="E19" s="25" t="n">
        <v>8.25</v>
      </c>
      <c r="F19" s="25" t="n">
        <v>6.12</v>
      </c>
      <c r="G19" s="74" t="n">
        <v>8.1</v>
      </c>
      <c r="H19" s="72" t="n">
        <v>8.660130718954253</v>
      </c>
      <c r="I19" s="26" t="n">
        <v>1.851851851851856</v>
      </c>
      <c r="J19" s="26" t="n">
        <v>-6.862745098039218</v>
      </c>
      <c r="K19" s="26" t="n">
        <v>-5.389908256880741</v>
      </c>
      <c r="L19" s="26" t="n">
        <v>3.90625</v>
      </c>
      <c r="M19" s="26" t="n">
        <v>-8.333333333333332</v>
      </c>
      <c r="N19" s="26" t="n">
        <v>-7.209302325581395</v>
      </c>
      <c r="O19" s="28" t="n">
        <v>-14.6551724137931</v>
      </c>
    </row>
    <row r="20" ht="20.15" customHeight="1" s="524">
      <c r="B20" s="55" t="inlineStr">
        <is>
          <t>Papryka zielona</t>
        </is>
      </c>
      <c r="C20" s="25" t="inlineStr">
        <is>
          <t>kg</t>
        </is>
      </c>
      <c r="D20" s="27" t="n">
        <v>4.9</v>
      </c>
      <c r="E20" s="25" t="n">
        <v>6.1</v>
      </c>
      <c r="F20" s="25" t="n">
        <v>4.65</v>
      </c>
      <c r="G20" s="74" t="n">
        <v>5.85</v>
      </c>
      <c r="H20" s="72" t="n">
        <v>5.376344086021505</v>
      </c>
      <c r="I20" s="26" t="n">
        <v>4.273504273504273</v>
      </c>
      <c r="J20" s="26" t="n">
        <v>6.521739130434799</v>
      </c>
      <c r="K20" s="26" t="n">
        <v>8.928571428571429</v>
      </c>
      <c r="L20" s="26" t="n">
        <v>-1.999999999999993</v>
      </c>
      <c r="M20" s="26" t="n">
        <v>1.666666666666661</v>
      </c>
      <c r="N20" s="26" t="n">
        <v>2.083333333333345</v>
      </c>
      <c r="O20" s="28" t="n">
        <v>-3.174603174603177</v>
      </c>
    </row>
    <row r="21" ht="20.15" customHeight="1" s="524">
      <c r="B21" s="55" t="inlineStr">
        <is>
          <t>Papryka żółta</t>
        </is>
      </c>
      <c r="C21" s="25" t="inlineStr">
        <is>
          <t>kg</t>
        </is>
      </c>
      <c r="D21" s="27" t="n">
        <v>7.65</v>
      </c>
      <c r="E21" s="25" t="n">
        <v>9.25</v>
      </c>
      <c r="F21" s="25" t="n">
        <v>7.65</v>
      </c>
      <c r="G21" s="74" t="n">
        <v>9.25</v>
      </c>
      <c r="H21" s="72" t="n">
        <v>0</v>
      </c>
      <c r="I21" s="26" t="n">
        <v>0</v>
      </c>
      <c r="J21" s="26" t="n">
        <v>5.955678670360107</v>
      </c>
      <c r="K21" s="26" t="n">
        <v>7.558139534883726</v>
      </c>
      <c r="L21" s="26" t="n">
        <v>13.33333333333334</v>
      </c>
      <c r="M21" s="26" t="n">
        <v>2.777777777777778</v>
      </c>
      <c r="N21" s="26" t="n">
        <v>13.33333333333334</v>
      </c>
      <c r="O21" s="28" t="n">
        <v>0</v>
      </c>
    </row>
    <row r="22" ht="20.15" customHeight="1" s="524">
      <c r="B22" s="55" t="inlineStr">
        <is>
          <t>Pietruszka</t>
        </is>
      </c>
      <c r="C22" s="25" t="inlineStr">
        <is>
          <t>kg</t>
        </is>
      </c>
      <c r="D22" s="27" t="n">
        <v>3.875</v>
      </c>
      <c r="E22" s="25" t="n">
        <v>5</v>
      </c>
      <c r="F22" s="25" t="n">
        <v>3.875</v>
      </c>
      <c r="G22" s="74" t="n">
        <v>5</v>
      </c>
      <c r="H22" s="72" t="n">
        <v>0</v>
      </c>
      <c r="I22" s="26" t="n">
        <v>0</v>
      </c>
      <c r="J22" s="26" t="n">
        <v>0</v>
      </c>
      <c r="K22" s="26" t="n">
        <v>0</v>
      </c>
      <c r="L22" s="26" t="n">
        <v>0</v>
      </c>
      <c r="M22" s="26" t="n">
        <v>-13.04347826086956</v>
      </c>
      <c r="N22" s="26" t="n">
        <v>1.439790575916223</v>
      </c>
      <c r="O22" s="28" t="n">
        <v>-12.5874125874126</v>
      </c>
    </row>
    <row r="23" ht="20.15" customHeight="1" s="524">
      <c r="B23" s="55" t="inlineStr">
        <is>
          <t>Pomidory gruntowe</t>
        </is>
      </c>
      <c r="C23" s="25" t="inlineStr">
        <is>
          <t>kg</t>
        </is>
      </c>
      <c r="D23" s="27" t="n">
        <v>2.99</v>
      </c>
      <c r="E23" s="25" t="n">
        <v>4.125</v>
      </c>
      <c r="F23" s="25" t="n">
        <v>2.25</v>
      </c>
      <c r="G23" s="74" t="n">
        <v>4</v>
      </c>
      <c r="H23" s="72" t="n">
        <v>32.8888888888889</v>
      </c>
      <c r="I23" s="26" t="n">
        <v>3.125</v>
      </c>
      <c r="J23" s="26" t="n">
        <v>19.60000000000001</v>
      </c>
      <c r="K23" s="26" t="n">
        <v>3.125</v>
      </c>
      <c r="L23" s="26" t="n">
        <v>-25.24999999999999</v>
      </c>
      <c r="M23" s="26" t="n">
        <v>-31.25</v>
      </c>
      <c r="N23" s="26" t="n">
        <v>-25.24999999999999</v>
      </c>
      <c r="O23" s="28" t="n">
        <v>-31.25</v>
      </c>
    </row>
    <row r="24" ht="20.15" customHeight="1" s="524">
      <c r="B24" s="55" t="inlineStr">
        <is>
          <t>Pomidory malinowe</t>
        </is>
      </c>
      <c r="C24" s="25" t="inlineStr">
        <is>
          <t>kg</t>
        </is>
      </c>
      <c r="D24" s="27" t="n">
        <v>4.5825</v>
      </c>
      <c r="E24" s="25" t="n">
        <v>6.875</v>
      </c>
      <c r="F24" s="25" t="n">
        <v>4.2</v>
      </c>
      <c r="G24" s="74" t="n">
        <v>5.526000000000001</v>
      </c>
      <c r="H24" s="72" t="n">
        <v>9.107142857142843</v>
      </c>
      <c r="I24" s="26" t="n">
        <v>24.41187115454215</v>
      </c>
      <c r="J24" s="26" t="n">
        <v>17.43977447462839</v>
      </c>
      <c r="K24" s="26" t="n">
        <v>23.51778656126482</v>
      </c>
      <c r="L24" s="26" t="n">
        <v>-2.582908163265328</v>
      </c>
      <c r="M24" s="26" t="n">
        <v>17.20081827480396</v>
      </c>
      <c r="N24" s="26" t="n">
        <v>12.59213759213757</v>
      </c>
      <c r="O24" s="28" t="n">
        <v>19.56521739130435</v>
      </c>
    </row>
    <row r="25" ht="20.15" customHeight="1" s="524">
      <c r="B25" s="55" t="inlineStr">
        <is>
          <t>Pory</t>
        </is>
      </c>
      <c r="C25" s="25" t="inlineStr">
        <is>
          <t>szt.</t>
        </is>
      </c>
      <c r="D25" s="27" t="n">
        <v>1.25</v>
      </c>
      <c r="E25" s="25" t="n">
        <v>2.25</v>
      </c>
      <c r="F25" s="25" t="n">
        <v>1.666666666666667</v>
      </c>
      <c r="G25" s="74" t="n">
        <v>2.5</v>
      </c>
      <c r="H25" s="72" t="n">
        <v>-25.00000000000001</v>
      </c>
      <c r="I25" s="26" t="n">
        <v>-10</v>
      </c>
      <c r="J25" s="26" t="n">
        <v>-31.81818181818182</v>
      </c>
      <c r="K25" s="26" t="n">
        <v>-10</v>
      </c>
      <c r="L25" s="26" t="n">
        <v>-25.00000000000001</v>
      </c>
      <c r="M25" s="26" t="n">
        <v>-10</v>
      </c>
      <c r="N25" s="26" t="n">
        <v>0</v>
      </c>
      <c r="O25" s="28" t="n">
        <v>0</v>
      </c>
    </row>
    <row r="26" ht="20.15" customHeight="1" s="524">
      <c r="B26" s="55" t="inlineStr">
        <is>
          <t>Pory młode</t>
        </is>
      </c>
      <c r="C26" s="25" t="inlineStr">
        <is>
          <t>szt.</t>
        </is>
      </c>
      <c r="D26" s="27" t="n">
        <v>2.183333333333333</v>
      </c>
      <c r="E26" s="25" t="n">
        <v>2.833333333333333</v>
      </c>
      <c r="F26" s="25" t="n">
        <v>2.183333333333333</v>
      </c>
      <c r="G26" s="74" t="n">
        <v>2.833333333333333</v>
      </c>
      <c r="H26" s="72" t="n">
        <v>0</v>
      </c>
      <c r="I26" s="26" t="n">
        <v>0</v>
      </c>
      <c r="J26" s="26" t="n">
        <v>0</v>
      </c>
      <c r="K26" s="26" t="n">
        <v>0</v>
      </c>
      <c r="L26" s="26" t="n">
        <v>0</v>
      </c>
      <c r="M26" s="26" t="n">
        <v>0</v>
      </c>
      <c r="N26" s="26" t="n">
        <v>0</v>
      </c>
      <c r="O26" s="28" t="n">
        <v>0</v>
      </c>
    </row>
    <row r="27" ht="20.15" customHeight="1" s="524">
      <c r="B27" s="55" t="inlineStr">
        <is>
          <t>Rzodkiewka</t>
        </is>
      </c>
      <c r="C27" s="25" t="inlineStr">
        <is>
          <t>pęczek</t>
        </is>
      </c>
      <c r="D27" s="27" t="n">
        <v>1.75</v>
      </c>
      <c r="E27" s="25" t="n">
        <v>2.1875</v>
      </c>
      <c r="F27" s="25" t="n">
        <v>1.86</v>
      </c>
      <c r="G27" s="74" t="n">
        <v>2.23</v>
      </c>
      <c r="H27" s="72" t="n">
        <v>-5.913978494623661</v>
      </c>
      <c r="I27" s="26" t="n">
        <v>-1.905829596412555</v>
      </c>
      <c r="J27" s="26" t="n">
        <v>-5.913978494623661</v>
      </c>
      <c r="K27" s="26" t="n">
        <v>-6.91489361702128</v>
      </c>
      <c r="L27" s="26" t="n">
        <v>-10.71428571428572</v>
      </c>
      <c r="M27" s="26" t="n">
        <v>-4.89130434782608</v>
      </c>
      <c r="N27" s="26" t="n">
        <v>-9.482758620689657</v>
      </c>
      <c r="O27" s="28" t="n">
        <v>-4.197080291970797</v>
      </c>
    </row>
    <row r="28" ht="20.15" customHeight="1" s="524">
      <c r="B28" s="55" t="inlineStr">
        <is>
          <t>Sałata</t>
        </is>
      </c>
      <c r="C28" s="25" t="inlineStr">
        <is>
          <t>szt.</t>
        </is>
      </c>
      <c r="D28" s="27" t="n">
        <v>2.4575</v>
      </c>
      <c r="E28" s="25" t="n">
        <v>3.2275</v>
      </c>
      <c r="F28" s="25" t="n">
        <v>2.602</v>
      </c>
      <c r="G28" s="74" t="n">
        <v>3.25</v>
      </c>
      <c r="H28" s="72" t="n">
        <v>-5.553420445810909</v>
      </c>
      <c r="I28" s="26" t="n">
        <v>-0.6923076923076912</v>
      </c>
      <c r="J28" s="26" t="n">
        <v>-7.820705176294069</v>
      </c>
      <c r="K28" s="26" t="n">
        <v>-1.660572821450335</v>
      </c>
      <c r="L28" s="26" t="n">
        <v>-11.72772988505746</v>
      </c>
      <c r="M28" s="26" t="n">
        <v>-4.114676173499692</v>
      </c>
      <c r="N28" s="26" t="n">
        <v>-3.816046966731903</v>
      </c>
      <c r="O28" s="28" t="n">
        <v>-1.550584646670068</v>
      </c>
    </row>
    <row r="29" ht="20.15" customHeight="1" s="524">
      <c r="B29" s="55" t="inlineStr">
        <is>
          <t>Selery</t>
        </is>
      </c>
      <c r="C29" s="25" t="inlineStr">
        <is>
          <t>kg</t>
        </is>
      </c>
      <c r="D29" s="27" t="n">
        <v>2.25</v>
      </c>
      <c r="E29" s="25" t="n">
        <v>3</v>
      </c>
      <c r="F29" s="25" t="n">
        <v>2.4</v>
      </c>
      <c r="G29" s="74" t="n">
        <v>3.32</v>
      </c>
      <c r="H29" s="72" t="n">
        <v>-6.249999999999996</v>
      </c>
      <c r="I29" s="26" t="n">
        <v>-9.638554216867478</v>
      </c>
      <c r="J29" s="26" t="n">
        <v>-19.64285714285714</v>
      </c>
      <c r="K29" s="26" t="n">
        <v>-16.66666666666667</v>
      </c>
      <c r="L29" s="26" t="n">
        <v>-27.88461538461539</v>
      </c>
      <c r="M29" s="26" t="n">
        <v>-30.23255813953488</v>
      </c>
      <c r="N29" s="26" t="n">
        <v>-27.41935483870968</v>
      </c>
      <c r="O29" s="28" t="n">
        <v>-18.91891891891892</v>
      </c>
    </row>
    <row r="30" ht="20.15" customHeight="1" s="524">
      <c r="B30" s="55" t="inlineStr">
        <is>
          <t>Ziemniaki</t>
        </is>
      </c>
      <c r="C30" s="25" t="inlineStr">
        <is>
          <t>kg</t>
        </is>
      </c>
      <c r="D30" s="27" t="n">
        <v>0.595</v>
      </c>
      <c r="E30" s="25" t="n">
        <v>1.41</v>
      </c>
      <c r="F30" s="25" t="n">
        <v>0.8433333333333334</v>
      </c>
      <c r="G30" s="74" t="n">
        <v>1.17</v>
      </c>
      <c r="H30" s="72" t="n">
        <v>-29.44664031620554</v>
      </c>
      <c r="I30" s="26" t="n">
        <v>20.51282051282051</v>
      </c>
      <c r="J30" s="26" t="n">
        <v>-29.44664031620554</v>
      </c>
      <c r="K30" s="26" t="n">
        <v>20.51282051282051</v>
      </c>
      <c r="L30" s="26" t="n">
        <v>-27.73279352226721</v>
      </c>
      <c r="M30" s="26" t="n">
        <v>3.93120393120394</v>
      </c>
      <c r="N30" s="26" t="n">
        <v>-30.20527859237537</v>
      </c>
      <c r="O30" s="28" t="n">
        <v>9.94152046783627</v>
      </c>
    </row>
    <row r="31" ht="20.15" customHeight="1" s="524">
      <c r="B31" s="55" t="inlineStr">
        <is>
          <t>Ziemniaki młode</t>
        </is>
      </c>
      <c r="C31" s="25" t="inlineStr">
        <is>
          <t>kg</t>
        </is>
      </c>
      <c r="D31" s="27" t="n">
        <v>1.4</v>
      </c>
      <c r="E31" s="25" t="n">
        <v>1.7</v>
      </c>
      <c r="F31" s="25" t="n">
        <v>1.4</v>
      </c>
      <c r="G31" s="74" t="n">
        <v>1.68</v>
      </c>
      <c r="H31" s="72" t="n">
        <v>-1.586032892321652e-14</v>
      </c>
      <c r="I31" s="26" t="n">
        <v>1.190476190476192</v>
      </c>
      <c r="J31" s="26" t="n">
        <v>18.98016997167137</v>
      </c>
      <c r="K31" s="26" t="n">
        <v>19.43793911007027</v>
      </c>
      <c r="L31" s="26" t="n">
        <v>18.98016997167137</v>
      </c>
      <c r="M31" s="26" t="n">
        <v>19.43793911007027</v>
      </c>
      <c r="N31" s="26" t="n">
        <v>-10.828025477707</v>
      </c>
      <c r="O31" s="28" t="n">
        <v>-7.356948228882835</v>
      </c>
    </row>
    <row r="32" ht="20.15" customHeight="1" s="524">
      <c r="B32" s="55" t="inlineStr">
        <is>
          <t>Owoce krajowe</t>
        </is>
      </c>
      <c r="C32" s="25" t="n"/>
      <c r="D32" s="294" t="n"/>
      <c r="E32" s="296" t="n"/>
      <c r="F32" s="296" t="n"/>
      <c r="G32" s="74" t="n"/>
      <c r="H32" s="72" t="n"/>
      <c r="I32" s="26" t="n"/>
      <c r="J32" s="26" t="n"/>
      <c r="K32" s="26" t="n"/>
      <c r="L32" s="26" t="n"/>
      <c r="M32" s="26" t="n"/>
      <c r="N32" s="26" t="n"/>
      <c r="O32" s="28" t="n"/>
    </row>
    <row r="33" ht="20.15" customHeight="1" s="524">
      <c r="B33" s="55" t="inlineStr">
        <is>
          <t>Borówki amerykańskie</t>
        </is>
      </c>
      <c r="C33" s="25" t="inlineStr">
        <is>
          <t>kg</t>
        </is>
      </c>
      <c r="D33" s="294" t="n">
        <v>20.75</v>
      </c>
      <c r="E33" s="296" t="n">
        <v>26.75</v>
      </c>
      <c r="F33" s="296" t="n">
        <v>19.2</v>
      </c>
      <c r="G33" s="74" t="n">
        <v>24</v>
      </c>
      <c r="H33" s="72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8" t="n">
        <v>0</v>
      </c>
    </row>
    <row r="34" ht="20.15" customHeight="1" s="524">
      <c r="B34" s="55" t="inlineStr">
        <is>
          <t>Brzoskwinie</t>
        </is>
      </c>
      <c r="C34" s="25" t="inlineStr">
        <is>
          <t>kg</t>
        </is>
      </c>
      <c r="D34" s="27" t="n">
        <v>5</v>
      </c>
      <c r="E34" s="25" t="n">
        <v>7.7</v>
      </c>
      <c r="F34" s="25" t="n">
        <v>5.1</v>
      </c>
      <c r="G34" s="74" t="n">
        <v>7.88</v>
      </c>
      <c r="H34" s="72" t="n">
        <v>-1.960784313725483</v>
      </c>
      <c r="I34" s="26" t="n">
        <v>-2.284263959390859</v>
      </c>
      <c r="J34" s="26" t="n">
        <v>-17.4917491749175</v>
      </c>
      <c r="K34" s="26" t="n">
        <v>-8.333333333333336</v>
      </c>
      <c r="L34" s="26" t="n">
        <v>-17.4917491749175</v>
      </c>
      <c r="M34" s="26" t="n">
        <v>-6.097560975609746</v>
      </c>
      <c r="N34" s="26" t="n">
        <v>-28.57142857142857</v>
      </c>
      <c r="O34" s="28" t="n">
        <v>-12.50000000000001</v>
      </c>
    </row>
    <row r="35" ht="20.15" customHeight="1" s="524">
      <c r="B35" s="55" t="inlineStr">
        <is>
          <t>Gruszki</t>
        </is>
      </c>
      <c r="C35" s="25" t="inlineStr">
        <is>
          <t>kg</t>
        </is>
      </c>
      <c r="D35" s="27" t="n">
        <v>4.666666666666667</v>
      </c>
      <c r="E35" s="25" t="n">
        <v>6.166666666666667</v>
      </c>
      <c r="F35" s="25" t="n">
        <v>5</v>
      </c>
      <c r="G35" s="74" t="n">
        <v>5.75</v>
      </c>
      <c r="H35" s="72" t="n">
        <v>-6.666666666666661</v>
      </c>
      <c r="I35" s="26" t="n">
        <v>7.246376811594208</v>
      </c>
      <c r="J35" s="26" t="n">
        <v>-6.666666666666661</v>
      </c>
      <c r="K35" s="26" t="n">
        <v>7.246376811594208</v>
      </c>
      <c r="L35" s="26" t="n">
        <v>-6.666666666666661</v>
      </c>
      <c r="M35" s="26" t="n">
        <v>7.246376811594208</v>
      </c>
      <c r="N35" s="26" t="n">
        <v>3.70370370370371</v>
      </c>
      <c r="O35" s="28" t="n">
        <v>9.629629629629635</v>
      </c>
    </row>
    <row r="36" ht="20.15" customHeight="1" s="524" thickBot="1">
      <c r="B36" s="55" t="inlineStr">
        <is>
          <t>Czereśnie</t>
        </is>
      </c>
      <c r="C36" s="25" t="inlineStr">
        <is>
          <t>kg</t>
        </is>
      </c>
      <c r="D36" s="27" t="n">
        <v>11.75</v>
      </c>
      <c r="E36" s="25" t="n">
        <v>17.5</v>
      </c>
      <c r="F36" s="25" t="n">
        <v>11.66666666666667</v>
      </c>
      <c r="G36" s="74" t="n">
        <v>17.58333333333333</v>
      </c>
      <c r="H36" s="72" t="n">
        <v>0.7142857142857194</v>
      </c>
      <c r="I36" s="26" t="n">
        <v>-0.4739336492890928</v>
      </c>
      <c r="J36" s="26" t="n">
        <v>-6</v>
      </c>
      <c r="K36" s="26" t="n">
        <v>-11.76470588235293</v>
      </c>
      <c r="L36" s="26" t="n">
        <v>15.19607843137256</v>
      </c>
      <c r="M36" s="26" t="n">
        <v>-8.854166666666663</v>
      </c>
      <c r="N36" s="26" t="n">
        <v>6.818181818181817</v>
      </c>
      <c r="O36" s="28" t="n">
        <v>-11.76470588235293</v>
      </c>
    </row>
    <row r="37" ht="20.15" customHeight="1" s="524" thickBot="1">
      <c r="B37" s="391" t="inlineStr">
        <is>
          <t>Maliny</t>
        </is>
      </c>
      <c r="C37" s="392" t="inlineStr">
        <is>
          <t>kg</t>
        </is>
      </c>
      <c r="D37" s="393" t="n">
        <v>33.25</v>
      </c>
      <c r="E37" s="392" t="n">
        <v>45.25</v>
      </c>
      <c r="F37" s="392" t="n">
        <v>33.2</v>
      </c>
      <c r="G37" s="392" t="n">
        <v>44</v>
      </c>
      <c r="H37" s="394" t="n">
        <v>0.1506024096385456</v>
      </c>
      <c r="I37" s="394" t="n">
        <v>2.840909090909091</v>
      </c>
      <c r="J37" s="394" t="n">
        <v>-7.638888888888889</v>
      </c>
      <c r="K37" s="394" t="n">
        <v>-2.056277056277062</v>
      </c>
      <c r="L37" s="394" t="n">
        <v>3.90625</v>
      </c>
      <c r="M37" s="394" t="n">
        <v>4.98839907192575</v>
      </c>
      <c r="N37" s="394" t="n">
        <v>0.7575757575757576</v>
      </c>
      <c r="O37" s="394" t="n">
        <v>8.600000000000007</v>
      </c>
    </row>
    <row r="38" ht="20.15" customHeight="1" s="524">
      <c r="B38" s="55" t="inlineStr">
        <is>
          <t>Morele</t>
        </is>
      </c>
      <c r="C38" s="25" t="inlineStr">
        <is>
          <t>kg</t>
        </is>
      </c>
      <c r="D38" s="27" t="n">
        <v>6.25</v>
      </c>
      <c r="E38" s="25" t="n">
        <v>9.375</v>
      </c>
      <c r="F38" s="25" t="n">
        <v>5.8</v>
      </c>
      <c r="G38" s="74" t="n">
        <v>8.6</v>
      </c>
      <c r="H38" s="72" t="n">
        <v>7.758620689655175</v>
      </c>
      <c r="I38" s="26" t="n">
        <v>9.011627906976749</v>
      </c>
      <c r="J38" s="26" t="n">
        <v>-2.343750000000005</v>
      </c>
      <c r="K38" s="26" t="n">
        <v>-1.31578947368421</v>
      </c>
      <c r="L38" s="26" t="n">
        <v>0.8064516129032229</v>
      </c>
      <c r="M38" s="26" t="n">
        <v>-1.31578947368421</v>
      </c>
      <c r="N38" s="26" t="n">
        <v>-0.2659574468085097</v>
      </c>
      <c r="O38" s="28" t="n">
        <v>-2.173913043478267</v>
      </c>
    </row>
    <row r="39" ht="20.15" customHeight="1" s="524">
      <c r="B39" s="55" t="inlineStr">
        <is>
          <t>Nektarynki</t>
        </is>
      </c>
      <c r="C39" s="25" t="inlineStr">
        <is>
          <t>kg</t>
        </is>
      </c>
      <c r="D39" s="27" t="n">
        <v>6.5</v>
      </c>
      <c r="E39" s="25" t="n">
        <v>6.5</v>
      </c>
      <c r="F39" s="25" t="n">
        <v>6.5</v>
      </c>
      <c r="G39" s="74" t="n">
        <v>6.5</v>
      </c>
      <c r="H39" s="72" t="n">
        <v>0</v>
      </c>
      <c r="I39" s="26" t="n">
        <v>0</v>
      </c>
      <c r="J39" s="26" t="n">
        <v>-7.142857142857142</v>
      </c>
      <c r="K39" s="26" t="n">
        <v>-7.142857142857142</v>
      </c>
      <c r="L39" s="26" t="n">
        <v>-7.142857142857142</v>
      </c>
      <c r="M39" s="26" t="n">
        <v>-7.142857142857142</v>
      </c>
      <c r="N39" s="26" t="n">
        <v>-18.75</v>
      </c>
      <c r="O39" s="28" t="n">
        <v>-18.75</v>
      </c>
    </row>
    <row r="40" ht="20.15" customHeight="1" s="524">
      <c r="B40" s="55" t="inlineStr">
        <is>
          <t>Śliwki</t>
        </is>
      </c>
      <c r="C40" s="25" t="inlineStr">
        <is>
          <t>kg</t>
        </is>
      </c>
      <c r="D40" s="27" t="n">
        <v>3.5</v>
      </c>
      <c r="E40" s="25" t="n">
        <v>6</v>
      </c>
      <c r="F40" s="25" t="n">
        <v>3.6</v>
      </c>
      <c r="G40" s="74" t="n">
        <v>5.8</v>
      </c>
      <c r="H40" s="72" t="n">
        <v>-2.77777777777778</v>
      </c>
      <c r="I40" s="26" t="n">
        <v>3.448275862068969</v>
      </c>
      <c r="J40" s="26" t="n">
        <v>-14.63414634146341</v>
      </c>
      <c r="K40" s="26" t="n">
        <v>-10.44776119402985</v>
      </c>
      <c r="L40" s="26" t="n">
        <v>-10.25641025641026</v>
      </c>
      <c r="M40" s="26" t="n">
        <v>-6.250000000000005</v>
      </c>
      <c r="N40" s="26" t="n">
        <v>-26.95652173913044</v>
      </c>
      <c r="O40" s="28" t="n">
        <v>-28</v>
      </c>
    </row>
    <row r="41" ht="20.15" customHeight="1" s="524">
      <c r="B41" s="55" t="inlineStr">
        <is>
          <t>Truskawki</t>
        </is>
      </c>
      <c r="C41" s="25" t="inlineStr">
        <is>
          <t>kg</t>
        </is>
      </c>
      <c r="D41" s="27" t="n">
        <v>18</v>
      </c>
      <c r="E41" s="25" t="n">
        <v>21.625</v>
      </c>
      <c r="F41" s="25" t="n">
        <v>17.4</v>
      </c>
      <c r="G41" s="74" t="n">
        <v>21</v>
      </c>
      <c r="H41" s="72" t="n">
        <v>3.448275862068974</v>
      </c>
      <c r="I41" s="26" t="n">
        <v>2.976190476190476</v>
      </c>
      <c r="J41" s="26" t="n">
        <v>21.62162162162161</v>
      </c>
      <c r="K41" s="26" t="n">
        <v>12.04663212435233</v>
      </c>
      <c r="L41" s="26" t="n">
        <v>17.64705882352941</v>
      </c>
      <c r="M41" s="26" t="n">
        <v>-4.735682819383257</v>
      </c>
      <c r="N41" s="26" t="n">
        <v>18.68131868131869</v>
      </c>
      <c r="O41" s="28" t="n">
        <v>-7.651245551601428</v>
      </c>
    </row>
    <row r="42">
      <c r="B42" s="55" t="inlineStr">
        <is>
          <t>Porzeczki czarne</t>
        </is>
      </c>
      <c r="C42" s="25" t="inlineStr">
        <is>
          <t>kg</t>
        </is>
      </c>
      <c r="D42" s="27" t="n">
        <v>15</v>
      </c>
      <c r="E42" s="25" t="n">
        <v>15</v>
      </c>
      <c r="F42" s="25" t="n">
        <v>15</v>
      </c>
      <c r="G42" s="74" t="n">
        <v>17.5</v>
      </c>
      <c r="H42" s="72" t="n">
        <v>0</v>
      </c>
      <c r="I42" s="26" t="n">
        <v>-14.28571428571428</v>
      </c>
      <c r="J42" s="26" t="n">
        <v>-13.46153846153845</v>
      </c>
      <c r="K42" s="26" t="n">
        <v>-21.05263157894737</v>
      </c>
      <c r="L42" s="26" t="n">
        <v>-15.73033707865169</v>
      </c>
      <c r="M42" s="26" t="n">
        <v>-27.88461538461539</v>
      </c>
      <c r="N42" s="26" t="n">
        <v>-21.05263157894737</v>
      </c>
      <c r="O42" s="28" t="n">
        <v>-35.25179856115108</v>
      </c>
    </row>
    <row r="43">
      <c r="B43" s="55" t="inlineStr">
        <is>
          <t>Porzeczki czerwone</t>
        </is>
      </c>
      <c r="C43" s="25" t="inlineStr">
        <is>
          <t>kg</t>
        </is>
      </c>
      <c r="D43" s="27" t="n">
        <v>17</v>
      </c>
      <c r="E43" s="25" t="n">
        <v>18</v>
      </c>
      <c r="F43" s="25" t="n">
        <v>12.5</v>
      </c>
      <c r="G43" s="74" t="n">
        <v>15.75</v>
      </c>
      <c r="H43" s="72" t="n">
        <v>36</v>
      </c>
      <c r="I43" s="26" t="n">
        <v>14.28571428571428</v>
      </c>
      <c r="J43" s="26" t="n">
        <v>28.7878787878788</v>
      </c>
      <c r="K43" s="26" t="n">
        <v>13.92405063291139</v>
      </c>
      <c r="L43" s="26" t="n">
        <v>28.7878787878788</v>
      </c>
      <c r="M43" s="26" t="n">
        <v>20</v>
      </c>
      <c r="N43" s="26" t="n">
        <v>34.21052631578948</v>
      </c>
      <c r="O43" s="28" t="n">
        <v>18.68131868131869</v>
      </c>
    </row>
    <row r="44">
      <c r="B44" s="55" t="inlineStr">
        <is>
          <t>Wiśnie</t>
        </is>
      </c>
      <c r="C44" s="25" t="inlineStr">
        <is>
          <t>kg</t>
        </is>
      </c>
      <c r="D44" s="27" t="n">
        <v>8.4175</v>
      </c>
      <c r="E44" s="25" t="n">
        <v>10.5825</v>
      </c>
      <c r="F44" s="25" t="n">
        <v>8.394</v>
      </c>
      <c r="G44" s="74" t="n">
        <v>10.13</v>
      </c>
      <c r="H44" s="72" t="n">
        <v>0.2799618775315737</v>
      </c>
      <c r="I44" s="26" t="n">
        <v>4.466929911154991</v>
      </c>
      <c r="J44" s="26" t="n">
        <v>2.652439024390258</v>
      </c>
      <c r="K44" s="26" t="n">
        <v>0.4794910748195931</v>
      </c>
      <c r="L44" s="26" t="n">
        <v>6.094025712125035</v>
      </c>
      <c r="M44" s="26" t="n">
        <v>3.082992402104029</v>
      </c>
      <c r="N44" s="26" t="n">
        <v>-5.058651026392953</v>
      </c>
      <c r="O44" s="28" t="n">
        <v>-7.171052631578954</v>
      </c>
    </row>
    <row r="45">
      <c r="B45" s="55" t="inlineStr">
        <is>
          <t>Jabłka:</t>
        </is>
      </c>
      <c r="C45" s="25" t="n"/>
      <c r="D45" s="27" t="n"/>
      <c r="E45" s="25" t="n"/>
      <c r="F45" s="25" t="n"/>
      <c r="G45" s="74" t="n"/>
      <c r="H45" s="72" t="n"/>
      <c r="I45" s="26" t="n"/>
      <c r="J45" s="26" t="n"/>
      <c r="K45" s="26" t="n"/>
      <c r="L45" s="26" t="n"/>
      <c r="M45" s="26" t="n"/>
      <c r="N45" s="26" t="n"/>
      <c r="O45" s="28" t="n"/>
    </row>
    <row r="46">
      <c r="B46" s="55" t="inlineStr">
        <is>
          <t>Antonówki</t>
        </is>
      </c>
      <c r="C46" s="25" t="inlineStr">
        <is>
          <t>kg</t>
        </is>
      </c>
      <c r="D46" s="27" t="n">
        <v>2.7125</v>
      </c>
      <c r="E46" s="25" t="n">
        <v>4.295</v>
      </c>
      <c r="F46" s="25" t="n">
        <v>3.425</v>
      </c>
      <c r="G46" s="74" t="n">
        <v>3.925</v>
      </c>
      <c r="H46" s="72" t="n">
        <v>-20.8029197080292</v>
      </c>
      <c r="I46" s="26" t="n">
        <v>9.426751592356691</v>
      </c>
      <c r="J46" s="26" t="n">
        <v>-20.8029197080292</v>
      </c>
      <c r="K46" s="26" t="n">
        <v>0.9400705052878975</v>
      </c>
      <c r="L46" s="26" t="n">
        <v>-37.06496519721579</v>
      </c>
      <c r="M46" s="26" t="n">
        <v>-10.70686070686072</v>
      </c>
      <c r="N46" s="26" t="n"/>
      <c r="O46" s="28" t="n"/>
    </row>
    <row r="47">
      <c r="B47" s="55" t="inlineStr">
        <is>
          <t>Celesta</t>
        </is>
      </c>
      <c r="C47" s="25" t="inlineStr">
        <is>
          <t>kg</t>
        </is>
      </c>
      <c r="D47" s="27" t="n">
        <v>2.643333333333333</v>
      </c>
      <c r="E47" s="25" t="n">
        <v>4.136666666666667</v>
      </c>
      <c r="F47" s="25" t="n">
        <v>3.08</v>
      </c>
      <c r="G47" s="74" t="n">
        <v>3.08</v>
      </c>
      <c r="H47" s="72" t="n">
        <v>-14.17748917748919</v>
      </c>
      <c r="I47" s="26" t="n">
        <v>34.30735930735931</v>
      </c>
      <c r="J47" s="26" t="n">
        <v>-14.17748917748919</v>
      </c>
      <c r="K47" s="26" t="n">
        <v>34.30735930735931</v>
      </c>
      <c r="L47" s="26" t="n">
        <v>-14.17748917748919</v>
      </c>
      <c r="M47" s="26" t="n">
        <v>34.30735930735931</v>
      </c>
      <c r="N47" s="26" t="n"/>
      <c r="O47" s="28" t="n"/>
    </row>
    <row r="48">
      <c r="B48" s="55" t="inlineStr">
        <is>
          <t>Gala</t>
        </is>
      </c>
      <c r="C48" s="25" t="inlineStr">
        <is>
          <t>kg</t>
        </is>
      </c>
      <c r="D48" s="27" t="n">
        <v>2.54</v>
      </c>
      <c r="E48" s="25" t="n">
        <v>3.04</v>
      </c>
      <c r="F48" s="25" t="n">
        <v>2</v>
      </c>
      <c r="G48" s="74" t="n">
        <v>3</v>
      </c>
      <c r="H48" s="72" t="n">
        <v>27</v>
      </c>
      <c r="I48" s="26" t="n">
        <v>1.333333333333334</v>
      </c>
      <c r="J48" s="26" t="n">
        <v>27</v>
      </c>
      <c r="K48" s="26" t="n">
        <v>1.333333333333334</v>
      </c>
      <c r="L48" s="26" t="n">
        <v>1.600000000000001</v>
      </c>
      <c r="M48" s="26" t="n">
        <v>-13.14285714285714</v>
      </c>
      <c r="N48" s="26" t="n">
        <v>-8.960573476702509</v>
      </c>
      <c r="O48" s="28" t="n">
        <v>-7.598784194528875</v>
      </c>
    </row>
    <row r="49">
      <c r="B49" s="55" t="inlineStr">
        <is>
          <t>Golden</t>
        </is>
      </c>
      <c r="C49" s="25" t="inlineStr">
        <is>
          <t>kg</t>
        </is>
      </c>
      <c r="D49" s="27" t="n">
        <v>2.54</v>
      </c>
      <c r="E49" s="25" t="n">
        <v>3.04</v>
      </c>
      <c r="F49" s="25" t="n">
        <v>2</v>
      </c>
      <c r="G49" s="74" t="n">
        <v>3</v>
      </c>
      <c r="H49" s="72" t="n">
        <v>27</v>
      </c>
      <c r="I49" s="26" t="n">
        <v>1.333333333333334</v>
      </c>
      <c r="J49" s="26" t="n">
        <v>27</v>
      </c>
      <c r="K49" s="26" t="n">
        <v>1.333333333333334</v>
      </c>
      <c r="L49" s="26" t="n">
        <v>-21.84615384615385</v>
      </c>
      <c r="M49" s="26" t="n">
        <v>-21.54838709677419</v>
      </c>
      <c r="N49" s="26" t="n">
        <v>-21.84615384615385</v>
      </c>
      <c r="O49" s="28" t="n">
        <v>-21.54838709677419</v>
      </c>
    </row>
    <row r="50">
      <c r="B50" s="496" t="inlineStr">
        <is>
          <t>Idared</t>
        </is>
      </c>
      <c r="C50" s="497" t="inlineStr">
        <is>
          <t>kg</t>
        </is>
      </c>
      <c r="D50" s="383" t="n">
        <v>1.33</v>
      </c>
      <c r="E50" s="497" t="n">
        <v>2.67</v>
      </c>
      <c r="F50" s="497" t="n">
        <v>1.33</v>
      </c>
      <c r="G50" s="498" t="n">
        <v>2.67</v>
      </c>
      <c r="H50" s="499" t="n">
        <v>0</v>
      </c>
      <c r="I50" s="500" t="n">
        <v>0</v>
      </c>
      <c r="J50" s="500" t="n">
        <v>0</v>
      </c>
      <c r="K50" s="500" t="n">
        <v>0</v>
      </c>
      <c r="L50" s="500" t="n">
        <v>-42.91845493562232</v>
      </c>
      <c r="M50" s="500" t="n">
        <v>-11</v>
      </c>
      <c r="N50" s="500" t="n">
        <v>-42.91845493562232</v>
      </c>
      <c r="O50" s="501" t="n">
        <v>-11</v>
      </c>
    </row>
    <row r="51">
      <c r="B51" s="507" t="inlineStr">
        <is>
          <t>Jonagold</t>
        </is>
      </c>
      <c r="C51" s="508" t="inlineStr">
        <is>
          <t>kg</t>
        </is>
      </c>
      <c r="D51" s="509" t="n">
        <v>2.36</v>
      </c>
      <c r="E51" s="508" t="n">
        <v>3.136666666666667</v>
      </c>
      <c r="F51" s="508" t="n">
        <v>2</v>
      </c>
      <c r="G51" s="508" t="n">
        <v>3</v>
      </c>
      <c r="H51" s="510" t="n">
        <v>17.99999999999999</v>
      </c>
      <c r="I51" s="510" t="n">
        <v>4.555555555555557</v>
      </c>
      <c r="J51" s="510" t="n">
        <v>17.99999999999999</v>
      </c>
      <c r="K51" s="510" t="n">
        <v>-10.38095238095238</v>
      </c>
      <c r="L51" s="510" t="n">
        <v>17.99999999999999</v>
      </c>
      <c r="M51" s="510" t="n">
        <v>-10.38095238095238</v>
      </c>
      <c r="N51" s="510" t="n">
        <v>17.99999999999999</v>
      </c>
      <c r="O51" s="510" t="n">
        <v>-10.38095238095238</v>
      </c>
    </row>
    <row r="52">
      <c r="B52" s="502" t="inlineStr">
        <is>
          <t>Ligol</t>
        </is>
      </c>
      <c r="C52" s="503" t="inlineStr">
        <is>
          <t>kg</t>
        </is>
      </c>
      <c r="D52" s="504" t="n">
        <v>2.925</v>
      </c>
      <c r="E52" s="503" t="n">
        <v>3.425</v>
      </c>
      <c r="F52" s="503" t="n">
        <v>2.72</v>
      </c>
      <c r="G52" s="505" t="n">
        <v>3.053333333333333</v>
      </c>
      <c r="H52" s="506" t="n">
        <v>7.536764705882339</v>
      </c>
      <c r="I52" s="75" t="n">
        <v>12.17248908296943</v>
      </c>
      <c r="J52" s="75" t="n">
        <v>15.15748031496062</v>
      </c>
      <c r="K52" s="75" t="n">
        <v>9.687750200160121</v>
      </c>
      <c r="L52" s="75" t="n">
        <v>6.441048034934482</v>
      </c>
      <c r="M52" s="75" t="n">
        <v>3.850818677986638</v>
      </c>
      <c r="N52" s="75" t="n">
        <v>9.756097560975602</v>
      </c>
      <c r="O52" s="76" t="n">
        <v>2.162565249813566</v>
      </c>
    </row>
    <row r="53">
      <c r="B53" s="55" t="inlineStr">
        <is>
          <t>Papierówki</t>
        </is>
      </c>
      <c r="C53" s="25" t="inlineStr">
        <is>
          <t>kg</t>
        </is>
      </c>
      <c r="D53" s="27" t="n">
        <v>3.85</v>
      </c>
      <c r="E53" s="25" t="n">
        <v>3.85</v>
      </c>
      <c r="F53" s="25" t="n">
        <v>3.26</v>
      </c>
      <c r="G53" s="74" t="n">
        <v>4.26</v>
      </c>
      <c r="H53" s="72" t="n">
        <v>18.09815950920246</v>
      </c>
      <c r="I53" s="26" t="n">
        <v>-9.624413145539899</v>
      </c>
      <c r="J53" s="26" t="n">
        <v>18.09815950920246</v>
      </c>
      <c r="K53" s="26" t="n">
        <v>-9.624413145539899</v>
      </c>
      <c r="L53" s="26" t="n">
        <v>26.33305988515177</v>
      </c>
      <c r="M53" s="26" t="n">
        <v>-21.10655737704917</v>
      </c>
      <c r="N53" s="26" t="n">
        <v>8.527131782945743</v>
      </c>
      <c r="O53" s="28" t="n">
        <v>-27.25555030703827</v>
      </c>
    </row>
    <row r="54">
      <c r="B54" s="55" t="inlineStr">
        <is>
          <t>Piros</t>
        </is>
      </c>
      <c r="C54" s="25" t="inlineStr">
        <is>
          <t>kg</t>
        </is>
      </c>
      <c r="D54" s="27" t="n">
        <v>2.6875</v>
      </c>
      <c r="E54" s="25" t="n">
        <v>4.02</v>
      </c>
      <c r="F54" s="25" t="n">
        <v>2.81</v>
      </c>
      <c r="G54" s="74" t="n">
        <v>4.194000000000001</v>
      </c>
      <c r="H54" s="72" t="n">
        <v>-4.359430604982208</v>
      </c>
      <c r="I54" s="26" t="n">
        <v>-4.148783977110186</v>
      </c>
      <c r="J54" s="26" t="n">
        <v>-4.563210227272721</v>
      </c>
      <c r="K54" s="26" t="n">
        <v>-14.75826972010178</v>
      </c>
      <c r="L54" s="26" t="n">
        <v>-8.898305084745768</v>
      </c>
      <c r="M54" s="26" t="n">
        <v>-20.92840283241543</v>
      </c>
      <c r="N54" s="26" t="n">
        <v>-7.006920415224918</v>
      </c>
      <c r="O54" s="28" t="n">
        <v>-34.81081081081082</v>
      </c>
    </row>
    <row r="55">
      <c r="B55" s="55" t="inlineStr">
        <is>
          <t>Szara Reneta</t>
        </is>
      </c>
      <c r="C55" s="25" t="inlineStr">
        <is>
          <t>kg</t>
        </is>
      </c>
      <c r="D55" s="27" t="n">
        <v>2</v>
      </c>
      <c r="E55" s="25" t="n">
        <v>4</v>
      </c>
      <c r="F55" s="25" t="n">
        <v>2</v>
      </c>
      <c r="G55" s="74" t="n">
        <v>3.5</v>
      </c>
      <c r="H55" s="72" t="n">
        <v>0</v>
      </c>
      <c r="I55" s="26" t="n">
        <v>14.28571428571428</v>
      </c>
      <c r="J55" s="26" t="n">
        <v>0</v>
      </c>
      <c r="K55" s="26" t="n">
        <v>14.28571428571428</v>
      </c>
      <c r="L55" s="26" t="n">
        <v>-23.80952380952381</v>
      </c>
      <c r="M55" s="26" t="n">
        <v>0</v>
      </c>
      <c r="N55" s="26" t="n">
        <v>-23.80952380952381</v>
      </c>
      <c r="O55" s="28" t="n">
        <v>0</v>
      </c>
    </row>
    <row r="56">
      <c r="B56" s="55" t="inlineStr">
        <is>
          <t>Szampion</t>
        </is>
      </c>
      <c r="C56" s="25" t="inlineStr">
        <is>
          <t>kg</t>
        </is>
      </c>
      <c r="D56" s="27" t="n">
        <v>2.25</v>
      </c>
      <c r="E56" s="25" t="n">
        <v>3.303333333333333</v>
      </c>
      <c r="F56" s="25" t="n">
        <v>3</v>
      </c>
      <c r="G56" s="74" t="n">
        <v>4.053333333333334</v>
      </c>
      <c r="H56" s="72" t="n">
        <v>-25</v>
      </c>
      <c r="I56" s="26" t="n">
        <v>-18.50328947368422</v>
      </c>
      <c r="J56" s="26" t="n">
        <v>-25</v>
      </c>
      <c r="K56" s="26" t="n">
        <v>-18.50328947368422</v>
      </c>
      <c r="L56" s="26" t="n">
        <v>-27.00729927007299</v>
      </c>
      <c r="M56" s="26" t="n">
        <v>-18.23432343234324</v>
      </c>
      <c r="N56" s="26" t="n">
        <v>-10.71428571428572</v>
      </c>
      <c r="O56" s="28" t="n">
        <v>-5.00838725137791</v>
      </c>
    </row>
    <row r="57">
      <c r="B57" s="55" t="inlineStr">
        <is>
          <t>Warzywa importowane</t>
        </is>
      </c>
      <c r="C57" s="25" t="n"/>
      <c r="D57" s="27" t="n"/>
      <c r="E57" s="25" t="n"/>
      <c r="F57" s="25" t="n"/>
      <c r="G57" s="74" t="n"/>
      <c r="H57" s="72" t="n"/>
      <c r="I57" s="26" t="n"/>
      <c r="J57" s="26" t="n"/>
      <c r="K57" s="26" t="n"/>
      <c r="L57" s="26" t="n"/>
      <c r="M57" s="26" t="n"/>
      <c r="N57" s="26" t="n"/>
      <c r="O57" s="28" t="n"/>
    </row>
    <row r="58">
      <c r="B58" s="55" t="inlineStr">
        <is>
          <t>Czosnek</t>
        </is>
      </c>
      <c r="C58" s="25" t="inlineStr">
        <is>
          <t>kg</t>
        </is>
      </c>
      <c r="D58" s="27" t="n">
        <v>7</v>
      </c>
      <c r="E58" s="25" t="n">
        <v>8</v>
      </c>
      <c r="F58" s="25" t="n">
        <v>7</v>
      </c>
      <c r="G58" s="74" t="n">
        <v>8</v>
      </c>
      <c r="H58" s="72" t="n">
        <v>0</v>
      </c>
      <c r="I58" s="26" t="n">
        <v>0</v>
      </c>
      <c r="J58" s="26" t="n">
        <v>0</v>
      </c>
      <c r="K58" s="26" t="n">
        <v>0</v>
      </c>
      <c r="L58" s="26" t="n">
        <v>7.692307692307693</v>
      </c>
      <c r="M58" s="26" t="n">
        <v>0</v>
      </c>
      <c r="N58" s="26" t="n">
        <v>7.692307692307693</v>
      </c>
      <c r="O58" s="28" t="n">
        <v>0</v>
      </c>
    </row>
    <row r="59">
      <c r="B59" s="55" t="inlineStr">
        <is>
          <t>Owoce importowane</t>
        </is>
      </c>
      <c r="C59" s="25" t="n"/>
      <c r="D59" s="27" t="n"/>
      <c r="E59" s="25" t="n"/>
      <c r="F59" s="25" t="n"/>
      <c r="G59" s="74" t="n"/>
      <c r="H59" s="72" t="n"/>
      <c r="I59" s="26" t="n"/>
      <c r="J59" s="26" t="n"/>
      <c r="K59" s="26" t="n"/>
      <c r="L59" s="26" t="n"/>
      <c r="M59" s="26" t="n"/>
      <c r="N59" s="26" t="n"/>
      <c r="O59" s="28" t="n"/>
    </row>
    <row r="60">
      <c r="B60" s="55" t="inlineStr">
        <is>
          <t>Ananasy</t>
        </is>
      </c>
      <c r="C60" s="25" t="inlineStr">
        <is>
          <t>szt.</t>
        </is>
      </c>
      <c r="D60" s="27" t="n">
        <v>5</v>
      </c>
      <c r="E60" s="25" t="n">
        <v>13.66666666666667</v>
      </c>
      <c r="F60" s="25" t="n">
        <v>6.5</v>
      </c>
      <c r="G60" s="74" t="n">
        <v>13</v>
      </c>
      <c r="H60" s="72" t="n">
        <v>-23.07692307692308</v>
      </c>
      <c r="I60" s="26" t="n">
        <v>5.128205128205124</v>
      </c>
      <c r="J60" s="26" t="n">
        <v>-23.07692307692308</v>
      </c>
      <c r="K60" s="26" t="n">
        <v>5.128205128205124</v>
      </c>
      <c r="L60" s="26" t="n">
        <v>-23.07692307692308</v>
      </c>
      <c r="M60" s="26" t="n">
        <v>24.24242424242424</v>
      </c>
      <c r="N60" s="26" t="n">
        <v>-26.47058823529412</v>
      </c>
      <c r="O60" s="28" t="n">
        <v>-3.755868544600939</v>
      </c>
    </row>
    <row r="61">
      <c r="B61" s="55" t="inlineStr">
        <is>
          <t>Brzoskwinie</t>
        </is>
      </c>
      <c r="C61" s="25" t="inlineStr">
        <is>
          <t>kg</t>
        </is>
      </c>
      <c r="D61" s="27" t="n">
        <v>6.333333333333333</v>
      </c>
      <c r="E61" s="25" t="n">
        <v>7.666666666666667</v>
      </c>
      <c r="F61" s="25" t="n">
        <v>6.5</v>
      </c>
      <c r="G61" s="74" t="n">
        <v>8.5</v>
      </c>
      <c r="H61" s="72" t="n">
        <v>-2.564102564102568</v>
      </c>
      <c r="I61" s="26" t="n">
        <v>-9.803921568627448</v>
      </c>
      <c r="J61" s="26" t="n">
        <v>-9.523809523809527</v>
      </c>
      <c r="K61" s="26" t="n">
        <v>-20.68965517241378</v>
      </c>
      <c r="L61" s="26" t="n">
        <v>-9.523809523809527</v>
      </c>
      <c r="M61" s="26" t="n">
        <v>-23.33333333333333</v>
      </c>
      <c r="N61" s="26" t="n">
        <v>-9.523809523809527</v>
      </c>
      <c r="O61" s="28" t="n">
        <v>-23.33333333333333</v>
      </c>
    </row>
    <row r="62">
      <c r="B62" s="55" t="inlineStr">
        <is>
          <t>Cytryny</t>
        </is>
      </c>
      <c r="C62" s="25" t="inlineStr">
        <is>
          <t>kg</t>
        </is>
      </c>
      <c r="D62" s="27" t="n">
        <v>6.5</v>
      </c>
      <c r="E62" s="25" t="n">
        <v>7.75</v>
      </c>
      <c r="F62" s="25" t="n">
        <v>6.644</v>
      </c>
      <c r="G62" s="74" t="n">
        <v>8.321999999999999</v>
      </c>
      <c r="H62" s="72" t="n">
        <v>-2.167369054786275</v>
      </c>
      <c r="I62" s="26" t="n">
        <v>-6.873347752943995</v>
      </c>
      <c r="J62" s="26" t="n">
        <v>-2.167369054786275</v>
      </c>
      <c r="K62" s="26" t="n">
        <v>-9.883720930232554</v>
      </c>
      <c r="L62" s="26" t="n">
        <v>-17.72151898734177</v>
      </c>
      <c r="M62" s="26" t="n">
        <v>-20.10309278350515</v>
      </c>
      <c r="N62" s="26" t="n">
        <v>-24.99999999999999</v>
      </c>
      <c r="O62" s="28" t="n">
        <v>-25.00000000000001</v>
      </c>
    </row>
    <row r="63">
      <c r="B63" s="55" t="inlineStr">
        <is>
          <t>Grejpfruty</t>
        </is>
      </c>
      <c r="C63" s="25" t="inlineStr">
        <is>
          <t>kg</t>
        </is>
      </c>
      <c r="D63" s="27" t="n">
        <v>6.035</v>
      </c>
      <c r="E63" s="25" t="n">
        <v>12.465</v>
      </c>
      <c r="F63" s="25" t="n">
        <v>6.228</v>
      </c>
      <c r="G63" s="74" t="n">
        <v>11.572</v>
      </c>
      <c r="H63" s="72" t="n">
        <v>-3.098908156711619</v>
      </c>
      <c r="I63" s="26" t="n">
        <v>7.71690286899413</v>
      </c>
      <c r="J63" s="26" t="n">
        <v>-3.098908156711619</v>
      </c>
      <c r="K63" s="26" t="n">
        <v>5.886850152905195</v>
      </c>
      <c r="L63" s="26" t="n">
        <v>-3.098908156711619</v>
      </c>
      <c r="M63" s="26" t="n">
        <v>5.886850152905195</v>
      </c>
      <c r="N63" s="26" t="n">
        <v>-2.504038772213251</v>
      </c>
      <c r="O63" s="28" t="n">
        <v>8.61167586407203</v>
      </c>
      <c r="S63" s="511" t="n"/>
    </row>
    <row r="64" ht="21.5" customHeight="1" s="524" thickBot="1">
      <c r="B64" s="55" t="inlineStr">
        <is>
          <t>Gruszki</t>
        </is>
      </c>
      <c r="C64" s="25" t="inlineStr">
        <is>
          <t>kg</t>
        </is>
      </c>
      <c r="D64" s="27" t="n">
        <v>7.5</v>
      </c>
      <c r="E64" s="25" t="n">
        <v>7.895</v>
      </c>
      <c r="F64" s="25" t="n">
        <v>7.5</v>
      </c>
      <c r="G64" s="74" t="n">
        <v>7.866</v>
      </c>
      <c r="H64" s="72" t="n">
        <v>0</v>
      </c>
      <c r="I64" s="26" t="n">
        <v>0.3686753114670724</v>
      </c>
      <c r="J64" s="26" t="n">
        <v>0</v>
      </c>
      <c r="K64" s="26" t="n">
        <v>-0.2652854977261231</v>
      </c>
      <c r="L64" s="26" t="n">
        <v>0</v>
      </c>
      <c r="M64" s="26" t="n">
        <v>-1.509481037924157</v>
      </c>
      <c r="N64" s="26" t="n">
        <v>2.263430597218428</v>
      </c>
      <c r="O64" s="28" t="n">
        <v>0.5732484076433112</v>
      </c>
    </row>
    <row r="65" ht="21.5" customHeight="1" s="524" thickBot="1">
      <c r="B65" s="391" t="inlineStr">
        <is>
          <t>Mandarynki</t>
        </is>
      </c>
      <c r="C65" s="392" t="inlineStr">
        <is>
          <t>kg</t>
        </is>
      </c>
      <c r="D65" s="393" t="n">
        <v>7.875</v>
      </c>
      <c r="E65" s="392" t="n">
        <v>10.25</v>
      </c>
      <c r="F65" s="392" t="n">
        <v>7.6</v>
      </c>
      <c r="G65" s="392" t="n">
        <v>10.1</v>
      </c>
      <c r="H65" s="394" t="n">
        <v>3.618421052631584</v>
      </c>
      <c r="I65" s="394" t="n">
        <v>1.485148514851489</v>
      </c>
      <c r="J65" s="394" t="n">
        <v>14.13043478260869</v>
      </c>
      <c r="K65" s="394" t="n">
        <v>-9.292035398230095</v>
      </c>
      <c r="L65" s="394" t="n">
        <v>14.13043478260869</v>
      </c>
      <c r="M65" s="394" t="n">
        <v>5.670103092783513</v>
      </c>
      <c r="N65" s="394" t="n">
        <v>9.883720930232553</v>
      </c>
      <c r="O65" s="394" t="n">
        <v>-7.518796992481208</v>
      </c>
    </row>
    <row r="66" ht="21.5" customHeight="1" s="524" thickBot="1">
      <c r="B66" s="55" t="inlineStr">
        <is>
          <t>Morele</t>
        </is>
      </c>
      <c r="C66" s="25" t="inlineStr">
        <is>
          <t>kg</t>
        </is>
      </c>
      <c r="D66" s="27" t="n">
        <v>7.75</v>
      </c>
      <c r="E66" s="25" t="n">
        <v>10.25</v>
      </c>
      <c r="F66" s="25" t="n">
        <v>8</v>
      </c>
      <c r="G66" s="74" t="n">
        <v>11.33333333333333</v>
      </c>
      <c r="H66" s="72" t="n">
        <v>-3.125</v>
      </c>
      <c r="I66" s="26" t="n">
        <v>-9.55882352941177</v>
      </c>
      <c r="J66" s="26" t="n">
        <v>-11.42857142857143</v>
      </c>
      <c r="K66" s="26" t="n">
        <v>-12.76595744680851</v>
      </c>
      <c r="L66" s="26" t="n">
        <v>-6.060606060606061</v>
      </c>
      <c r="M66" s="26" t="n">
        <v>-12.76595744680851</v>
      </c>
      <c r="N66" s="26" t="n">
        <v>-8.823529411764707</v>
      </c>
      <c r="O66" s="28" t="n">
        <v>-12.76595744680851</v>
      </c>
    </row>
    <row r="67" ht="21.5" customHeight="1" s="524" thickBot="1">
      <c r="B67" s="391" t="inlineStr">
        <is>
          <t>Nektarynki</t>
        </is>
      </c>
      <c r="C67" s="392" t="inlineStr">
        <is>
          <t>kg</t>
        </is>
      </c>
      <c r="D67" s="393" t="n">
        <v>6</v>
      </c>
      <c r="E67" s="392" t="n">
        <v>8.75</v>
      </c>
      <c r="F67" s="392" t="n">
        <v>6.2</v>
      </c>
      <c r="G67" s="392" t="n">
        <v>9</v>
      </c>
      <c r="H67" s="394" t="n">
        <v>-3.225806451612906</v>
      </c>
      <c r="I67" s="394" t="n">
        <v>-2.777777777777778</v>
      </c>
      <c r="J67" s="394" t="n">
        <v>-6.250000000000005</v>
      </c>
      <c r="K67" s="394" t="n">
        <v>-4.89130434782608</v>
      </c>
      <c r="L67" s="394" t="n">
        <v>-14.28571428571428</v>
      </c>
      <c r="M67" s="394" t="n">
        <v>-6.91489361702128</v>
      </c>
      <c r="N67" s="394" t="n">
        <v>-20</v>
      </c>
      <c r="O67" s="394" t="n">
        <v>-11.01694915254238</v>
      </c>
    </row>
    <row r="68">
      <c r="B68" s="55" t="inlineStr">
        <is>
          <t>Śliwki</t>
        </is>
      </c>
      <c r="C68" s="25" t="inlineStr">
        <is>
          <t>kg</t>
        </is>
      </c>
      <c r="D68" s="27" t="n">
        <v>5.5</v>
      </c>
      <c r="E68" s="25" t="n">
        <v>7.75</v>
      </c>
      <c r="F68" s="25" t="n">
        <v>5.8</v>
      </c>
      <c r="G68" s="74" t="n">
        <v>6.75</v>
      </c>
      <c r="H68" s="72" t="n">
        <v>-5.172413793103446</v>
      </c>
      <c r="I68" s="26" t="n">
        <v>14.81481481481481</v>
      </c>
      <c r="J68" s="26" t="n">
        <v>-5.172413793103446</v>
      </c>
      <c r="K68" s="26" t="n">
        <v>0</v>
      </c>
      <c r="L68" s="26" t="n">
        <v>-29.03225806451613</v>
      </c>
      <c r="M68" s="26" t="n">
        <v>-18.42105263157895</v>
      </c>
      <c r="N68" s="26" t="n">
        <v>-29.03225806451613</v>
      </c>
      <c r="O68" s="28" t="n">
        <v>-18.42105263157895</v>
      </c>
    </row>
    <row r="69">
      <c r="B69" s="55" t="inlineStr">
        <is>
          <t>Winogrona</t>
        </is>
      </c>
      <c r="C69" s="25" t="inlineStr">
        <is>
          <t>kg</t>
        </is>
      </c>
      <c r="D69" s="27" t="n">
        <v>9.6075</v>
      </c>
      <c r="E69" s="25" t="n">
        <v>17.715</v>
      </c>
      <c r="F69" s="25" t="n">
        <v>10.286</v>
      </c>
      <c r="G69" s="74" t="n">
        <v>17.172</v>
      </c>
      <c r="H69" s="72" t="n">
        <v>-6.596344545984831</v>
      </c>
      <c r="I69" s="26" t="n">
        <v>3.162124388539479</v>
      </c>
      <c r="J69" s="26" t="n">
        <v>-6.596344545984831</v>
      </c>
      <c r="K69" s="26" t="n">
        <v>3.162124388539479</v>
      </c>
      <c r="L69" s="26" t="n">
        <v>-22.49515972894483</v>
      </c>
      <c r="M69" s="26" t="n">
        <v>12.27658765369501</v>
      </c>
      <c r="N69" s="26" t="n">
        <v>-39.67664294683969</v>
      </c>
      <c r="O69" s="28" t="n">
        <v>-15.903156895324</v>
      </c>
    </row>
  </sheetData>
  <conditionalFormatting sqref="H9:I9">
    <cfRule type="cellIs" priority="1213" operator="lessThan" dxfId="321">
      <formula>0</formula>
    </cfRule>
    <cfRule type="cellIs" priority="1214" operator="greaterThan" dxfId="320">
      <formula>0</formula>
    </cfRule>
  </conditionalFormatting>
  <conditionalFormatting sqref="H10:O66 H68:O69 J67:O67">
    <cfRule type="cellIs" priority="4" operator="equal" dxfId="2" stopIfTrue="1">
      <formula>"-"</formula>
    </cfRule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67:I67">
    <cfRule type="cellIs" priority="1" operator="equal" dxfId="2" stopIfTrue="1">
      <formula>"-"</formula>
    </cfRule>
    <cfRule type="cellIs" priority="2" operator="greaterThan" dxfId="0">
      <formula>0</formula>
    </cfRule>
    <cfRule type="cellIs" priority="3" operator="lessThan" dxfId="1">
      <formula>0</formula>
    </cfRule>
  </conditionalFormatting>
  <pageMargins left="0.79" right="0.79" top="0.98" bottom="0.98" header="0.51" footer="0.51"/>
  <pageSetup orientation="portrait" paperSize="9" scale="56"/>
</worksheet>
</file>

<file path=xl/worksheets/sheet4.xml><?xml version="1.0" encoding="utf-8"?>
<worksheet xmlns="http://schemas.openxmlformats.org/spreadsheetml/2006/main">
  <sheetPr codeName="Arkusz3">
    <tabColor theme="9" tint="0.5999938962981048"/>
    <outlinePr summaryBelow="1" summaryRight="1"/>
    <pageSetUpPr fitToPage="1"/>
  </sheetPr>
  <dimension ref="A1:L37"/>
  <sheetViews>
    <sheetView showGridLines="0" showZero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M13" sqref="M13"/>
    </sheetView>
  </sheetViews>
  <sheetFormatPr baseColWidth="8" defaultColWidth="9.1796875" defaultRowHeight="18.5"/>
  <cols>
    <col width="10.7265625" customWidth="1" style="13" min="1" max="1"/>
    <col width="20.7265625" customWidth="1" style="13" min="2" max="2"/>
    <col width="15.7265625" customWidth="1" style="13" min="3" max="3"/>
    <col width="10.7265625" customWidth="1" style="13" min="4" max="12"/>
    <col width="9.1796875" customWidth="1" style="13" min="13" max="16384"/>
  </cols>
  <sheetData>
    <row r="1" ht="25" customFormat="1" customHeight="1" s="29">
      <c r="B1" s="53" t="n"/>
      <c r="E1" s="30" t="n"/>
      <c r="J1" s="31" t="n"/>
    </row>
    <row r="2" ht="25" customHeight="1" s="524">
      <c r="A2" s="33" t="n"/>
      <c r="B2" s="34" t="inlineStr">
        <is>
          <t>ŚREDNIE CENY WARZYW NA RYNKACH HURTOWYCH</t>
        </is>
      </c>
      <c r="C2" s="35" t="n"/>
      <c r="D2" s="35" t="n"/>
      <c r="E2" s="35" t="n"/>
      <c r="F2" s="35" t="n"/>
      <c r="G2" s="35" t="n"/>
      <c r="H2" s="35" t="n"/>
      <c r="I2" s="35" t="n"/>
      <c r="J2" s="36" t="n"/>
      <c r="K2" s="35" t="n"/>
      <c r="L2" s="35" t="n"/>
    </row>
    <row r="3" ht="25" customHeight="1" s="524" thickBot="1"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</row>
    <row r="4" ht="25" customHeight="1" s="524" thickTop="1">
      <c r="B4" s="521" t="n"/>
      <c r="C4" s="47" t="n"/>
      <c r="D4" s="48" t="n"/>
      <c r="E4" s="48" t="n"/>
      <c r="F4" s="49" t="n"/>
      <c r="G4" s="50" t="n"/>
      <c r="H4" s="50" t="n"/>
      <c r="I4" s="50" t="n"/>
      <c r="J4" s="50" t="n"/>
      <c r="K4" s="50" t="n"/>
      <c r="L4" s="50" t="n"/>
    </row>
    <row r="5" ht="20.15" customFormat="1" customHeight="1" s="1">
      <c r="B5" s="520" t="inlineStr">
        <is>
          <t> </t>
        </is>
      </c>
      <c r="C5" s="82" t="n"/>
      <c r="D5" s="84" t="n"/>
      <c r="E5" s="85" t="inlineStr">
        <is>
          <t>Bronisze</t>
        </is>
      </c>
      <c r="F5" s="81" t="n"/>
      <c r="G5" s="85" t="inlineStr">
        <is>
          <t>Kalisz</t>
        </is>
      </c>
      <c r="H5" s="81" t="n"/>
      <c r="I5" s="85" t="inlineStr">
        <is>
          <t>Łódź</t>
        </is>
      </c>
      <c r="J5" s="81" t="n"/>
      <c r="K5" s="85" t="inlineStr">
        <is>
          <t>Poznań</t>
        </is>
      </c>
      <c r="L5" s="81" t="n"/>
    </row>
    <row r="6" ht="20.15" customFormat="1" customHeight="1" s="1">
      <c r="B6" s="87" t="inlineStr">
        <is>
          <t>Data notowania</t>
        </is>
      </c>
      <c r="C6" s="88" t="n"/>
      <c r="D6" s="87" t="n"/>
      <c r="E6" s="80" t="n">
        <v>46260</v>
      </c>
      <c r="F6" s="89" t="n"/>
      <c r="G6" s="80" t="n">
        <v>46259</v>
      </c>
      <c r="H6" s="89" t="n"/>
      <c r="I6" s="80" t="n">
        <v>46260</v>
      </c>
      <c r="J6" s="89" t="n"/>
      <c r="K6" s="80" t="n">
        <v>46259</v>
      </c>
      <c r="L6" s="89" t="n"/>
    </row>
    <row r="7" ht="20.15" customHeight="1" s="524" thickBot="1">
      <c r="B7" s="192" t="inlineStr">
        <is>
          <t xml:space="preserve">Warzywa </t>
        </is>
      </c>
      <c r="C7" s="193" t="n"/>
      <c r="D7" s="194" t="n"/>
      <c r="E7" s="195" t="inlineStr">
        <is>
          <t>Min</t>
        </is>
      </c>
      <c r="F7" s="196" t="inlineStr">
        <is>
          <t>Max</t>
        </is>
      </c>
      <c r="G7" s="195" t="inlineStr">
        <is>
          <t>Min</t>
        </is>
      </c>
      <c r="H7" s="196" t="inlineStr">
        <is>
          <t>Max</t>
        </is>
      </c>
      <c r="I7" s="195" t="inlineStr">
        <is>
          <t>Min</t>
        </is>
      </c>
      <c r="J7" s="196" t="inlineStr">
        <is>
          <t>Max</t>
        </is>
      </c>
      <c r="K7" s="195" t="inlineStr">
        <is>
          <t>Min</t>
        </is>
      </c>
      <c r="L7" s="196" t="inlineStr">
        <is>
          <t>Max</t>
        </is>
      </c>
    </row>
    <row r="8" ht="20.15" customHeight="1" s="524">
      <c r="B8" s="145" t="inlineStr">
        <is>
          <t>KRAJOWE</t>
        </is>
      </c>
      <c r="C8" s="90" t="n"/>
      <c r="D8" s="83" t="n"/>
      <c r="E8" s="91" t="n"/>
      <c r="F8" s="91" t="n"/>
      <c r="G8" s="91" t="n"/>
      <c r="H8" s="91" t="n"/>
      <c r="I8" s="91" t="n"/>
      <c r="J8" s="91" t="n"/>
      <c r="K8" s="91" t="n"/>
      <c r="L8" s="91" t="n"/>
    </row>
    <row r="9" ht="20.15" customHeight="1" s="524">
      <c r="B9" s="385" t="inlineStr">
        <is>
          <t>Buraki ćwikłowe</t>
        </is>
      </c>
      <c r="C9" s="298" t="n"/>
      <c r="D9" s="299" t="inlineStr">
        <is>
          <t>kg</t>
        </is>
      </c>
      <c r="E9" s="300" t="n">
        <v>0.8</v>
      </c>
      <c r="F9" s="301" t="n">
        <v>1.2</v>
      </c>
      <c r="G9" s="301" t="n">
        <v>1</v>
      </c>
      <c r="H9" s="301" t="n">
        <v>1</v>
      </c>
      <c r="I9" s="301" t="n">
        <v>1</v>
      </c>
      <c r="J9" s="301" t="n">
        <v>1.6</v>
      </c>
      <c r="K9" s="301" t="n">
        <v>3</v>
      </c>
      <c r="L9" s="301" t="n">
        <v>3.2</v>
      </c>
    </row>
    <row r="10" ht="20.15" customHeight="1" s="524">
      <c r="B10" s="492" t="inlineStr">
        <is>
          <t>Cebula biała</t>
        </is>
      </c>
      <c r="C10" s="493" t="n"/>
      <c r="D10" s="299" t="inlineStr">
        <is>
          <t>kg</t>
        </is>
      </c>
      <c r="E10" s="300" t="n">
        <v>1.1</v>
      </c>
      <c r="F10" s="301" t="n">
        <v>1.75</v>
      </c>
      <c r="G10" s="301" t="n">
        <v>1</v>
      </c>
      <c r="H10" s="301" t="n">
        <v>1</v>
      </c>
      <c r="I10" s="301" t="n">
        <v>1.2</v>
      </c>
      <c r="J10" s="301" t="n">
        <v>2</v>
      </c>
      <c r="K10" s="301" t="n"/>
      <c r="L10" s="301" t="n"/>
    </row>
    <row r="11" ht="20.15" customHeight="1" s="524">
      <c r="B11" s="380" t="inlineStr">
        <is>
          <t>Cebula młoda</t>
        </is>
      </c>
      <c r="C11" s="387" t="n"/>
      <c r="D11" s="381" t="inlineStr">
        <is>
          <t>kg</t>
        </is>
      </c>
      <c r="E11" s="388" t="n">
        <v>3.5</v>
      </c>
      <c r="F11" s="383" t="n">
        <v>5</v>
      </c>
      <c r="G11" s="383" t="n"/>
      <c r="H11" s="383" t="n"/>
      <c r="I11" s="383" t="n"/>
      <c r="J11" s="383" t="n"/>
      <c r="K11" s="383" t="n">
        <v>4</v>
      </c>
      <c r="L11" s="383" t="n">
        <v>5</v>
      </c>
    </row>
    <row r="12" ht="20.15" customHeight="1" s="524">
      <c r="B12" s="380" t="inlineStr">
        <is>
          <t>Kalafiory</t>
        </is>
      </c>
      <c r="C12" s="387" t="n"/>
      <c r="D12" s="382" t="inlineStr">
        <is>
          <t>szt.</t>
        </is>
      </c>
      <c r="E12" s="389" t="n">
        <v>4</v>
      </c>
      <c r="F12" s="384" t="n">
        <v>5</v>
      </c>
      <c r="G12" s="384" t="n">
        <v>1</v>
      </c>
      <c r="H12" s="384" t="n">
        <v>1.17</v>
      </c>
      <c r="I12" s="384" t="n">
        <v>3</v>
      </c>
      <c r="J12" s="384" t="n">
        <v>9</v>
      </c>
      <c r="K12" s="384" t="n">
        <v>7</v>
      </c>
      <c r="L12" s="384" t="n">
        <v>8</v>
      </c>
    </row>
    <row r="13" ht="20.15" customHeight="1" s="524">
      <c r="B13" s="380" t="inlineStr">
        <is>
          <t>Kapusta biała</t>
        </is>
      </c>
      <c r="C13" s="387" t="n"/>
      <c r="D13" s="381" t="inlineStr">
        <is>
          <t>kg</t>
        </is>
      </c>
      <c r="E13" s="388" t="n">
        <v>0.7</v>
      </c>
      <c r="F13" s="383" t="n">
        <v>0.9</v>
      </c>
      <c r="G13" s="383" t="n">
        <v>0.9</v>
      </c>
      <c r="H13" s="383" t="n">
        <v>1</v>
      </c>
      <c r="I13" s="383" t="n">
        <v>1</v>
      </c>
      <c r="J13" s="383" t="n">
        <v>1.4</v>
      </c>
      <c r="K13" s="383" t="n"/>
      <c r="L13" s="383" t="n"/>
    </row>
    <row r="14" ht="20.15" customHeight="1" s="524">
      <c r="B14" s="380" t="inlineStr">
        <is>
          <t>Kapusta młoda</t>
        </is>
      </c>
      <c r="C14" s="387" t="n"/>
      <c r="D14" s="381" t="inlineStr">
        <is>
          <t>szt.</t>
        </is>
      </c>
      <c r="E14" s="388" t="n">
        <v>2.5</v>
      </c>
      <c r="F14" s="383" t="n">
        <v>3</v>
      </c>
      <c r="G14" s="383" t="n">
        <v>1</v>
      </c>
      <c r="H14" s="383" t="n">
        <v>1.5</v>
      </c>
      <c r="I14" s="383" t="n">
        <v>2</v>
      </c>
      <c r="J14" s="383" t="n">
        <v>4</v>
      </c>
      <c r="K14" s="383" t="n">
        <v>3.33</v>
      </c>
      <c r="L14" s="383" t="n">
        <v>4</v>
      </c>
    </row>
    <row r="15" ht="20.15" customHeight="1" s="524">
      <c r="B15" s="380" t="inlineStr">
        <is>
          <t>Marchew</t>
        </is>
      </c>
      <c r="C15" s="387" t="n"/>
      <c r="D15" s="381" t="inlineStr">
        <is>
          <t>kg</t>
        </is>
      </c>
      <c r="E15" s="388" t="n">
        <v>1</v>
      </c>
      <c r="F15" s="383" t="n">
        <v>1.5</v>
      </c>
      <c r="G15" s="383" t="n">
        <v>1</v>
      </c>
      <c r="H15" s="383" t="n">
        <v>1.2</v>
      </c>
      <c r="I15" s="383" t="n">
        <v>1.3</v>
      </c>
      <c r="J15" s="383" t="n">
        <v>2.2</v>
      </c>
      <c r="K15" s="383" t="n"/>
      <c r="L15" s="383" t="n"/>
    </row>
    <row r="16" ht="20.15" customHeight="1" s="524">
      <c r="B16" s="380" t="inlineStr">
        <is>
          <t>Marchew młoda</t>
        </is>
      </c>
      <c r="C16" s="387" t="n"/>
      <c r="D16" s="381" t="inlineStr">
        <is>
          <t>pęczek</t>
        </is>
      </c>
      <c r="E16" s="388" t="n">
        <v>3.5</v>
      </c>
      <c r="F16" s="383" t="n">
        <v>4.5</v>
      </c>
      <c r="G16" s="383" t="n">
        <v>2.5</v>
      </c>
      <c r="H16" s="383" t="n">
        <v>2.5</v>
      </c>
      <c r="I16" s="383" t="n"/>
      <c r="J16" s="383" t="n"/>
      <c r="K16" s="383" t="n">
        <v>5</v>
      </c>
      <c r="L16" s="383" t="n">
        <v>5</v>
      </c>
    </row>
    <row r="17" ht="20.15" customHeight="1" s="524">
      <c r="B17" s="380" t="inlineStr">
        <is>
          <t>Ogórki gruntowe</t>
        </is>
      </c>
      <c r="C17" s="387" t="n"/>
      <c r="D17" s="381" t="inlineStr">
        <is>
          <t>kg</t>
        </is>
      </c>
      <c r="E17" s="388" t="n">
        <v>3</v>
      </c>
      <c r="F17" s="383" t="n">
        <v>9</v>
      </c>
      <c r="G17" s="383" t="n">
        <v>3</v>
      </c>
      <c r="H17" s="383" t="n">
        <v>4</v>
      </c>
      <c r="I17" s="383" t="n">
        <v>2</v>
      </c>
      <c r="J17" s="383" t="n">
        <v>6</v>
      </c>
      <c r="K17" s="383" t="n">
        <v>4.4</v>
      </c>
      <c r="L17" s="383" t="n">
        <v>5</v>
      </c>
    </row>
    <row r="18" ht="20.15" customHeight="1" s="524">
      <c r="B18" s="492" t="inlineStr">
        <is>
          <t>Ogórki szklarniowe</t>
        </is>
      </c>
      <c r="C18" s="493" t="n"/>
      <c r="D18" s="381" t="inlineStr">
        <is>
          <t>kg</t>
        </is>
      </c>
      <c r="E18" s="388" t="n">
        <v>2</v>
      </c>
      <c r="F18" s="383" t="n">
        <v>4</v>
      </c>
      <c r="G18" s="383" t="n">
        <v>2</v>
      </c>
      <c r="H18" s="383" t="n">
        <v>2.5</v>
      </c>
      <c r="I18" s="383" t="n">
        <v>3</v>
      </c>
      <c r="J18" s="383" t="n">
        <v>6</v>
      </c>
      <c r="K18" s="383" t="n">
        <v>4</v>
      </c>
      <c r="L18" s="383" t="n">
        <v>5</v>
      </c>
    </row>
    <row r="19" ht="20.15" customHeight="1" s="524">
      <c r="B19" s="380" t="inlineStr">
        <is>
          <t>Papryka czerwona</t>
        </is>
      </c>
      <c r="C19" s="387" t="n"/>
      <c r="D19" s="381" t="inlineStr">
        <is>
          <t>kg</t>
        </is>
      </c>
      <c r="E19" s="388" t="n">
        <v>6</v>
      </c>
      <c r="F19" s="383" t="n">
        <v>9</v>
      </c>
      <c r="G19" s="383" t="n">
        <v>6</v>
      </c>
      <c r="H19" s="383" t="n">
        <v>6</v>
      </c>
      <c r="I19" s="383" t="n">
        <v>6</v>
      </c>
      <c r="J19" s="383" t="n">
        <v>9</v>
      </c>
      <c r="K19" s="383" t="n">
        <v>8.6</v>
      </c>
      <c r="L19" s="383" t="n">
        <v>9</v>
      </c>
    </row>
    <row r="20" ht="20.15" customHeight="1" s="524">
      <c r="B20" s="380" t="inlineStr">
        <is>
          <t>Papryka zielona</t>
        </is>
      </c>
      <c r="C20" s="387" t="n"/>
      <c r="D20" s="381" t="inlineStr">
        <is>
          <t>kg</t>
        </is>
      </c>
      <c r="E20" s="388" t="n">
        <v>5</v>
      </c>
      <c r="F20" s="383" t="n">
        <v>7</v>
      </c>
      <c r="G20" s="383" t="n">
        <v>4</v>
      </c>
      <c r="H20" s="383" t="n">
        <v>4</v>
      </c>
      <c r="I20" s="383" t="n">
        <v>5</v>
      </c>
      <c r="J20" s="383" t="n">
        <v>7</v>
      </c>
      <c r="K20" s="383" t="n">
        <v>5.6</v>
      </c>
      <c r="L20" s="383" t="n">
        <v>6.4</v>
      </c>
    </row>
    <row r="21" ht="20.15" customHeight="1" s="524">
      <c r="B21" s="380" t="inlineStr">
        <is>
          <t>Papryka żółta</t>
        </is>
      </c>
      <c r="C21" s="387" t="n"/>
      <c r="D21" s="381" t="inlineStr">
        <is>
          <t>kg</t>
        </is>
      </c>
      <c r="E21" s="388" t="n">
        <v>6</v>
      </c>
      <c r="F21" s="383" t="n">
        <v>9</v>
      </c>
      <c r="G21" s="383" t="n">
        <v>7</v>
      </c>
      <c r="H21" s="383" t="n">
        <v>7</v>
      </c>
      <c r="I21" s="383" t="n">
        <v>9</v>
      </c>
      <c r="J21" s="383" t="n">
        <v>12</v>
      </c>
      <c r="K21" s="383" t="n">
        <v>8.6</v>
      </c>
      <c r="L21" s="383" t="n">
        <v>9</v>
      </c>
    </row>
    <row r="22" ht="20.15" customHeight="1" s="524">
      <c r="B22" s="380" t="inlineStr">
        <is>
          <t>Pietruszka</t>
        </is>
      </c>
      <c r="C22" s="387" t="n"/>
      <c r="D22" s="381" t="inlineStr">
        <is>
          <t>kg</t>
        </is>
      </c>
      <c r="E22" s="388" t="n">
        <v>3.5</v>
      </c>
      <c r="F22" s="383" t="n">
        <v>5</v>
      </c>
      <c r="G22" s="383" t="n">
        <v>3</v>
      </c>
      <c r="H22" s="383" t="n">
        <v>3</v>
      </c>
      <c r="I22" s="383" t="n">
        <v>4</v>
      </c>
      <c r="J22" s="383" t="n">
        <v>6</v>
      </c>
      <c r="K22" s="383" t="n">
        <v>5</v>
      </c>
      <c r="L22" s="383" t="n">
        <v>6</v>
      </c>
    </row>
    <row r="23" ht="20.15" customHeight="1" s="524">
      <c r="B23" s="380" t="inlineStr">
        <is>
          <t>Pomidory</t>
        </is>
      </c>
      <c r="C23" s="387" t="n"/>
      <c r="D23" s="381" t="inlineStr">
        <is>
          <t>kg</t>
        </is>
      </c>
      <c r="E23" s="388" t="n">
        <v>5.5</v>
      </c>
      <c r="F23" s="383" t="n">
        <v>7</v>
      </c>
      <c r="G23" s="383" t="n">
        <v>4.5</v>
      </c>
      <c r="H23" s="383" t="n">
        <v>4.5</v>
      </c>
      <c r="I23" s="383" t="n">
        <v>4</v>
      </c>
      <c r="J23" s="383" t="n">
        <v>7.5</v>
      </c>
      <c r="K23" s="383" t="n">
        <v>6</v>
      </c>
      <c r="L23" s="383" t="n">
        <v>6.67</v>
      </c>
    </row>
    <row r="24" ht="20.15" customHeight="1" s="524">
      <c r="B24" s="380" t="inlineStr">
        <is>
          <t>Pomidory gruntowe</t>
        </is>
      </c>
      <c r="C24" s="387" t="n"/>
      <c r="D24" s="381" t="inlineStr">
        <is>
          <t>kg</t>
        </is>
      </c>
      <c r="E24" s="388" t="n">
        <v>2.2</v>
      </c>
      <c r="F24" s="383" t="n">
        <v>3.5</v>
      </c>
      <c r="G24" s="383" t="n">
        <v>2.5</v>
      </c>
      <c r="H24" s="383" t="n">
        <v>3</v>
      </c>
      <c r="I24" s="383" t="n">
        <v>2.26</v>
      </c>
      <c r="J24" s="383" t="n">
        <v>4.17</v>
      </c>
      <c r="K24" s="383" t="n">
        <v>5</v>
      </c>
      <c r="L24" s="383" t="n">
        <v>5.83</v>
      </c>
    </row>
    <row r="25" ht="20.15" customHeight="1" s="524">
      <c r="B25" s="380" t="inlineStr">
        <is>
          <t>Pomidory malinowe</t>
        </is>
      </c>
      <c r="C25" s="387" t="n"/>
      <c r="D25" s="381" t="inlineStr">
        <is>
          <t>kg</t>
        </is>
      </c>
      <c r="E25" s="388" t="n">
        <v>3.66</v>
      </c>
      <c r="F25" s="383" t="n">
        <v>8.33</v>
      </c>
      <c r="G25" s="383" t="n">
        <v>4.5</v>
      </c>
      <c r="H25" s="383" t="n">
        <v>5</v>
      </c>
      <c r="I25" s="383" t="n">
        <v>4.17</v>
      </c>
      <c r="J25" s="383" t="n">
        <v>7.5</v>
      </c>
      <c r="K25" s="383" t="n">
        <v>6</v>
      </c>
      <c r="L25" s="383" t="n">
        <v>6.67</v>
      </c>
    </row>
    <row r="26" ht="20.15" customHeight="1" s="524">
      <c r="B26" s="380" t="inlineStr">
        <is>
          <t>Pory</t>
        </is>
      </c>
      <c r="C26" s="387" t="n"/>
      <c r="D26" s="381" t="inlineStr">
        <is>
          <t>szt.</t>
        </is>
      </c>
      <c r="E26" s="388" t="n"/>
      <c r="F26" s="383" t="n"/>
      <c r="G26" s="383" t="n">
        <v>1</v>
      </c>
      <c r="H26" s="383" t="n">
        <v>2</v>
      </c>
      <c r="I26" s="383" t="n">
        <v>1.5</v>
      </c>
      <c r="J26" s="383" t="n">
        <v>2.5</v>
      </c>
      <c r="K26" s="383" t="n"/>
      <c r="L26" s="383" t="n"/>
    </row>
    <row r="27" ht="20.15" customHeight="1" s="524">
      <c r="B27" s="380" t="inlineStr">
        <is>
          <t>Pory młode</t>
        </is>
      </c>
      <c r="C27" s="387" t="n"/>
      <c r="D27" s="381" t="inlineStr">
        <is>
          <t>szt.</t>
        </is>
      </c>
      <c r="E27" s="388" t="n">
        <v>2.25</v>
      </c>
      <c r="F27" s="383" t="n">
        <v>3</v>
      </c>
      <c r="G27" s="383" t="n"/>
      <c r="H27" s="383" t="n"/>
      <c r="I27" s="383" t="n">
        <v>2</v>
      </c>
      <c r="J27" s="383" t="n">
        <v>3</v>
      </c>
      <c r="K27" s="383" t="n">
        <v>2.3</v>
      </c>
      <c r="L27" s="383" t="n">
        <v>2.5</v>
      </c>
    </row>
    <row r="28" ht="20.15" customHeight="1" s="524">
      <c r="B28" s="380" t="inlineStr">
        <is>
          <t>Rzodkiewka</t>
        </is>
      </c>
      <c r="C28" s="387" t="n"/>
      <c r="D28" s="381" t="inlineStr">
        <is>
          <t>pęczek</t>
        </is>
      </c>
      <c r="E28" s="388" t="n">
        <v>2</v>
      </c>
      <c r="F28" s="383" t="n">
        <v>2.75</v>
      </c>
      <c r="G28" s="383" t="n">
        <v>1.5</v>
      </c>
      <c r="H28" s="383" t="n">
        <v>1.5</v>
      </c>
      <c r="I28" s="383" t="n">
        <v>1.5</v>
      </c>
      <c r="J28" s="383" t="n">
        <v>2.5</v>
      </c>
      <c r="K28" s="383" t="n">
        <v>2</v>
      </c>
      <c r="L28" s="383" t="n">
        <v>2</v>
      </c>
    </row>
    <row r="29" ht="20.15" customHeight="1" s="524">
      <c r="B29" s="380" t="inlineStr">
        <is>
          <t>Sałata</t>
        </is>
      </c>
      <c r="C29" s="387" t="n"/>
      <c r="D29" s="381" t="inlineStr">
        <is>
          <t>szt.</t>
        </is>
      </c>
      <c r="E29" s="388" t="n">
        <v>2.25</v>
      </c>
      <c r="F29" s="383" t="n">
        <v>4</v>
      </c>
      <c r="G29" s="383" t="n">
        <v>2.08</v>
      </c>
      <c r="H29" s="383" t="n">
        <v>2.08</v>
      </c>
      <c r="I29" s="383" t="n">
        <v>2.5</v>
      </c>
      <c r="J29" s="383" t="n">
        <v>3.5</v>
      </c>
      <c r="K29" s="383" t="n">
        <v>3</v>
      </c>
      <c r="L29" s="383" t="n">
        <v>3.33</v>
      </c>
    </row>
    <row r="30" ht="20.15" customHeight="1" s="524">
      <c r="B30" s="380" t="inlineStr">
        <is>
          <t>Selery</t>
        </is>
      </c>
      <c r="C30" s="387" t="n"/>
      <c r="D30" s="381" t="inlineStr">
        <is>
          <t>kg</t>
        </is>
      </c>
      <c r="E30" s="388" t="n">
        <v>1.4</v>
      </c>
      <c r="F30" s="383" t="n">
        <v>2</v>
      </c>
      <c r="G30" s="383" t="n">
        <v>2</v>
      </c>
      <c r="H30" s="383" t="n">
        <v>2</v>
      </c>
      <c r="I30" s="383" t="n">
        <v>2</v>
      </c>
      <c r="J30" s="383" t="n">
        <v>4</v>
      </c>
      <c r="K30" s="383" t="n">
        <v>3.6</v>
      </c>
      <c r="L30" s="383" t="n">
        <v>4</v>
      </c>
    </row>
    <row r="31" ht="20.15" customHeight="1" s="524">
      <c r="B31" s="380" t="inlineStr">
        <is>
          <t>Ziemniaki</t>
        </is>
      </c>
      <c r="C31" s="387" t="n"/>
      <c r="D31" s="381" t="inlineStr">
        <is>
          <t>kg</t>
        </is>
      </c>
      <c r="E31" s="388" t="n">
        <v>0.66</v>
      </c>
      <c r="F31" s="383" t="n">
        <v>1.75</v>
      </c>
      <c r="G31" s="383" t="n">
        <v>0.8</v>
      </c>
      <c r="H31" s="383" t="n">
        <v>1</v>
      </c>
      <c r="I31" s="383" t="n">
        <v>0.53</v>
      </c>
      <c r="J31" s="383" t="n">
        <v>1.07</v>
      </c>
      <c r="K31" s="383" t="n">
        <v>2</v>
      </c>
      <c r="L31" s="383" t="n">
        <v>2.4</v>
      </c>
    </row>
    <row r="32" ht="20.15" customHeight="1" s="524">
      <c r="B32" s="380" t="inlineStr">
        <is>
          <t>Boczniaki</t>
        </is>
      </c>
      <c r="C32" s="387" t="n"/>
      <c r="D32" s="381" t="inlineStr">
        <is>
          <t>kg</t>
        </is>
      </c>
      <c r="E32" s="388" t="n">
        <v>13.5</v>
      </c>
      <c r="F32" s="383" t="n">
        <v>20</v>
      </c>
      <c r="G32" s="383" t="n"/>
      <c r="H32" s="383" t="n"/>
      <c r="I32" s="383" t="n"/>
      <c r="J32" s="383" t="n"/>
      <c r="K32" s="383" t="n">
        <v>30</v>
      </c>
      <c r="L32" s="383" t="n">
        <v>35</v>
      </c>
    </row>
    <row r="33" ht="20.15" customHeight="1" s="524">
      <c r="B33" s="380" t="inlineStr">
        <is>
          <t>Pieczarki</t>
        </is>
      </c>
      <c r="C33" s="387" t="n"/>
      <c r="D33" s="381" t="inlineStr">
        <is>
          <t>kg</t>
        </is>
      </c>
      <c r="E33" s="388" t="n">
        <v>9</v>
      </c>
      <c r="F33" s="383" t="n">
        <v>12</v>
      </c>
      <c r="G33" s="383" t="n">
        <v>10</v>
      </c>
      <c r="H33" s="383" t="n">
        <v>10</v>
      </c>
      <c r="I33" s="383" t="n">
        <v>6.67</v>
      </c>
      <c r="J33" s="383" t="n">
        <v>11.67</v>
      </c>
      <c r="K33" s="383" t="n">
        <v>11</v>
      </c>
      <c r="L33" s="383" t="n">
        <v>13</v>
      </c>
    </row>
    <row r="34" ht="20.15" customHeight="1" s="524">
      <c r="B34" s="380" t="inlineStr">
        <is>
          <t>Selery młode</t>
        </is>
      </c>
      <c r="C34" s="387" t="n"/>
      <c r="D34" s="381" t="inlineStr">
        <is>
          <t>kg</t>
        </is>
      </c>
      <c r="E34" s="388" t="n"/>
      <c r="F34" s="383" t="n"/>
      <c r="G34" s="383" t="n"/>
      <c r="H34" s="383" t="n"/>
      <c r="I34" s="383" t="n"/>
      <c r="J34" s="383" t="n"/>
      <c r="K34" s="383" t="n"/>
      <c r="L34" s="383" t="n"/>
    </row>
    <row r="35">
      <c r="B35" s="380" t="n"/>
      <c r="C35" s="387" t="n"/>
      <c r="D35" s="381" t="inlineStr">
        <is>
          <t>szt.</t>
        </is>
      </c>
      <c r="E35" s="388" t="n">
        <v>2</v>
      </c>
      <c r="F35" s="383" t="n">
        <v>3</v>
      </c>
      <c r="G35" s="383" t="n"/>
      <c r="H35" s="383" t="n"/>
      <c r="I35" s="383" t="n"/>
      <c r="J35" s="383" t="n"/>
      <c r="K35" s="383" t="n"/>
      <c r="L35" s="383" t="n"/>
    </row>
    <row r="36">
      <c r="B36" s="380" t="inlineStr">
        <is>
          <t>Ziemniaki</t>
        </is>
      </c>
      <c r="C36" s="387" t="n"/>
      <c r="D36" s="381" t="inlineStr">
        <is>
          <t>kg</t>
        </is>
      </c>
      <c r="E36" s="388" t="n">
        <v>0.66</v>
      </c>
      <c r="F36" s="383" t="n">
        <v>1.1</v>
      </c>
      <c r="G36" s="383" t="n"/>
      <c r="H36" s="383" t="n"/>
      <c r="I36" s="383" t="n">
        <v>1.34</v>
      </c>
      <c r="J36" s="383" t="n">
        <v>1.34</v>
      </c>
      <c r="K36" s="383" t="n">
        <v>0.53</v>
      </c>
      <c r="L36" s="383" t="n">
        <v>1.07</v>
      </c>
    </row>
    <row r="37">
      <c r="B37" s="380" t="inlineStr">
        <is>
          <t>Ziemniaki młode</t>
        </is>
      </c>
      <c r="C37" s="387" t="n"/>
      <c r="D37" s="381" t="inlineStr">
        <is>
          <t>kg</t>
        </is>
      </c>
      <c r="E37" s="388" t="n"/>
      <c r="F37" s="383" t="n"/>
      <c r="G37" s="383" t="n">
        <v>0.53</v>
      </c>
      <c r="H37" s="383" t="n">
        <v>0.67</v>
      </c>
      <c r="I37" s="383" t="n">
        <v>1.67</v>
      </c>
      <c r="J37" s="383" t="n">
        <v>2</v>
      </c>
      <c r="K37" s="383" t="n"/>
      <c r="L37" s="383" t="n"/>
    </row>
  </sheetData>
  <pageMargins left="0.79" right="0.79" top="0.98" bottom="0.98" header="0.51" footer="0.51"/>
  <pageSetup orientation="landscape" paperSize="9" scale="73" horizontalDpi="300" verticalDpi="300"/>
</worksheet>
</file>

<file path=xl/worksheets/sheet5.xml><?xml version="1.0" encoding="utf-8"?>
<worksheet xmlns="http://schemas.openxmlformats.org/spreadsheetml/2006/main">
  <sheetPr codeName="Arkusz4">
    <tabColor theme="9" tint="0.5999938962981048"/>
    <outlinePr summaryBelow="1" summaryRight="1"/>
    <pageSetUpPr fitToPage="1"/>
  </sheetPr>
  <dimension ref="A1:O45"/>
  <sheetViews>
    <sheetView showGridLines="0" showZeros="0" zoomScaleNormal="100" workbookViewId="0">
      <pane xSplit="1" ySplit="6" topLeftCell="C7" activePane="bottomRight" state="frozen"/>
      <selection pane="topRight" activeCell="B1" sqref="B1"/>
      <selection pane="bottomLeft" activeCell="A8" sqref="A8"/>
      <selection pane="bottomRight" activeCell="K17" sqref="K17"/>
    </sheetView>
  </sheetViews>
  <sheetFormatPr baseColWidth="8" defaultColWidth="9.1796875" defaultRowHeight="15.5"/>
  <cols>
    <col width="10.7265625" customWidth="1" style="1" min="1" max="1"/>
    <col width="20.7265625" customWidth="1" style="8" min="2" max="2"/>
    <col width="15.7265625" customWidth="1" style="9" min="3" max="3"/>
    <col width="19.7265625" bestFit="1" customWidth="1" style="8" min="4" max="4"/>
    <col width="10.7265625" customWidth="1" style="8" min="5" max="14"/>
    <col width="9.1796875" customWidth="1" style="1" min="16" max="16384"/>
  </cols>
  <sheetData>
    <row r="1" ht="25" customFormat="1" customHeight="1" s="29">
      <c r="B1" s="53" t="n"/>
      <c r="F1" s="31" t="n"/>
      <c r="G1" s="32" t="n"/>
      <c r="J1" s="31" t="n"/>
      <c r="K1" s="32" t="n"/>
    </row>
    <row r="2" ht="25" customHeight="1" s="524">
      <c r="A2" s="33" t="n"/>
      <c r="B2" s="34" t="inlineStr">
        <is>
          <t xml:space="preserve">ŚREDNIE CENY OWOCÓW NA RYNKACH HURTOWYCH </t>
        </is>
      </c>
      <c r="C2" s="35" t="n"/>
      <c r="D2" s="35" t="n"/>
      <c r="E2" s="35" t="n"/>
      <c r="F2" s="36" t="n"/>
      <c r="G2" s="36" t="n"/>
      <c r="H2" s="36" t="n"/>
      <c r="I2" s="35" t="n"/>
      <c r="J2" s="36" t="n"/>
      <c r="K2" s="36" t="n"/>
      <c r="L2" s="36" t="n"/>
      <c r="M2" s="35" t="n"/>
    </row>
    <row r="3" ht="24.75" customHeight="1" s="524" thickBot="1"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</row>
    <row r="4" ht="25" customHeight="1" s="524" thickTop="1">
      <c r="B4" s="263" t="n"/>
      <c r="C4" s="48" t="n"/>
      <c r="D4" s="50" t="n"/>
      <c r="E4" s="50" t="n"/>
      <c r="F4" s="50" t="n"/>
      <c r="G4" s="51" t="n"/>
      <c r="H4" s="29" t="n"/>
      <c r="I4" s="159" t="n"/>
      <c r="J4" s="50" t="n"/>
      <c r="K4" s="8" t="n"/>
      <c r="L4" s="29" t="n"/>
      <c r="M4" s="51">
        <f>POMOC!B5</f>
        <v/>
      </c>
    </row>
    <row r="5" ht="20.15" customHeight="1" s="524">
      <c r="B5" s="87" t="inlineStr">
        <is>
          <t>Miejscowość</t>
        </is>
      </c>
      <c r="C5" s="87" t="n"/>
      <c r="D5" s="386" t="n"/>
      <c r="E5" s="302" t="inlineStr">
        <is>
          <t>Bronisze</t>
        </is>
      </c>
      <c r="F5" s="386" t="n"/>
      <c r="G5" s="302" t="inlineStr">
        <is>
          <t>Kalisz</t>
        </is>
      </c>
      <c r="H5" s="386" t="n"/>
      <c r="I5" s="302" t="inlineStr">
        <is>
          <t>Łódź</t>
        </is>
      </c>
      <c r="J5" s="386" t="n"/>
      <c r="K5" s="302" t="inlineStr">
        <is>
          <t>Poznań</t>
        </is>
      </c>
      <c r="L5" s="386" t="n"/>
      <c r="M5" s="302" t="n"/>
    </row>
    <row r="6" ht="20.15" customFormat="1" customHeight="1" s="13" thickBot="1">
      <c r="B6" s="192" t="inlineStr">
        <is>
          <t>Data notowania</t>
        </is>
      </c>
      <c r="C6" s="194" t="n"/>
      <c r="D6" s="518" t="n"/>
      <c r="E6" s="519" t="n">
        <v>46260</v>
      </c>
      <c r="F6" s="518" t="n"/>
      <c r="G6" s="519" t="n">
        <v>46259</v>
      </c>
      <c r="H6" s="518" t="n"/>
      <c r="I6" s="519" t="n">
        <v>46260</v>
      </c>
      <c r="J6" s="518" t="n"/>
      <c r="K6" s="519" t="n">
        <v>46259</v>
      </c>
      <c r="L6" s="518" t="n"/>
      <c r="M6" s="519" t="n"/>
    </row>
    <row r="7" ht="20.15" customFormat="1" customHeight="1" s="13" thickBot="1">
      <c r="B7" s="192" t="inlineStr">
        <is>
          <t xml:space="preserve">Owoce </t>
        </is>
      </c>
      <c r="C7" s="194" t="n"/>
      <c r="D7" s="195" t="inlineStr">
        <is>
          <t>Jedn.</t>
        </is>
      </c>
      <c r="E7" s="196" t="inlineStr">
        <is>
          <t>Min</t>
        </is>
      </c>
      <c r="F7" s="195" t="inlineStr">
        <is>
          <t>Max</t>
        </is>
      </c>
      <c r="G7" s="196" t="inlineStr">
        <is>
          <t>Min</t>
        </is>
      </c>
      <c r="H7" s="195" t="inlineStr">
        <is>
          <t>Max</t>
        </is>
      </c>
      <c r="I7" s="196" t="inlineStr">
        <is>
          <t>Min</t>
        </is>
      </c>
      <c r="J7" s="195" t="inlineStr">
        <is>
          <t>Max</t>
        </is>
      </c>
      <c r="K7" s="196" t="inlineStr">
        <is>
          <t>Min</t>
        </is>
      </c>
      <c r="L7" s="195" t="inlineStr">
        <is>
          <t>Max</t>
        </is>
      </c>
      <c r="M7" s="196" t="n"/>
    </row>
    <row r="8" ht="20.15" customFormat="1" customHeight="1" s="13">
      <c r="B8" s="145" t="inlineStr">
        <is>
          <t>KRAJOWE</t>
        </is>
      </c>
      <c r="C8" s="83" t="n"/>
      <c r="D8" s="91" t="n"/>
      <c r="E8" s="91" t="n"/>
      <c r="F8" s="91" t="n"/>
      <c r="G8" s="91" t="n"/>
      <c r="H8" s="91" t="n"/>
      <c r="I8" s="91" t="n"/>
      <c r="J8" s="91" t="n"/>
      <c r="K8" s="91" t="n"/>
      <c r="L8" s="91" t="n"/>
      <c r="M8" s="91" t="n"/>
    </row>
    <row r="9" ht="20.15" customHeight="1" s="524">
      <c r="B9" s="512" t="inlineStr">
        <is>
          <t>Borówki amerykańskie</t>
        </is>
      </c>
      <c r="C9" s="299" t="n"/>
      <c r="D9" s="65" t="inlineStr">
        <is>
          <t>kg</t>
        </is>
      </c>
      <c r="E9" s="65" t="n">
        <v>18</v>
      </c>
      <c r="F9" s="65" t="n">
        <v>30</v>
      </c>
      <c r="G9" s="65" t="n">
        <v>20</v>
      </c>
      <c r="H9" s="65" t="n">
        <v>24</v>
      </c>
      <c r="I9" s="65" t="n">
        <v>20</v>
      </c>
      <c r="J9" s="65" t="n">
        <v>23</v>
      </c>
      <c r="K9" s="65" t="n">
        <v>25</v>
      </c>
      <c r="L9" s="65" t="n">
        <v>30</v>
      </c>
      <c r="M9" s="514" t="n"/>
    </row>
    <row r="10" ht="20.15" customHeight="1" s="524">
      <c r="B10" s="144" t="inlineStr">
        <is>
          <t>Brzoskwinie</t>
        </is>
      </c>
      <c r="C10" s="382" t="n"/>
      <c r="D10" s="27" t="inlineStr">
        <is>
          <t>kg</t>
        </is>
      </c>
      <c r="E10" s="27" t="n">
        <v>5</v>
      </c>
      <c r="F10" s="27" t="n">
        <v>7</v>
      </c>
      <c r="G10" s="27" t="n">
        <v>4</v>
      </c>
      <c r="H10" s="27" t="n">
        <v>5</v>
      </c>
      <c r="I10" s="27" t="n">
        <v>5</v>
      </c>
      <c r="J10" s="27" t="n">
        <v>8</v>
      </c>
      <c r="K10" s="27" t="n">
        <v>6</v>
      </c>
      <c r="L10" s="27" t="n">
        <v>10.8</v>
      </c>
      <c r="M10" s="515" t="n"/>
    </row>
    <row r="11" ht="20.15" customHeight="1" s="524">
      <c r="B11" s="144" t="inlineStr">
        <is>
          <t>Czereśnie</t>
        </is>
      </c>
      <c r="C11" s="382" t="n"/>
      <c r="D11" s="27" t="inlineStr">
        <is>
          <t>kg</t>
        </is>
      </c>
      <c r="E11" s="27" t="n">
        <v>10</v>
      </c>
      <c r="F11" s="27" t="n">
        <v>20</v>
      </c>
      <c r="G11" s="27" t="n">
        <v>15</v>
      </c>
      <c r="H11" s="27" t="n">
        <v>15</v>
      </c>
      <c r="I11" s="27" t="n">
        <v>10</v>
      </c>
      <c r="J11" s="27" t="n">
        <v>18</v>
      </c>
      <c r="K11" s="27" t="n">
        <v>12</v>
      </c>
      <c r="L11" s="27" t="n">
        <v>17</v>
      </c>
      <c r="M11" s="515" t="n"/>
    </row>
    <row r="12" ht="20.15" customHeight="1" s="524">
      <c r="B12" s="144" t="inlineStr">
        <is>
          <t>Gruszki</t>
        </is>
      </c>
      <c r="C12" s="382" t="n"/>
      <c r="D12" s="27" t="inlineStr">
        <is>
          <t>kg</t>
        </is>
      </c>
      <c r="E12" s="27" t="n">
        <v>6</v>
      </c>
      <c r="F12" s="27" t="n">
        <v>6.5</v>
      </c>
      <c r="G12" s="27" t="n">
        <v>5</v>
      </c>
      <c r="H12" s="27" t="n">
        <v>5</v>
      </c>
      <c r="I12" s="27" t="n"/>
      <c r="J12" s="27" t="n"/>
      <c r="K12" s="27" t="n">
        <v>3</v>
      </c>
      <c r="L12" s="27" t="n">
        <v>7</v>
      </c>
      <c r="M12" s="515" t="n"/>
    </row>
    <row r="13" ht="20.15" customHeight="1" s="524">
      <c r="B13" s="507" t="inlineStr">
        <is>
          <t>Jabłka</t>
        </is>
      </c>
      <c r="C13" s="509" t="n"/>
      <c r="D13" s="508" t="n"/>
      <c r="E13" s="508" t="n"/>
      <c r="F13" s="508" t="n"/>
      <c r="G13" s="510" t="n"/>
      <c r="H13" s="510" t="n"/>
      <c r="I13" s="510" t="n"/>
      <c r="J13" s="510" t="n"/>
      <c r="K13" s="510" t="n"/>
      <c r="L13" s="510" t="n"/>
      <c r="M13" s="510" t="n"/>
    </row>
    <row r="14" ht="20.15" customHeight="1" s="524">
      <c r="B14" s="507" t="n"/>
      <c r="C14" s="382" t="inlineStr">
        <is>
          <t>Antonówki</t>
        </is>
      </c>
      <c r="D14" s="27" t="inlineStr">
        <is>
          <t>kg</t>
        </is>
      </c>
      <c r="E14" s="27" t="n">
        <v>3</v>
      </c>
      <c r="F14" s="27" t="n">
        <v>4</v>
      </c>
      <c r="G14" s="562" t="n">
        <v>3.85</v>
      </c>
      <c r="H14" s="562" t="n">
        <v>3.85</v>
      </c>
      <c r="I14" s="562" t="n">
        <v>2</v>
      </c>
      <c r="J14" s="562" t="n">
        <v>4</v>
      </c>
      <c r="K14" s="562" t="n">
        <v>2</v>
      </c>
      <c r="L14" s="562" t="n">
        <v>5.33</v>
      </c>
      <c r="M14" s="515" t="n"/>
    </row>
    <row r="15" ht="20.15" customHeight="1" s="524">
      <c r="B15" s="144" t="n"/>
      <c r="C15" s="382" t="inlineStr">
        <is>
          <t>Celesta</t>
        </is>
      </c>
      <c r="D15" s="27" t="inlineStr">
        <is>
          <t>kg</t>
        </is>
      </c>
      <c r="E15" s="27" t="n">
        <v>2.85</v>
      </c>
      <c r="F15" s="27" t="n">
        <v>4</v>
      </c>
      <c r="G15" s="27" t="n">
        <v>3.08</v>
      </c>
      <c r="H15" s="27" t="n">
        <v>3.08</v>
      </c>
      <c r="I15" s="27" t="n"/>
      <c r="J15" s="27" t="n"/>
      <c r="K15" s="27" t="n">
        <v>2</v>
      </c>
      <c r="L15" s="27" t="n">
        <v>5.33</v>
      </c>
      <c r="M15" s="515" t="n"/>
    </row>
    <row r="16" ht="20.15" customHeight="1" s="524">
      <c r="B16" s="144" t="n"/>
      <c r="C16" s="382" t="inlineStr">
        <is>
          <t>Delikates</t>
        </is>
      </c>
      <c r="D16" s="27" t="inlineStr">
        <is>
          <t>kg</t>
        </is>
      </c>
      <c r="E16" s="27" t="n">
        <v>3</v>
      </c>
      <c r="F16" s="27" t="n">
        <v>4</v>
      </c>
      <c r="G16" s="27" t="n"/>
      <c r="H16" s="27" t="n"/>
      <c r="I16" s="27" t="n">
        <v>2</v>
      </c>
      <c r="J16" s="27" t="n">
        <v>4</v>
      </c>
      <c r="K16" s="27" t="n"/>
      <c r="L16" s="27" t="n"/>
      <c r="M16" s="515" t="n"/>
    </row>
    <row r="17" ht="20.15" customHeight="1" s="524">
      <c r="B17" s="144" t="n"/>
      <c r="C17" s="382" t="inlineStr">
        <is>
          <t>Gala</t>
        </is>
      </c>
      <c r="D17" s="27" t="inlineStr">
        <is>
          <t>kg</t>
        </is>
      </c>
      <c r="E17" s="27" t="n">
        <v>2</v>
      </c>
      <c r="F17" s="27" t="n">
        <v>3</v>
      </c>
      <c r="G17" s="27" t="n">
        <v>3.08</v>
      </c>
      <c r="H17" s="27" t="n">
        <v>3.08</v>
      </c>
      <c r="I17" s="27" t="n"/>
      <c r="J17" s="27" t="n"/>
      <c r="K17" s="27" t="n"/>
      <c r="L17" s="27" t="n"/>
      <c r="M17" s="515" t="n"/>
    </row>
    <row r="18" ht="20.15" customHeight="1" s="524">
      <c r="B18" s="144" t="n"/>
      <c r="C18" s="382" t="inlineStr">
        <is>
          <t>Golden</t>
        </is>
      </c>
      <c r="D18" s="27" t="inlineStr">
        <is>
          <t>kg</t>
        </is>
      </c>
      <c r="E18" s="27" t="n">
        <v>2</v>
      </c>
      <c r="F18" s="27" t="n">
        <v>3</v>
      </c>
      <c r="G18" s="27" t="n">
        <v>3.08</v>
      </c>
      <c r="H18" s="27" t="n">
        <v>3.08</v>
      </c>
      <c r="I18" s="27" t="n"/>
      <c r="J18" s="27" t="n"/>
      <c r="K18" s="27" t="n"/>
      <c r="L18" s="27" t="n"/>
      <c r="M18" s="515" t="n"/>
    </row>
    <row r="19" ht="18.5" customFormat="1" customHeight="1" s="13">
      <c r="B19" s="144" t="n"/>
      <c r="C19" s="382" t="inlineStr">
        <is>
          <t>Jonagold</t>
        </is>
      </c>
      <c r="D19" s="27" t="inlineStr">
        <is>
          <t>kg</t>
        </is>
      </c>
      <c r="E19" s="27" t="n">
        <v>2</v>
      </c>
      <c r="F19" s="27" t="n">
        <v>3</v>
      </c>
      <c r="G19" s="27" t="n">
        <v>3.08</v>
      </c>
      <c r="H19" s="27" t="n">
        <v>3.08</v>
      </c>
      <c r="I19" s="27" t="n">
        <v>2</v>
      </c>
      <c r="J19" s="27" t="n">
        <v>3.33</v>
      </c>
      <c r="K19" s="27" t="n"/>
      <c r="L19" s="27" t="n"/>
      <c r="M19" s="515" t="n"/>
    </row>
    <row r="20" ht="20.15" customHeight="1" s="524">
      <c r="B20" s="144" t="n"/>
      <c r="C20" s="382" t="inlineStr">
        <is>
          <t>Ligol</t>
        </is>
      </c>
      <c r="D20" s="27" t="inlineStr">
        <is>
          <t>kg</t>
        </is>
      </c>
      <c r="E20" s="27" t="n">
        <v>2</v>
      </c>
      <c r="F20" s="27" t="n">
        <v>3</v>
      </c>
      <c r="G20" s="27" t="n">
        <v>3.85</v>
      </c>
      <c r="H20" s="27" t="n">
        <v>3.85</v>
      </c>
      <c r="I20" s="27" t="n"/>
      <c r="J20" s="27" t="n"/>
      <c r="K20" s="27" t="n"/>
      <c r="L20" s="27" t="n"/>
      <c r="M20" s="515" t="n"/>
    </row>
    <row r="21" ht="20.15" customHeight="1" s="524">
      <c r="B21" s="144" t="n"/>
      <c r="C21" s="382" t="inlineStr">
        <is>
          <t>Piros</t>
        </is>
      </c>
      <c r="D21" s="27" t="inlineStr">
        <is>
          <t>kg</t>
        </is>
      </c>
      <c r="E21" s="27" t="n">
        <v>3</v>
      </c>
      <c r="F21" s="27" t="n">
        <v>4</v>
      </c>
      <c r="G21" s="27" t="n">
        <v>3.08</v>
      </c>
      <c r="H21" s="27" t="n">
        <v>3.08</v>
      </c>
      <c r="I21" s="27" t="n">
        <v>2.67</v>
      </c>
      <c r="J21" s="27" t="n">
        <v>4.33</v>
      </c>
      <c r="K21" s="27" t="n">
        <v>2</v>
      </c>
      <c r="L21" s="27" t="n">
        <v>4.67</v>
      </c>
      <c r="M21" s="515" t="n"/>
    </row>
    <row r="22" ht="20.15" customHeight="1" s="524">
      <c r="B22" s="144" t="n"/>
      <c r="C22" s="382" t="inlineStr">
        <is>
          <t>Szampion</t>
        </is>
      </c>
      <c r="D22" s="27" t="inlineStr">
        <is>
          <t>kg</t>
        </is>
      </c>
      <c r="E22" s="27" t="n">
        <v>2</v>
      </c>
      <c r="F22" s="27" t="n">
        <v>3.5</v>
      </c>
      <c r="G22" s="27" t="n">
        <v>3.08</v>
      </c>
      <c r="H22" s="27" t="n">
        <v>3.08</v>
      </c>
      <c r="I22" s="27" t="n">
        <v>1.67</v>
      </c>
      <c r="J22" s="27" t="n">
        <v>3.33</v>
      </c>
      <c r="K22" s="27" t="n"/>
      <c r="L22" s="27" t="n"/>
      <c r="M22" s="515" t="n"/>
    </row>
    <row r="23" ht="20.15" customHeight="1" s="524">
      <c r="B23" s="144" t="n"/>
      <c r="C23" s="382" t="inlineStr">
        <is>
          <t>Paula-Red</t>
        </is>
      </c>
      <c r="D23" s="27" t="inlineStr">
        <is>
          <t>kg</t>
        </is>
      </c>
      <c r="E23" s="27" t="n">
        <v>3</v>
      </c>
      <c r="F23" s="27" t="n">
        <v>4</v>
      </c>
      <c r="G23" s="27" t="n">
        <v>3.08</v>
      </c>
      <c r="H23" s="27" t="n">
        <v>3.08</v>
      </c>
      <c r="I23" s="27" t="n">
        <v>2</v>
      </c>
      <c r="J23" s="27" t="n">
        <v>4</v>
      </c>
      <c r="K23" s="27" t="n">
        <v>2</v>
      </c>
      <c r="L23" s="27" t="n">
        <v>4.67</v>
      </c>
      <c r="M23" s="515" t="n"/>
    </row>
    <row r="24" ht="20.15" customHeight="1" s="524">
      <c r="B24" s="144" t="n"/>
      <c r="C24" s="382" t="n"/>
      <c r="D24" s="27" t="inlineStr">
        <is>
          <t>kg</t>
        </is>
      </c>
      <c r="E24" s="27" t="n">
        <v>25</v>
      </c>
      <c r="F24" s="27" t="n">
        <v>35</v>
      </c>
      <c r="G24" s="27" t="n">
        <v>32</v>
      </c>
      <c r="H24" s="27" t="n">
        <v>48</v>
      </c>
      <c r="I24" s="27" t="n">
        <v>32</v>
      </c>
      <c r="J24" s="27" t="n">
        <v>50</v>
      </c>
      <c r="K24" s="27" t="n">
        <v>44</v>
      </c>
      <c r="L24" s="27" t="n">
        <v>48</v>
      </c>
      <c r="M24" s="515" t="n"/>
    </row>
    <row r="25" ht="20.15" customHeight="1" s="524">
      <c r="B25" s="144" t="n"/>
      <c r="C25" s="382" t="n"/>
      <c r="D25" s="27" t="inlineStr">
        <is>
          <t>kg</t>
        </is>
      </c>
      <c r="E25" s="27" t="n">
        <v>5</v>
      </c>
      <c r="F25" s="27" t="n">
        <v>9</v>
      </c>
      <c r="G25" s="27" t="n">
        <v>5</v>
      </c>
      <c r="H25" s="27" t="n">
        <v>8</v>
      </c>
      <c r="I25" s="27" t="n">
        <v>5</v>
      </c>
      <c r="J25" s="27" t="n">
        <v>8.5</v>
      </c>
      <c r="K25" s="27" t="n">
        <v>10</v>
      </c>
      <c r="L25" s="27" t="n">
        <v>12</v>
      </c>
      <c r="M25" s="515" t="n"/>
    </row>
    <row r="26" ht="20.15" customHeight="1" s="524">
      <c r="B26" s="144" t="n"/>
      <c r="C26" s="86" t="n"/>
      <c r="D26" s="27" t="inlineStr">
        <is>
          <t>kg</t>
        </is>
      </c>
      <c r="E26" s="27" t="n"/>
      <c r="F26" s="27" t="n"/>
      <c r="G26" s="27" t="n">
        <v>5</v>
      </c>
      <c r="H26" s="27" t="n">
        <v>5</v>
      </c>
      <c r="I26" s="27" t="n"/>
      <c r="J26" s="27" t="n"/>
      <c r="K26" s="27" t="n">
        <v>8</v>
      </c>
      <c r="L26" s="27" t="n">
        <v>8</v>
      </c>
      <c r="M26" s="515" t="n"/>
    </row>
    <row r="27" ht="20.15" customHeight="1" s="524">
      <c r="B27" s="144" t="n"/>
      <c r="C27" s="86" t="n"/>
      <c r="D27" s="27" t="inlineStr">
        <is>
          <t>kg</t>
        </is>
      </c>
      <c r="E27" s="27" t="n">
        <v>2</v>
      </c>
      <c r="F27" s="27" t="n">
        <v>5</v>
      </c>
      <c r="G27" s="27" t="n">
        <v>3</v>
      </c>
      <c r="H27" s="27" t="n">
        <v>4</v>
      </c>
      <c r="I27" s="27" t="n">
        <v>3</v>
      </c>
      <c r="J27" s="27" t="n">
        <v>9</v>
      </c>
      <c r="K27" s="27" t="n">
        <v>6</v>
      </c>
      <c r="L27" s="27" t="n">
        <v>6</v>
      </c>
      <c r="M27" s="515" t="n"/>
    </row>
    <row r="28" ht="20.15" customHeight="1" s="524">
      <c r="B28" s="144" t="inlineStr">
        <is>
          <t>Maliny</t>
        </is>
      </c>
      <c r="C28" s="86" t="n"/>
      <c r="D28" s="27" t="inlineStr">
        <is>
          <t>kg</t>
        </is>
      </c>
      <c r="E28" s="27" t="n">
        <v>17</v>
      </c>
      <c r="F28" s="27" t="n">
        <v>25</v>
      </c>
      <c r="G28" s="27" t="n">
        <v>15</v>
      </c>
      <c r="H28" s="27" t="n">
        <v>20</v>
      </c>
      <c r="I28" s="27" t="n">
        <v>16</v>
      </c>
      <c r="J28" s="27" t="n">
        <v>17.5</v>
      </c>
      <c r="K28" s="27" t="n">
        <v>24</v>
      </c>
      <c r="L28" s="27" t="n">
        <v>24</v>
      </c>
      <c r="M28" s="515" t="n"/>
    </row>
    <row r="29" ht="20.15" customHeight="1" s="524">
      <c r="B29" s="144" t="inlineStr">
        <is>
          <t>Morele</t>
        </is>
      </c>
      <c r="C29" s="86" t="n"/>
      <c r="D29" s="27" t="inlineStr">
        <is>
          <t>kg</t>
        </is>
      </c>
      <c r="E29" s="27" t="n">
        <v>9</v>
      </c>
      <c r="F29" s="27" t="n">
        <v>12</v>
      </c>
      <c r="G29" s="27" t="n">
        <v>8</v>
      </c>
      <c r="H29" s="27" t="n">
        <v>8</v>
      </c>
      <c r="I29" s="27" t="n">
        <v>6</v>
      </c>
      <c r="J29" s="27" t="n">
        <v>10</v>
      </c>
      <c r="K29" s="27" t="n">
        <v>10.67</v>
      </c>
      <c r="L29" s="27" t="n">
        <v>12.33</v>
      </c>
      <c r="M29" s="515" t="n"/>
    </row>
    <row r="30" ht="20.15" customHeight="1" s="524">
      <c r="B30" s="144" t="inlineStr">
        <is>
          <t>Nektarynki</t>
        </is>
      </c>
      <c r="C30" s="86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515" t="n"/>
    </row>
    <row r="31" ht="20.15" customHeight="1" s="524">
      <c r="B31" s="144" t="inlineStr">
        <is>
          <t>Porzeczki czarne</t>
        </is>
      </c>
      <c r="C31" s="86" t="n"/>
      <c r="D31" s="27" t="inlineStr">
        <is>
          <t>szt.</t>
        </is>
      </c>
      <c r="E31" s="27" t="n">
        <v>5</v>
      </c>
      <c r="F31" s="27" t="n">
        <v>9</v>
      </c>
      <c r="G31" s="27" t="n">
        <v>5</v>
      </c>
      <c r="H31" s="27" t="n">
        <v>15</v>
      </c>
      <c r="I31" s="27" t="n">
        <v>5</v>
      </c>
      <c r="J31" s="27" t="n">
        <v>17</v>
      </c>
      <c r="K31" s="27" t="n"/>
      <c r="L31" s="27" t="n"/>
      <c r="M31" s="515" t="n"/>
    </row>
    <row r="32" ht="20.15" customHeight="1" s="524">
      <c r="B32" s="144" t="inlineStr">
        <is>
          <t>Porzeczki czerwone</t>
        </is>
      </c>
      <c r="C32" s="86" t="n"/>
      <c r="D32" s="27" t="inlineStr">
        <is>
          <t>kg</t>
        </is>
      </c>
      <c r="E32" s="27" t="n">
        <v>1.75</v>
      </c>
      <c r="F32" s="27" t="n">
        <v>4.3</v>
      </c>
      <c r="G32" s="27" t="n">
        <v>2</v>
      </c>
      <c r="H32" s="27" t="n">
        <v>4.5</v>
      </c>
      <c r="I32" s="27" t="n">
        <v>1.8</v>
      </c>
      <c r="J32" s="27" t="n">
        <v>4</v>
      </c>
      <c r="K32" s="27" t="n">
        <v>4.5</v>
      </c>
      <c r="L32" s="27" t="n">
        <v>5</v>
      </c>
      <c r="M32" s="515" t="n"/>
    </row>
    <row r="33" ht="20.15" customHeight="1" s="524">
      <c r="B33" s="144" t="inlineStr">
        <is>
          <t>Śliwki</t>
        </is>
      </c>
      <c r="C33" s="86" t="n"/>
      <c r="D33" s="27" t="inlineStr">
        <is>
          <t>kg</t>
        </is>
      </c>
      <c r="E33" s="27" t="n">
        <v>4.2</v>
      </c>
      <c r="F33" s="27" t="n">
        <v>6.15</v>
      </c>
      <c r="G33" s="27" t="n">
        <v>3.89</v>
      </c>
      <c r="H33" s="27" t="n">
        <v>3.89</v>
      </c>
      <c r="I33" s="27" t="n">
        <v>3.33</v>
      </c>
      <c r="J33" s="27" t="n">
        <v>6.11</v>
      </c>
      <c r="K33" s="27" t="n">
        <v>4.72</v>
      </c>
      <c r="L33" s="27" t="n">
        <v>6.94</v>
      </c>
      <c r="M33" s="515" t="n"/>
    </row>
    <row r="34" ht="20.15" customHeight="1" s="524">
      <c r="B34" s="144" t="inlineStr">
        <is>
          <t>Truskawki</t>
        </is>
      </c>
      <c r="C34" s="86" t="n"/>
      <c r="D34" s="27" t="inlineStr">
        <is>
          <t>kg</t>
        </is>
      </c>
      <c r="E34" s="27" t="n">
        <v>6</v>
      </c>
      <c r="F34" s="27" t="n">
        <v>8</v>
      </c>
      <c r="G34" s="27" t="n">
        <v>6</v>
      </c>
      <c r="H34" s="27" t="n">
        <v>6</v>
      </c>
      <c r="I34" s="27" t="n">
        <v>7</v>
      </c>
      <c r="J34" s="27" t="n">
        <v>9</v>
      </c>
      <c r="K34" s="27" t="n"/>
      <c r="L34" s="27" t="n"/>
      <c r="M34" s="515" t="n"/>
    </row>
    <row r="35" ht="20.15" customHeight="1" s="524">
      <c r="B35" s="144" t="inlineStr">
        <is>
          <t>Wiśnie</t>
        </is>
      </c>
      <c r="C35" s="86" t="n"/>
      <c r="D35" s="27" t="inlineStr">
        <is>
          <t>kg</t>
        </is>
      </c>
      <c r="E35" s="27" t="n">
        <v>5</v>
      </c>
      <c r="F35" s="27" t="n">
        <v>7</v>
      </c>
      <c r="G35" s="27" t="n">
        <v>5</v>
      </c>
      <c r="H35" s="27" t="n">
        <v>5</v>
      </c>
      <c r="I35" s="27" t="n">
        <v>8</v>
      </c>
      <c r="J35" s="27" t="n">
        <v>10</v>
      </c>
      <c r="K35" s="27" t="n">
        <v>8</v>
      </c>
      <c r="L35" s="27" t="n">
        <v>9</v>
      </c>
      <c r="M35" s="515" t="n"/>
    </row>
    <row r="36" ht="20.15" customHeight="1" s="524">
      <c r="B36" s="144" t="inlineStr">
        <is>
          <t xml:space="preserve">IMPORTOWANE </t>
        </is>
      </c>
      <c r="C36" s="86" t="n"/>
      <c r="D36" s="27" t="inlineStr">
        <is>
          <t>kg</t>
        </is>
      </c>
      <c r="E36" s="27" t="n">
        <v>5</v>
      </c>
      <c r="F36" s="27" t="n">
        <v>26</v>
      </c>
      <c r="G36" s="27" t="n">
        <v>5</v>
      </c>
      <c r="H36" s="27" t="n">
        <v>7</v>
      </c>
      <c r="I36" s="27" t="n">
        <v>7</v>
      </c>
      <c r="J36" s="27" t="n">
        <v>9</v>
      </c>
      <c r="K36" s="27" t="n">
        <v>7.14</v>
      </c>
      <c r="L36" s="27" t="n">
        <v>7.86</v>
      </c>
      <c r="M36" s="515" t="n"/>
    </row>
    <row r="37" ht="20.15" customHeight="1" s="524">
      <c r="B37" s="144" t="inlineStr">
        <is>
          <t>Ananasy</t>
        </is>
      </c>
      <c r="C37" s="86" t="n"/>
      <c r="D37" s="27" t="inlineStr">
        <is>
          <t>kg</t>
        </is>
      </c>
      <c r="E37" s="27" t="n">
        <v>7</v>
      </c>
      <c r="F37" s="27" t="n">
        <v>7.25</v>
      </c>
      <c r="G37" s="27" t="n">
        <v>7</v>
      </c>
      <c r="H37" s="27" t="n">
        <v>7</v>
      </c>
      <c r="I37" s="27" t="n">
        <v>7.5</v>
      </c>
      <c r="J37" s="27" t="n">
        <v>8.33</v>
      </c>
      <c r="K37" s="27" t="n">
        <v>8.5</v>
      </c>
      <c r="L37" s="27" t="n">
        <v>9</v>
      </c>
      <c r="M37" s="515" t="n"/>
    </row>
    <row r="38" ht="20.15" customFormat="1" customHeight="1" s="13">
      <c r="B38" s="145" t="inlineStr">
        <is>
          <t>Arbuzy</t>
        </is>
      </c>
      <c r="C38" s="83" t="n"/>
      <c r="D38" s="91" t="inlineStr">
        <is>
          <t>kg</t>
        </is>
      </c>
      <c r="E38" s="91" t="n">
        <v>7</v>
      </c>
      <c r="F38" s="91" t="n">
        <v>12</v>
      </c>
      <c r="G38" s="91" t="n">
        <v>8</v>
      </c>
      <c r="H38" s="91" t="n">
        <v>8</v>
      </c>
      <c r="I38" s="91" t="n">
        <v>7.5</v>
      </c>
      <c r="J38" s="91" t="n">
        <v>11</v>
      </c>
      <c r="K38" s="91" t="n">
        <v>9</v>
      </c>
      <c r="L38" s="91" t="n">
        <v>10</v>
      </c>
      <c r="M38" s="91" t="n"/>
    </row>
    <row r="39" ht="20.15" customHeight="1" s="524">
      <c r="B39" s="512" t="inlineStr">
        <is>
          <t>Banany</t>
        </is>
      </c>
      <c r="C39" s="517" t="n"/>
      <c r="D39" s="65" t="inlineStr">
        <is>
          <t>kg</t>
        </is>
      </c>
      <c r="E39" s="65" t="n">
        <v>5</v>
      </c>
      <c r="F39" s="65" t="n">
        <v>10</v>
      </c>
      <c r="G39" s="65" t="n">
        <v>7</v>
      </c>
      <c r="H39" s="65" t="n">
        <v>7</v>
      </c>
      <c r="I39" s="65" t="n">
        <v>9</v>
      </c>
      <c r="J39" s="65" t="n">
        <v>12</v>
      </c>
      <c r="K39" s="65" t="n">
        <v>10</v>
      </c>
      <c r="L39" s="65" t="n">
        <v>12</v>
      </c>
      <c r="M39" s="514" t="n"/>
    </row>
    <row r="40" ht="20.15" customHeight="1" s="524">
      <c r="B40" s="144" t="inlineStr">
        <is>
          <t>Brzoskwinie</t>
        </is>
      </c>
      <c r="C40" s="86" t="n"/>
      <c r="D40" s="27" t="inlineStr">
        <is>
          <t>kg</t>
        </is>
      </c>
      <c r="E40" s="27" t="n">
        <v>5</v>
      </c>
      <c r="F40" s="27" t="n">
        <v>9</v>
      </c>
      <c r="G40" s="27" t="n">
        <v>6</v>
      </c>
      <c r="H40" s="27" t="n">
        <v>7</v>
      </c>
      <c r="I40" s="27" t="n">
        <v>6</v>
      </c>
      <c r="J40" s="27" t="n">
        <v>10</v>
      </c>
      <c r="K40" s="27" t="n">
        <v>7</v>
      </c>
      <c r="L40" s="27" t="n">
        <v>9</v>
      </c>
      <c r="M40" s="515" t="n"/>
    </row>
    <row r="41" ht="20.15" customHeight="1" s="524">
      <c r="B41" s="144" t="inlineStr">
        <is>
          <t>Cytryny</t>
        </is>
      </c>
      <c r="C41" s="86" t="n"/>
      <c r="D41" s="27" t="inlineStr">
        <is>
          <t>kg</t>
        </is>
      </c>
      <c r="E41" s="27" t="n">
        <v>2.5</v>
      </c>
      <c r="F41" s="27" t="n">
        <v>14</v>
      </c>
      <c r="G41" s="27" t="n">
        <v>4</v>
      </c>
      <c r="H41" s="27" t="n">
        <v>8</v>
      </c>
      <c r="I41" s="27" t="n">
        <v>7</v>
      </c>
      <c r="J41" s="27" t="n">
        <v>9</v>
      </c>
      <c r="K41" s="27" t="n">
        <v>7.5</v>
      </c>
      <c r="L41" s="27" t="n">
        <v>8</v>
      </c>
      <c r="M41" s="515" t="n"/>
    </row>
    <row r="42" ht="20.15" customHeight="1" s="524">
      <c r="B42" s="144" t="inlineStr">
        <is>
          <t>Grejpfruty</t>
        </is>
      </c>
      <c r="C42" s="86" t="n"/>
      <c r="D42" s="27" t="inlineStr">
        <is>
          <t>kg</t>
        </is>
      </c>
      <c r="E42" s="27" t="n">
        <v>3</v>
      </c>
      <c r="F42" s="27" t="n">
        <v>6</v>
      </c>
      <c r="G42" s="27" t="n"/>
      <c r="H42" s="27" t="n"/>
      <c r="I42" s="27" t="n"/>
      <c r="J42" s="27" t="n"/>
      <c r="K42" s="27" t="n">
        <v>8</v>
      </c>
      <c r="L42" s="27" t="n">
        <v>9.5</v>
      </c>
      <c r="M42" s="515" t="n"/>
    </row>
    <row r="43" ht="20.15" customHeight="1" s="524">
      <c r="B43" s="144" t="inlineStr">
        <is>
          <t>Gruszki</t>
        </is>
      </c>
      <c r="C43" s="86" t="n"/>
      <c r="D43" s="27" t="inlineStr">
        <is>
          <t>kg</t>
        </is>
      </c>
      <c r="E43" s="27" t="n">
        <v>5</v>
      </c>
      <c r="F43" s="27" t="n">
        <v>18</v>
      </c>
      <c r="G43" s="27" t="n">
        <v>10</v>
      </c>
      <c r="H43" s="27" t="n">
        <v>20</v>
      </c>
      <c r="I43" s="27" t="n">
        <v>12</v>
      </c>
      <c r="J43" s="27" t="n">
        <v>20</v>
      </c>
      <c r="K43" s="27" t="n">
        <v>11.43</v>
      </c>
      <c r="L43" s="27" t="n">
        <v>12.86</v>
      </c>
      <c r="M43" s="515" t="n"/>
    </row>
    <row r="44" ht="20.15" customHeight="1" s="524">
      <c r="B44" s="144" t="inlineStr">
        <is>
          <t>Mandarynki</t>
        </is>
      </c>
      <c r="C44" s="86" t="n"/>
      <c r="D44" s="27" t="inlineStr">
        <is>
          <t>kg</t>
        </is>
      </c>
      <c r="E44" s="27" t="n">
        <v>7</v>
      </c>
      <c r="F44" s="27" t="n">
        <v>12</v>
      </c>
      <c r="G44" s="27" t="n">
        <v>8</v>
      </c>
      <c r="H44" s="27" t="n">
        <v>8</v>
      </c>
      <c r="I44" s="27" t="n">
        <v>6.5</v>
      </c>
      <c r="J44" s="27" t="n">
        <v>7.5</v>
      </c>
      <c r="K44" s="27" t="n">
        <v>7.5</v>
      </c>
      <c r="L44" s="27" t="n">
        <v>11</v>
      </c>
      <c r="M44" s="515" t="n">
        <v>9</v>
      </c>
    </row>
    <row r="45" ht="20.15" customHeight="1" s="524">
      <c r="B45" s="144" t="inlineStr">
        <is>
          <t>Morele</t>
        </is>
      </c>
      <c r="C45" s="86" t="n"/>
      <c r="D45" s="27" t="inlineStr">
        <is>
          <t>kg</t>
        </is>
      </c>
      <c r="E45" s="27" t="n">
        <v>5</v>
      </c>
      <c r="F45" s="27" t="n">
        <v>10</v>
      </c>
      <c r="G45" s="27" t="n"/>
      <c r="H45" s="27" t="n"/>
      <c r="I45" s="27" t="n"/>
      <c r="J45" s="27" t="n"/>
      <c r="K45" s="27" t="n">
        <v>9</v>
      </c>
      <c r="L45" s="27" t="n">
        <v>12</v>
      </c>
      <c r="M45" s="515" t="n">
        <v>10</v>
      </c>
    </row>
    <row r="46" ht="20.15" customHeight="1" s="524"/>
    <row r="47" ht="20.15" customHeight="1" s="524"/>
    <row r="48" ht="20.15" customHeight="1" s="524"/>
    <row r="49" ht="20.15" customHeight="1" s="524"/>
    <row r="50" ht="20.15" customHeight="1" s="524"/>
    <row r="51" ht="20.15" customHeight="1" s="524"/>
    <row r="52" ht="20.15" customHeight="1" s="524"/>
    <row r="53" ht="20.15" customHeight="1" s="524"/>
    <row r="54" ht="20.15" customHeight="1" s="524"/>
    <row r="55" ht="20.15" customHeight="1" s="524"/>
    <row r="56" ht="20.15" customHeight="1" s="524"/>
    <row r="57" ht="20.15" customHeight="1" s="524"/>
    <row r="58" ht="20.15" customHeight="1" s="524"/>
    <row r="59" ht="20.15" customHeight="1" s="524"/>
    <row r="60" ht="20.15" customHeight="1" s="524"/>
    <row r="61" ht="20.15" customHeight="1" s="524"/>
    <row r="62" ht="20.15" customHeight="1" s="524"/>
    <row r="63" ht="20.15" customHeight="1" s="524"/>
    <row r="64" ht="20.15" customHeight="1" s="524"/>
    <row r="65" ht="20.15" customHeight="1" s="524"/>
    <row r="66" ht="20.15" customHeight="1" s="524"/>
    <row r="67" ht="20.15" customHeight="1" s="524"/>
  </sheetData>
  <conditionalFormatting sqref="H14:N14">
    <cfRule type="cellIs" priority="4" operator="equal" dxfId="2" stopIfTrue="1">
      <formula>"-"</formula>
    </cfRule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13:N13">
    <cfRule type="cellIs" priority="1" operator="equal" dxfId="2" stopIfTrue="1">
      <formula>"-"</formula>
    </cfRule>
    <cfRule type="cellIs" priority="2" operator="greaterThan" dxfId="0">
      <formula>0</formula>
    </cfRule>
    <cfRule type="cellIs" priority="3" operator="lessThan" dxfId="1">
      <formula>0</formula>
    </cfRule>
  </conditionalFormatting>
  <pageMargins left="0.79" right="0.71" top="0.98" bottom="0.98" header="0.5" footer="0.5"/>
  <pageSetup orientation="landscape" paperSize="9" scale="7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1"/>
  <sheetViews>
    <sheetView workbookViewId="0">
      <selection activeCell="A1" sqref="A1"/>
    </sheetView>
  </sheetViews>
  <sheetFormatPr baseColWidth="8" defaultColWidth="8.7265625" defaultRowHeight="15.5"/>
  <cols>
    <col width="8.7265625" customWidth="1" style="12" min="1" max="16384"/>
  </cols>
  <sheetData>
    <row r="2" ht="18.5" customHeight="1" s="524">
      <c r="A2" s="494" t="inlineStr">
        <is>
          <t>Adresy rynków hurtowych z których MINROL pobiera informacje do Biuletynu Informacyjnego ;</t>
        </is>
      </c>
    </row>
    <row r="3">
      <c r="A3" s="12" t="inlineStr">
        <is>
          <t>1. www.bronisze.com.pl</t>
        </is>
      </c>
    </row>
    <row r="4">
      <c r="A4" s="12" t="inlineStr">
        <is>
          <t>2. https://podlaskiecentrum.pl/</t>
        </is>
      </c>
    </row>
    <row r="5">
      <c r="A5" s="12" t="inlineStr">
        <is>
          <t>3. https://gieldakaliska.pl/</t>
        </is>
      </c>
    </row>
    <row r="6">
      <c r="A6" s="12" t="inlineStr">
        <is>
          <t>4. https://www.elizowka.pl/</t>
        </is>
      </c>
    </row>
    <row r="7">
      <c r="A7" s="12" t="inlineStr">
        <is>
          <t>5. https://www.targpiast.com.pl/pl</t>
        </is>
      </c>
    </row>
    <row r="8">
      <c r="A8" s="12" t="inlineStr">
        <is>
          <t>6. https://www.zjazdowa.com.pl/pl/serwis-cenowy/</t>
        </is>
      </c>
    </row>
    <row r="9">
      <c r="A9" s="12" t="inlineStr">
        <is>
          <t>7. https://wgro.com.pl/notowania-cenowe-maly-hurt/</t>
        </is>
      </c>
    </row>
    <row r="10">
      <c r="A10" s="12" t="inlineStr">
        <is>
          <t>8. https://khrybitwy.pl/</t>
        </is>
      </c>
    </row>
    <row r="11">
      <c r="A11" s="12" t="inlineStr">
        <is>
          <t>9. https://www.agrohurtsa.pl/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rgb="FFC9C9C9"/>
    <outlinePr summaryBelow="1" summaryRight="1"/>
    <pageSetUpPr fitToPage="1"/>
  </sheetPr>
  <dimension ref="B2:P16"/>
  <sheetViews>
    <sheetView showGridLines="0" workbookViewId="0">
      <selection activeCell="A1" sqref="A1"/>
    </sheetView>
  </sheetViews>
  <sheetFormatPr baseColWidth="8" defaultColWidth="9.1796875" defaultRowHeight="20" customHeight="1"/>
  <cols>
    <col width="9.1796875" customWidth="1" style="545" min="1" max="1"/>
    <col width="20.7265625" customWidth="1" style="545" min="2" max="2"/>
    <col width="10.7265625" customWidth="1" style="545" min="3" max="7"/>
    <col width="9.1796875" customWidth="1" style="545" min="8" max="8"/>
    <col width="9.1796875" customWidth="1" style="545" min="9" max="16384"/>
  </cols>
  <sheetData>
    <row r="1" ht="25" customHeight="1" s="524"/>
    <row r="2" ht="25" customHeight="1" s="524">
      <c r="B2" s="546" t="inlineStr">
        <is>
          <t>ŚREDNIE CENY ZAKUPU JABŁEK I GRUSZEK PŁACONE PRZEZ ORGANIZACJE PRODUCENTÓW - najważniejsze odmiany</t>
        </is>
      </c>
    </row>
    <row r="3" ht="25" customHeight="1" s="524" thickBot="1">
      <c r="B3" s="547" t="inlineStr">
        <is>
          <t>(zł/100 kg)</t>
        </is>
      </c>
      <c r="C3" s="548" t="n"/>
      <c r="D3" s="548" t="n"/>
      <c r="E3" s="548" t="n"/>
      <c r="F3" s="548" t="n"/>
      <c r="G3" s="548" t="n"/>
      <c r="H3" s="548" t="n"/>
      <c r="I3" s="548" t="n"/>
      <c r="J3" s="548" t="n"/>
      <c r="K3" s="548" t="n"/>
      <c r="L3" s="548" t="n"/>
      <c r="M3" s="548" t="n"/>
      <c r="N3" s="548" t="n"/>
      <c r="O3" s="548" t="n"/>
      <c r="P3" s="548" t="n"/>
    </row>
    <row r="4" ht="25" customHeight="1" s="524" thickTop="1"/>
    <row r="5" ht="20" customHeight="1" s="524">
      <c r="B5" s="574" t="inlineStr">
        <is>
          <t>TOWAR</t>
        </is>
      </c>
      <c r="C5" s="576" t="inlineStr">
        <is>
          <t>23.08.2026</t>
        </is>
      </c>
      <c r="D5" s="576" t="inlineStr">
        <is>
          <t>16.08.2026</t>
        </is>
      </c>
      <c r="E5" s="576" t="inlineStr">
        <is>
          <t>24.08.2025</t>
        </is>
      </c>
      <c r="F5" s="578" t="inlineStr">
        <is>
          <t>Zmiana ceny (%)</t>
        </is>
      </c>
      <c r="G5" s="600" t="n"/>
    </row>
    <row r="6" ht="40" customHeight="1" s="524" thickBot="1">
      <c r="B6" s="601" t="n"/>
      <c r="C6" s="602" t="n"/>
      <c r="D6" s="602" t="n"/>
      <c r="E6" s="602" t="n"/>
      <c r="F6" s="550" t="inlineStr">
        <is>
          <t>tygodniowa</t>
        </is>
      </c>
      <c r="G6" s="551" t="inlineStr">
        <is>
          <t>roczna</t>
        </is>
      </c>
    </row>
    <row r="7" ht="20" customHeight="1" s="524">
      <c r="B7" s="552" t="inlineStr">
        <is>
          <t>Jabłka (razem)</t>
        </is>
      </c>
      <c r="C7" s="553" t="n">
        <v>139.079462492006</v>
      </c>
      <c r="D7" s="554" t="inlineStr">
        <is>
          <t>nld</t>
        </is>
      </c>
      <c r="E7" s="554" t="inlineStr">
        <is>
          <t>nld</t>
        </is>
      </c>
      <c r="F7" s="555" t="inlineStr">
        <is>
          <t>-</t>
        </is>
      </c>
      <c r="G7" s="556" t="inlineStr">
        <is>
          <t>-</t>
        </is>
      </c>
    </row>
    <row r="8" ht="20" customHeight="1" s="524">
      <c r="B8" s="552" t="inlineStr">
        <is>
          <t>Boskoop</t>
        </is>
      </c>
      <c r="C8" s="553" t="inlineStr">
        <is>
          <t>---</t>
        </is>
      </c>
      <c r="D8" s="554" t="inlineStr">
        <is>
          <t>---</t>
        </is>
      </c>
      <c r="E8" s="554" t="inlineStr">
        <is>
          <t>---</t>
        </is>
      </c>
      <c r="F8" s="555" t="inlineStr">
        <is>
          <t>-</t>
        </is>
      </c>
      <c r="G8" s="556" t="inlineStr">
        <is>
          <t>-</t>
        </is>
      </c>
    </row>
    <row r="9" ht="20" customHeight="1" s="524">
      <c r="B9" s="552" t="inlineStr">
        <is>
          <t>Gala</t>
        </is>
      </c>
      <c r="C9" s="553" t="inlineStr">
        <is>
          <t>nld</t>
        </is>
      </c>
      <c r="D9" s="554" t="inlineStr">
        <is>
          <t>nld</t>
        </is>
      </c>
      <c r="E9" s="554" t="inlineStr">
        <is>
          <t>nld</t>
        </is>
      </c>
      <c r="F9" s="555" t="inlineStr">
        <is>
          <t>-</t>
        </is>
      </c>
      <c r="G9" s="556" t="inlineStr">
        <is>
          <t>-</t>
        </is>
      </c>
    </row>
    <row r="10" ht="20" customHeight="1" s="524">
      <c r="B10" s="552" t="inlineStr">
        <is>
          <t>Gloster</t>
        </is>
      </c>
      <c r="C10" s="553" t="inlineStr">
        <is>
          <t>---</t>
        </is>
      </c>
      <c r="D10" s="554" t="inlineStr">
        <is>
          <t>---</t>
        </is>
      </c>
      <c r="E10" s="554" t="inlineStr">
        <is>
          <t>---</t>
        </is>
      </c>
      <c r="F10" s="555" t="inlineStr">
        <is>
          <t>-</t>
        </is>
      </c>
      <c r="G10" s="556" t="inlineStr">
        <is>
          <t>-</t>
        </is>
      </c>
    </row>
    <row r="11" ht="20" customHeight="1" s="524">
      <c r="B11" s="552" t="inlineStr">
        <is>
          <t>Golden delicious</t>
        </is>
      </c>
      <c r="C11" s="553" t="n">
        <v>143.975004247447</v>
      </c>
      <c r="D11" s="554" t="inlineStr">
        <is>
          <t>nld</t>
        </is>
      </c>
      <c r="E11" s="554" t="inlineStr">
        <is>
          <t>nld</t>
        </is>
      </c>
      <c r="F11" s="555" t="inlineStr">
        <is>
          <t>-</t>
        </is>
      </c>
      <c r="G11" s="556" t="inlineStr">
        <is>
          <t>-</t>
        </is>
      </c>
    </row>
    <row r="12" ht="20" customHeight="1" s="524">
      <c r="B12" s="552" t="inlineStr">
        <is>
          <t>Idared</t>
        </is>
      </c>
      <c r="C12" s="553" t="inlineStr">
        <is>
          <t>nld</t>
        </is>
      </c>
      <c r="D12" s="554" t="inlineStr">
        <is>
          <t>nld</t>
        </is>
      </c>
      <c r="E12" s="554" t="inlineStr">
        <is>
          <t>nld</t>
        </is>
      </c>
      <c r="F12" s="555" t="inlineStr">
        <is>
          <t>-</t>
        </is>
      </c>
      <c r="G12" s="556" t="inlineStr">
        <is>
          <t>-</t>
        </is>
      </c>
    </row>
    <row r="13" ht="20" customHeight="1" s="524">
      <c r="B13" s="552" t="inlineStr">
        <is>
          <t>Jonagold/Jonagored</t>
        </is>
      </c>
      <c r="C13" s="553" t="inlineStr">
        <is>
          <t>nld</t>
        </is>
      </c>
      <c r="D13" s="554" t="inlineStr">
        <is>
          <t>nld</t>
        </is>
      </c>
      <c r="E13" s="554" t="inlineStr">
        <is>
          <t>nld</t>
        </is>
      </c>
      <c r="F13" s="555" t="inlineStr">
        <is>
          <t>-</t>
        </is>
      </c>
      <c r="G13" s="556" t="inlineStr">
        <is>
          <t>-</t>
        </is>
      </c>
    </row>
    <row r="14" ht="20" customHeight="1" s="524">
      <c r="B14" s="552" t="inlineStr">
        <is>
          <t>Ligol</t>
        </is>
      </c>
      <c r="C14" s="553" t="inlineStr">
        <is>
          <t>nld</t>
        </is>
      </c>
      <c r="D14" s="554" t="inlineStr">
        <is>
          <t>nld</t>
        </is>
      </c>
      <c r="E14" s="554" t="inlineStr">
        <is>
          <t>nld</t>
        </is>
      </c>
      <c r="F14" s="555" t="inlineStr">
        <is>
          <t>-</t>
        </is>
      </c>
      <c r="G14" s="556" t="inlineStr">
        <is>
          <t>-</t>
        </is>
      </c>
    </row>
    <row r="15" ht="20" customHeight="1" s="524">
      <c r="B15" s="552" t="inlineStr">
        <is>
          <t>Szampion</t>
        </is>
      </c>
      <c r="C15" s="553" t="inlineStr">
        <is>
          <t>nld</t>
        </is>
      </c>
      <c r="D15" s="554" t="inlineStr">
        <is>
          <t>nld</t>
        </is>
      </c>
      <c r="E15" s="554" t="inlineStr">
        <is>
          <t>nld</t>
        </is>
      </c>
      <c r="F15" s="555" t="inlineStr">
        <is>
          <t>-</t>
        </is>
      </c>
      <c r="G15" s="556" t="inlineStr">
        <is>
          <t>-</t>
        </is>
      </c>
    </row>
    <row r="16" ht="20" customHeight="1" s="524">
      <c r="B16" s="557" t="inlineStr">
        <is>
          <t>Gruszki (razem)</t>
        </is>
      </c>
      <c r="C16" s="558" t="inlineStr">
        <is>
          <t>---</t>
        </is>
      </c>
      <c r="D16" s="559" t="inlineStr">
        <is>
          <t>---</t>
        </is>
      </c>
      <c r="E16" s="559" t="inlineStr">
        <is>
          <t>---</t>
        </is>
      </c>
      <c r="F16" s="560" t="inlineStr">
        <is>
          <t>-</t>
        </is>
      </c>
      <c r="G16" s="561" t="inlineStr">
        <is>
          <t>-</t>
        </is>
      </c>
    </row>
  </sheetData>
  <mergeCells count="5">
    <mergeCell ref="E5:E6"/>
    <mergeCell ref="F5:G5"/>
    <mergeCell ref="C5:C6"/>
    <mergeCell ref="B5:B6"/>
    <mergeCell ref="D5:D6"/>
  </mergeCells>
  <conditionalFormatting sqref="F7:G7">
    <cfRule type="cellIs" priority="1" operator="equal" dxfId="25" stopIfTrue="1">
      <formula>"-"</formula>
    </cfRule>
    <cfRule type="cellIs" priority="2" operator="lessThan" dxfId="24">
      <formula>0</formula>
    </cfRule>
    <cfRule type="cellIs" priority="3" operator="greaterThan" dxfId="23">
      <formula>0</formula>
    </cfRule>
  </conditionalFormatting>
  <conditionalFormatting sqref="F8:G8">
    <cfRule type="cellIs" priority="4" operator="equal" dxfId="25" stopIfTrue="1">
      <formula>"-"</formula>
    </cfRule>
    <cfRule type="cellIs" priority="5" operator="lessThan" dxfId="24">
      <formula>0</formula>
    </cfRule>
    <cfRule type="cellIs" priority="6" operator="greaterThan" dxfId="23">
      <formula>0</formula>
    </cfRule>
  </conditionalFormatting>
  <conditionalFormatting sqref="F9:G9">
    <cfRule type="cellIs" priority="7" operator="equal" dxfId="25" stopIfTrue="1">
      <formula>"-"</formula>
    </cfRule>
    <cfRule type="cellIs" priority="8" operator="lessThan" dxfId="24">
      <formula>0</formula>
    </cfRule>
    <cfRule type="cellIs" priority="9" operator="greaterThan" dxfId="23">
      <formula>0</formula>
    </cfRule>
  </conditionalFormatting>
  <conditionalFormatting sqref="F10:G10">
    <cfRule type="cellIs" priority="10" operator="equal" dxfId="25" stopIfTrue="1">
      <formula>"-"</formula>
    </cfRule>
    <cfRule type="cellIs" priority="11" operator="lessThan" dxfId="24">
      <formula>0</formula>
    </cfRule>
    <cfRule type="cellIs" priority="12" operator="greaterThan" dxfId="23">
      <formula>0</formula>
    </cfRule>
  </conditionalFormatting>
  <conditionalFormatting sqref="F11:G11">
    <cfRule type="cellIs" priority="13" operator="equal" dxfId="25" stopIfTrue="1">
      <formula>"-"</formula>
    </cfRule>
    <cfRule type="cellIs" priority="14" operator="lessThan" dxfId="24">
      <formula>0</formula>
    </cfRule>
    <cfRule type="cellIs" priority="15" operator="greaterThan" dxfId="23">
      <formula>0</formula>
    </cfRule>
  </conditionalFormatting>
  <conditionalFormatting sqref="F12:G12">
    <cfRule type="cellIs" priority="16" operator="equal" dxfId="25" stopIfTrue="1">
      <formula>"-"</formula>
    </cfRule>
    <cfRule type="cellIs" priority="17" operator="lessThan" dxfId="24">
      <formula>0</formula>
    </cfRule>
    <cfRule type="cellIs" priority="18" operator="greaterThan" dxfId="23">
      <formula>0</formula>
    </cfRule>
  </conditionalFormatting>
  <conditionalFormatting sqref="F13:G13">
    <cfRule type="cellIs" priority="19" operator="equal" dxfId="25" stopIfTrue="1">
      <formula>"-"</formula>
    </cfRule>
    <cfRule type="cellIs" priority="20" operator="lessThan" dxfId="24">
      <formula>0</formula>
    </cfRule>
    <cfRule type="cellIs" priority="21" operator="greaterThan" dxfId="23">
      <formula>0</formula>
    </cfRule>
  </conditionalFormatting>
  <conditionalFormatting sqref="F14:G14">
    <cfRule type="cellIs" priority="22" operator="equal" dxfId="25" stopIfTrue="1">
      <formula>"-"</formula>
    </cfRule>
    <cfRule type="cellIs" priority="23" operator="lessThan" dxfId="24">
      <formula>0</formula>
    </cfRule>
    <cfRule type="cellIs" priority="24" operator="greaterThan" dxfId="23">
      <formula>0</formula>
    </cfRule>
  </conditionalFormatting>
  <conditionalFormatting sqref="F15:G15">
    <cfRule type="cellIs" priority="25" operator="equal" dxfId="25" stopIfTrue="1">
      <formula>"-"</formula>
    </cfRule>
    <cfRule type="cellIs" priority="26" operator="lessThan" dxfId="24">
      <formula>0</formula>
    </cfRule>
    <cfRule type="cellIs" priority="27" operator="greaterThan" dxfId="23">
      <formula>0</formula>
    </cfRule>
  </conditionalFormatting>
  <conditionalFormatting sqref="F16:G16">
    <cfRule type="cellIs" priority="28" operator="equal" dxfId="25" stopIfTrue="1">
      <formula>"-"</formula>
    </cfRule>
    <cfRule type="cellIs" priority="29" operator="lessThan" dxfId="24">
      <formula>0</formula>
    </cfRule>
    <cfRule type="cellIs" priority="30" operator="greaterThan" dxfId="23">
      <formula>0</formula>
    </cfRule>
  </conditionalFormatting>
  <pageMargins left="0.75" right="0.75" top="0.75" bottom="0.5" header="0.5" footer="0.75"/>
  <pageSetup orientation="landscape"/>
</worksheet>
</file>

<file path=xl/worksheets/sheet8.xml><?xml version="1.0" encoding="utf-8"?>
<worksheet xmlns="http://schemas.openxmlformats.org/spreadsheetml/2006/main">
  <sheetPr>
    <tabColor rgb="FFC9C9C9"/>
    <outlinePr summaryBelow="1" summaryRight="1"/>
    <pageSetUpPr fitToPage="1"/>
  </sheetPr>
  <dimension ref="B2:P16"/>
  <sheetViews>
    <sheetView showGridLines="0" workbookViewId="0">
      <selection activeCell="A1" sqref="A1"/>
    </sheetView>
  </sheetViews>
  <sheetFormatPr baseColWidth="8" defaultColWidth="9.1796875" defaultRowHeight="20" customHeight="1"/>
  <cols>
    <col width="9.1796875" customWidth="1" style="545" min="1" max="1"/>
    <col width="20.7265625" customWidth="1" style="545" min="2" max="2"/>
    <col width="10.7265625" customWidth="1" style="545" min="3" max="7"/>
    <col width="9.1796875" customWidth="1" style="545" min="8" max="8"/>
    <col width="9.1796875" customWidth="1" style="545" min="9" max="16384"/>
  </cols>
  <sheetData>
    <row r="1" ht="25" customHeight="1" s="524"/>
    <row r="2" ht="25" customHeight="1" s="524">
      <c r="B2" s="546" t="inlineStr">
        <is>
          <t>ŚREDNIE CENY SPRZEDAŻY JABŁEK I GRUSZEK PŁACONE PRZEZ ORGANIZACJE PRODUCENTÓW - główne odmiany</t>
        </is>
      </c>
    </row>
    <row r="3" ht="25" customHeight="1" s="524" thickBot="1">
      <c r="B3" s="547" t="inlineStr">
        <is>
          <t>(zł/100 kg)</t>
        </is>
      </c>
      <c r="C3" s="548" t="n"/>
      <c r="D3" s="548" t="n"/>
      <c r="E3" s="548" t="n"/>
      <c r="F3" s="548" t="n"/>
      <c r="G3" s="548" t="n"/>
      <c r="H3" s="548" t="n"/>
      <c r="I3" s="548" t="n"/>
      <c r="J3" s="548" t="n"/>
      <c r="K3" s="548" t="n"/>
      <c r="L3" s="548" t="n"/>
      <c r="M3" s="548" t="n"/>
      <c r="N3" s="548" t="n"/>
      <c r="O3" s="548" t="n"/>
      <c r="P3" s="548" t="n"/>
    </row>
    <row r="4" ht="25" customHeight="1" s="524" thickTop="1"/>
    <row r="5" ht="20" customHeight="1" s="524">
      <c r="B5" s="574" t="inlineStr">
        <is>
          <t>TOWAR</t>
        </is>
      </c>
      <c r="C5" s="576" t="inlineStr">
        <is>
          <t>23.08.2026</t>
        </is>
      </c>
      <c r="D5" s="576" t="inlineStr">
        <is>
          <t>16.08.2026</t>
        </is>
      </c>
      <c r="E5" s="576" t="inlineStr">
        <is>
          <t>24.08.2025</t>
        </is>
      </c>
      <c r="F5" s="578" t="inlineStr">
        <is>
          <t>Zmiana ceny (%)</t>
        </is>
      </c>
      <c r="G5" s="600" t="n"/>
    </row>
    <row r="6" ht="40" customHeight="1" s="524" thickBot="1">
      <c r="B6" s="601" t="n"/>
      <c r="C6" s="602" t="n"/>
      <c r="D6" s="602" t="n"/>
      <c r="E6" s="602" t="n"/>
      <c r="F6" s="550" t="inlineStr">
        <is>
          <t>tygodniowa</t>
        </is>
      </c>
      <c r="G6" s="551" t="inlineStr">
        <is>
          <t>roczna</t>
        </is>
      </c>
    </row>
    <row r="7" ht="20" customHeight="1" s="524">
      <c r="B7" s="552" t="inlineStr">
        <is>
          <t>Jabłka (razem)</t>
        </is>
      </c>
      <c r="C7" s="553" t="n">
        <v>260.405047669101</v>
      </c>
      <c r="D7" s="554" t="inlineStr">
        <is>
          <t>nld</t>
        </is>
      </c>
      <c r="E7" s="554" t="inlineStr">
        <is>
          <t>nld</t>
        </is>
      </c>
      <c r="F7" s="555" t="inlineStr">
        <is>
          <t>-</t>
        </is>
      </c>
      <c r="G7" s="556" t="inlineStr">
        <is>
          <t>-</t>
        </is>
      </c>
    </row>
    <row r="8" ht="20" customHeight="1" s="524">
      <c r="B8" s="552" t="inlineStr">
        <is>
          <t>Boskoop</t>
        </is>
      </c>
      <c r="C8" s="553" t="inlineStr">
        <is>
          <t>---</t>
        </is>
      </c>
      <c r="D8" s="554" t="inlineStr">
        <is>
          <t>---</t>
        </is>
      </c>
      <c r="E8" s="554" t="inlineStr">
        <is>
          <t>---</t>
        </is>
      </c>
      <c r="F8" s="555" t="inlineStr">
        <is>
          <t>-</t>
        </is>
      </c>
      <c r="G8" s="556" t="inlineStr">
        <is>
          <t>-</t>
        </is>
      </c>
    </row>
    <row r="9" ht="20" customHeight="1" s="524">
      <c r="B9" s="552" t="inlineStr">
        <is>
          <t>Gala</t>
        </is>
      </c>
      <c r="C9" s="553" t="n">
        <v>299.621648717585</v>
      </c>
      <c r="D9" s="554" t="inlineStr">
        <is>
          <t>nld</t>
        </is>
      </c>
      <c r="E9" s="554" t="inlineStr">
        <is>
          <t>nld</t>
        </is>
      </c>
      <c r="F9" s="555" t="inlineStr">
        <is>
          <t>-</t>
        </is>
      </c>
      <c r="G9" s="556" t="inlineStr">
        <is>
          <t>-</t>
        </is>
      </c>
    </row>
    <row r="10" ht="20" customHeight="1" s="524">
      <c r="B10" s="552" t="inlineStr">
        <is>
          <t>Gloster</t>
        </is>
      </c>
      <c r="C10" s="553" t="inlineStr">
        <is>
          <t>---</t>
        </is>
      </c>
      <c r="D10" s="554" t="inlineStr">
        <is>
          <t>---</t>
        </is>
      </c>
      <c r="E10" s="554" t="inlineStr">
        <is>
          <t>---</t>
        </is>
      </c>
      <c r="F10" s="555" t="inlineStr">
        <is>
          <t>-</t>
        </is>
      </c>
      <c r="G10" s="556" t="inlineStr">
        <is>
          <t>-</t>
        </is>
      </c>
    </row>
    <row r="11" ht="20" customHeight="1" s="524">
      <c r="B11" s="552" t="inlineStr">
        <is>
          <t>Golden delicious</t>
        </is>
      </c>
      <c r="C11" s="553" t="n">
        <v>268.133630003087</v>
      </c>
      <c r="D11" s="554" t="inlineStr">
        <is>
          <t>nld</t>
        </is>
      </c>
      <c r="E11" s="554" t="inlineStr">
        <is>
          <t>nld</t>
        </is>
      </c>
      <c r="F11" s="555" t="inlineStr">
        <is>
          <t>-</t>
        </is>
      </c>
      <c r="G11" s="556" t="inlineStr">
        <is>
          <t>-</t>
        </is>
      </c>
    </row>
    <row r="12" ht="20" customHeight="1" s="524">
      <c r="B12" s="552" t="inlineStr">
        <is>
          <t>Idared</t>
        </is>
      </c>
      <c r="C12" s="553" t="inlineStr">
        <is>
          <t>nld</t>
        </is>
      </c>
      <c r="D12" s="554" t="inlineStr">
        <is>
          <t>nld</t>
        </is>
      </c>
      <c r="E12" s="554" t="inlineStr">
        <is>
          <t>nld</t>
        </is>
      </c>
      <c r="F12" s="555" t="inlineStr">
        <is>
          <t>-</t>
        </is>
      </c>
      <c r="G12" s="556" t="inlineStr">
        <is>
          <t>-</t>
        </is>
      </c>
    </row>
    <row r="13" ht="20" customHeight="1" s="524">
      <c r="B13" s="552" t="inlineStr">
        <is>
          <t>Jonagold/Jonagored</t>
        </is>
      </c>
      <c r="C13" s="553" t="n">
        <v>266.584510281056</v>
      </c>
      <c r="D13" s="554" t="inlineStr">
        <is>
          <t>nld</t>
        </is>
      </c>
      <c r="E13" s="554" t="inlineStr">
        <is>
          <t>nld</t>
        </is>
      </c>
      <c r="F13" s="555" t="inlineStr">
        <is>
          <t>-</t>
        </is>
      </c>
      <c r="G13" s="556" t="inlineStr">
        <is>
          <t>-</t>
        </is>
      </c>
    </row>
    <row r="14" ht="20" customHeight="1" s="524">
      <c r="B14" s="552" t="inlineStr">
        <is>
          <t>Ligol</t>
        </is>
      </c>
      <c r="C14" s="553" t="n">
        <v>291.970786266763</v>
      </c>
      <c r="D14" s="554" t="inlineStr">
        <is>
          <t>nld</t>
        </is>
      </c>
      <c r="E14" s="554" t="inlineStr">
        <is>
          <t>nld</t>
        </is>
      </c>
      <c r="F14" s="555" t="inlineStr">
        <is>
          <t>-</t>
        </is>
      </c>
      <c r="G14" s="556" t="inlineStr">
        <is>
          <t>-</t>
        </is>
      </c>
    </row>
    <row r="15" ht="20" customHeight="1" s="524">
      <c r="B15" s="552" t="inlineStr">
        <is>
          <t>Szampion</t>
        </is>
      </c>
      <c r="C15" s="553" t="n">
        <v>245.289313605031</v>
      </c>
      <c r="D15" s="554" t="inlineStr">
        <is>
          <t>nld</t>
        </is>
      </c>
      <c r="E15" s="554" t="inlineStr">
        <is>
          <t>nld</t>
        </is>
      </c>
      <c r="F15" s="555" t="inlineStr">
        <is>
          <t>-</t>
        </is>
      </c>
      <c r="G15" s="556" t="inlineStr">
        <is>
          <t>-</t>
        </is>
      </c>
    </row>
    <row r="16" ht="20" customHeight="1" s="524">
      <c r="B16" s="557" t="inlineStr">
        <is>
          <t>Gruszki (razem)</t>
        </is>
      </c>
      <c r="C16" s="558" t="inlineStr">
        <is>
          <t>---</t>
        </is>
      </c>
      <c r="D16" s="559" t="inlineStr">
        <is>
          <t>---</t>
        </is>
      </c>
      <c r="E16" s="559" t="inlineStr">
        <is>
          <t>---</t>
        </is>
      </c>
      <c r="F16" s="560" t="inlineStr">
        <is>
          <t>-</t>
        </is>
      </c>
      <c r="G16" s="561" t="inlineStr">
        <is>
          <t>-</t>
        </is>
      </c>
    </row>
  </sheetData>
  <mergeCells count="5">
    <mergeCell ref="E5:E6"/>
    <mergeCell ref="F5:G5"/>
    <mergeCell ref="C5:C6"/>
    <mergeCell ref="B5:B6"/>
    <mergeCell ref="D5:D6"/>
  </mergeCells>
  <conditionalFormatting sqref="F7:G7">
    <cfRule type="cellIs" priority="1" operator="equal" dxfId="25" stopIfTrue="1">
      <formula>"-"</formula>
    </cfRule>
    <cfRule type="cellIs" priority="2" operator="lessThan" dxfId="24">
      <formula>0</formula>
    </cfRule>
    <cfRule type="cellIs" priority="3" operator="greaterThan" dxfId="23">
      <formula>0</formula>
    </cfRule>
  </conditionalFormatting>
  <conditionalFormatting sqref="F8:G8">
    <cfRule type="cellIs" priority="4" operator="equal" dxfId="25" stopIfTrue="1">
      <formula>"-"</formula>
    </cfRule>
    <cfRule type="cellIs" priority="5" operator="lessThan" dxfId="24">
      <formula>0</formula>
    </cfRule>
    <cfRule type="cellIs" priority="6" operator="greaterThan" dxfId="23">
      <formula>0</formula>
    </cfRule>
  </conditionalFormatting>
  <conditionalFormatting sqref="F9:G9">
    <cfRule type="cellIs" priority="7" operator="equal" dxfId="25" stopIfTrue="1">
      <formula>"-"</formula>
    </cfRule>
    <cfRule type="cellIs" priority="8" operator="lessThan" dxfId="24">
      <formula>0</formula>
    </cfRule>
    <cfRule type="cellIs" priority="9" operator="greaterThan" dxfId="23">
      <formula>0</formula>
    </cfRule>
  </conditionalFormatting>
  <conditionalFormatting sqref="F10:G10">
    <cfRule type="cellIs" priority="10" operator="equal" dxfId="25" stopIfTrue="1">
      <formula>"-"</formula>
    </cfRule>
    <cfRule type="cellIs" priority="11" operator="lessThan" dxfId="24">
      <formula>0</formula>
    </cfRule>
    <cfRule type="cellIs" priority="12" operator="greaterThan" dxfId="23">
      <formula>0</formula>
    </cfRule>
  </conditionalFormatting>
  <conditionalFormatting sqref="F11:G11">
    <cfRule type="cellIs" priority="13" operator="equal" dxfId="25" stopIfTrue="1">
      <formula>"-"</formula>
    </cfRule>
    <cfRule type="cellIs" priority="14" operator="lessThan" dxfId="24">
      <formula>0</formula>
    </cfRule>
    <cfRule type="cellIs" priority="15" operator="greaterThan" dxfId="23">
      <formula>0</formula>
    </cfRule>
  </conditionalFormatting>
  <conditionalFormatting sqref="F12:G12">
    <cfRule type="cellIs" priority="16" operator="equal" dxfId="25" stopIfTrue="1">
      <formula>"-"</formula>
    </cfRule>
    <cfRule type="cellIs" priority="17" operator="lessThan" dxfId="24">
      <formula>0</formula>
    </cfRule>
    <cfRule type="cellIs" priority="18" operator="greaterThan" dxfId="23">
      <formula>0</formula>
    </cfRule>
  </conditionalFormatting>
  <conditionalFormatting sqref="F13:G13">
    <cfRule type="cellIs" priority="19" operator="equal" dxfId="25" stopIfTrue="1">
      <formula>"-"</formula>
    </cfRule>
    <cfRule type="cellIs" priority="20" operator="lessThan" dxfId="24">
      <formula>0</formula>
    </cfRule>
    <cfRule type="cellIs" priority="21" operator="greaterThan" dxfId="23">
      <formula>0</formula>
    </cfRule>
  </conditionalFormatting>
  <conditionalFormatting sqref="F14:G14">
    <cfRule type="cellIs" priority="22" operator="equal" dxfId="25" stopIfTrue="1">
      <formula>"-"</formula>
    </cfRule>
    <cfRule type="cellIs" priority="23" operator="lessThan" dxfId="24">
      <formula>0</formula>
    </cfRule>
    <cfRule type="cellIs" priority="24" operator="greaterThan" dxfId="23">
      <formula>0</formula>
    </cfRule>
  </conditionalFormatting>
  <conditionalFormatting sqref="F15:G15">
    <cfRule type="cellIs" priority="25" operator="equal" dxfId="25" stopIfTrue="1">
      <formula>"-"</formula>
    </cfRule>
    <cfRule type="cellIs" priority="26" operator="lessThan" dxfId="24">
      <formula>0</formula>
    </cfRule>
    <cfRule type="cellIs" priority="27" operator="greaterThan" dxfId="23">
      <formula>0</formula>
    </cfRule>
  </conditionalFormatting>
  <conditionalFormatting sqref="F16:G16">
    <cfRule type="cellIs" priority="28" operator="equal" dxfId="25" stopIfTrue="1">
      <formula>"-"</formula>
    </cfRule>
    <cfRule type="cellIs" priority="29" operator="lessThan" dxfId="24">
      <formula>0</formula>
    </cfRule>
    <cfRule type="cellIs" priority="30" operator="greaterThan" dxfId="23">
      <formula>0</formula>
    </cfRule>
  </conditionalFormatting>
  <pageMargins left="0.75" right="0.75" top="0.75" bottom="0.5" header="0.5" footer="0.75"/>
  <pageSetup orientation="landscape"/>
</worksheet>
</file>

<file path=xl/worksheets/sheet9.xml><?xml version="1.0" encoding="utf-8"?>
<worksheet xmlns="http://schemas.openxmlformats.org/spreadsheetml/2006/main">
  <sheetPr>
    <tabColor rgb="FFBDD7EE"/>
    <outlinePr summaryBelow="1" summaryRight="1"/>
    <pageSetUpPr fitToPage="1"/>
  </sheetPr>
  <dimension ref="B2:P16"/>
  <sheetViews>
    <sheetView showGridLines="0" workbookViewId="0">
      <selection activeCell="J8" sqref="J8"/>
    </sheetView>
  </sheetViews>
  <sheetFormatPr baseColWidth="8" defaultColWidth="9.1796875" defaultRowHeight="20" customHeight="1"/>
  <cols>
    <col width="9.1796875" customWidth="1" style="545" min="1" max="1"/>
    <col width="20.7265625" customWidth="1" style="545" min="2" max="2"/>
    <col width="30.7265625" customWidth="1" style="545" min="3" max="3"/>
    <col width="10.7265625" customWidth="1" style="545" min="4" max="8"/>
    <col width="9.1796875" customWidth="1" style="545" min="9" max="9"/>
    <col width="9.1796875" customWidth="1" style="545" min="10" max="16384"/>
  </cols>
  <sheetData>
    <row r="1" ht="25" customHeight="1" s="524"/>
    <row r="2" ht="25" customHeight="1" s="524">
      <c r="B2" s="546" t="inlineStr">
        <is>
          <t>ŚREDNIE CENY ZAKUPU OWOCÓW płacone przez podmioty zajmujące się przetwórstwem</t>
        </is>
      </c>
    </row>
    <row r="3" ht="25" customHeight="1" s="524" thickBot="1">
      <c r="B3" s="547" t="inlineStr">
        <is>
          <t>(zł/100 kg)</t>
        </is>
      </c>
      <c r="C3" s="548" t="n"/>
      <c r="D3" s="548" t="n"/>
      <c r="E3" s="548" t="n"/>
      <c r="F3" s="548" t="n"/>
      <c r="G3" s="548" t="n"/>
      <c r="H3" s="548" t="n"/>
      <c r="I3" s="548" t="n"/>
      <c r="J3" s="548" t="n"/>
      <c r="K3" s="548" t="n"/>
      <c r="L3" s="548" t="n"/>
      <c r="M3" s="548" t="n"/>
      <c r="N3" s="548" t="n"/>
      <c r="O3" s="548" t="n"/>
      <c r="P3" s="548" t="n"/>
    </row>
    <row r="4" ht="25" customHeight="1" s="524" thickTop="1"/>
    <row r="5" ht="20" customHeight="1" s="524">
      <c r="B5" s="574" t="inlineStr">
        <is>
          <t>Towar</t>
        </is>
      </c>
      <c r="C5" s="581" t="inlineStr">
        <is>
          <t>Przeznaczenie</t>
        </is>
      </c>
      <c r="D5" s="576" t="inlineStr">
        <is>
          <t>23.08.2026</t>
        </is>
      </c>
      <c r="E5" s="576" t="inlineStr">
        <is>
          <t>16.08.2026</t>
        </is>
      </c>
      <c r="F5" s="576" t="inlineStr">
        <is>
          <t>24.08.2025</t>
        </is>
      </c>
      <c r="G5" s="578" t="inlineStr">
        <is>
          <t>Zmiana ceny (%)</t>
        </is>
      </c>
      <c r="H5" s="600" t="n"/>
    </row>
    <row r="6" ht="40" customHeight="1" s="524" thickBot="1">
      <c r="B6" s="601" t="n"/>
      <c r="C6" s="600" t="n"/>
      <c r="D6" s="602" t="n"/>
      <c r="E6" s="602" t="n"/>
      <c r="F6" s="602" t="n"/>
      <c r="G6" s="550" t="inlineStr">
        <is>
          <t>tygodniowa</t>
        </is>
      </c>
      <c r="H6" s="551" t="inlineStr">
        <is>
          <t>roczna</t>
        </is>
      </c>
    </row>
    <row r="7" ht="20" customHeight="1" s="524">
      <c r="B7" s="580" t="inlineStr">
        <is>
          <t>Jabłka</t>
        </is>
      </c>
      <c r="C7" s="571" t="inlineStr">
        <is>
          <t>ogółem</t>
        </is>
      </c>
      <c r="D7" s="553" t="n">
        <v>71.2213173722127</v>
      </c>
      <c r="E7" s="554" t="n">
        <v>70.643756734253</v>
      </c>
      <c r="F7" s="554" t="n">
        <v>75.0294793677282</v>
      </c>
      <c r="G7" s="555" t="n">
        <v>0.817567842735697</v>
      </c>
      <c r="H7" s="556" t="n">
        <v>-5.07555433891686</v>
      </c>
    </row>
    <row r="8" ht="20" customHeight="1" s="524">
      <c r="C8" s="571" t="inlineStr">
        <is>
          <t>na sok zagęszczony</t>
        </is>
      </c>
      <c r="D8" s="553" t="n">
        <v>71.06352067580799</v>
      </c>
      <c r="E8" s="554" t="n">
        <v>70.4952776364277</v>
      </c>
      <c r="F8" s="554" t="n">
        <v>74.99795034099969</v>
      </c>
      <c r="G8" s="555" t="n">
        <v>0.806072489438115</v>
      </c>
      <c r="H8" s="556" t="n">
        <v>-5.24604958842573</v>
      </c>
    </row>
    <row r="9" ht="30" customHeight="1" s="524">
      <c r="B9" s="601" t="n"/>
      <c r="C9" s="571" t="inlineStr">
        <is>
          <t>Inne (np. dżemy, przeciery, 
marmolada)</t>
        </is>
      </c>
      <c r="D9" s="553" t="n">
        <v>71.49374719838519</v>
      </c>
      <c r="E9" s="554" t="inlineStr">
        <is>
          <t>---</t>
        </is>
      </c>
      <c r="F9" s="554" t="inlineStr">
        <is>
          <t>nld</t>
        </is>
      </c>
      <c r="G9" s="555" t="inlineStr">
        <is>
          <t>-</t>
        </is>
      </c>
      <c r="H9" s="556" t="inlineStr">
        <is>
          <t>-</t>
        </is>
      </c>
    </row>
    <row r="10" ht="20" customHeight="1" s="524">
      <c r="B10" s="580" t="inlineStr">
        <is>
          <t>Maliny</t>
        </is>
      </c>
      <c r="C10" s="571" t="inlineStr">
        <is>
          <t>ogółem</t>
        </is>
      </c>
      <c r="D10" s="553" t="n">
        <v>1913.1842567889</v>
      </c>
      <c r="E10" s="554" t="n">
        <v>1826.12013392857</v>
      </c>
      <c r="F10" s="554" t="n">
        <v>982.244873342647</v>
      </c>
      <c r="G10" s="555" t="n">
        <v>4.76771058172517</v>
      </c>
      <c r="H10" s="556" t="n">
        <v>94.776710849933</v>
      </c>
    </row>
    <row r="11" ht="20" customHeight="1" s="524">
      <c r="B11" s="601" t="n"/>
      <c r="C11" s="571" t="inlineStr">
        <is>
          <t>na mrożonki</t>
        </is>
      </c>
      <c r="D11" s="553" t="n">
        <v>1913.1842567889</v>
      </c>
      <c r="E11" s="554" t="n">
        <v>1858.55188387894</v>
      </c>
      <c r="F11" s="554" t="inlineStr">
        <is>
          <t>nld</t>
        </is>
      </c>
      <c r="G11" s="555" t="n">
        <v>2.93951292852467</v>
      </c>
      <c r="H11" s="556" t="inlineStr">
        <is>
          <t>-</t>
        </is>
      </c>
    </row>
    <row r="12" ht="20" customHeight="1" s="524">
      <c r="B12" s="580" t="inlineStr">
        <is>
          <t>Wiśnie</t>
        </is>
      </c>
      <c r="C12" s="571" t="inlineStr">
        <is>
          <t>ogółem</t>
        </is>
      </c>
      <c r="D12" s="553" t="inlineStr">
        <is>
          <t>nld</t>
        </is>
      </c>
      <c r="E12" s="554" t="n">
        <v>354.686202870864</v>
      </c>
      <c r="F12" s="554" t="n">
        <v>474.285773406354</v>
      </c>
      <c r="G12" s="555" t="inlineStr">
        <is>
          <t>-</t>
        </is>
      </c>
      <c r="H12" s="556" t="inlineStr">
        <is>
          <t>-</t>
        </is>
      </c>
    </row>
    <row r="13" ht="20" customHeight="1" s="524">
      <c r="C13" s="571" t="inlineStr">
        <is>
          <t>na sok zagęszczony</t>
        </is>
      </c>
      <c r="D13" s="553" t="inlineStr">
        <is>
          <t>nld</t>
        </is>
      </c>
      <c r="E13" s="554" t="n">
        <v>329.037729113294</v>
      </c>
      <c r="F13" s="554" t="inlineStr">
        <is>
          <t>nld</t>
        </is>
      </c>
      <c r="G13" s="555" t="inlineStr">
        <is>
          <t>-</t>
        </is>
      </c>
      <c r="H13" s="556" t="inlineStr">
        <is>
          <t>-</t>
        </is>
      </c>
    </row>
    <row r="14" ht="20" customHeight="1" s="524">
      <c r="B14" s="601" t="n"/>
      <c r="C14" s="571" t="inlineStr">
        <is>
          <t>na mrożonki</t>
        </is>
      </c>
      <c r="D14" s="553" t="inlineStr">
        <is>
          <t>---</t>
        </is>
      </c>
      <c r="E14" s="554" t="n">
        <v>513.413651031045</v>
      </c>
      <c r="F14" s="554" t="inlineStr">
        <is>
          <t>nld</t>
        </is>
      </c>
      <c r="G14" s="555" t="inlineStr">
        <is>
          <t>-</t>
        </is>
      </c>
      <c r="H14" s="556" t="inlineStr">
        <is>
          <t>-</t>
        </is>
      </c>
    </row>
    <row r="15" ht="20" customHeight="1" s="524">
      <c r="B15" s="580" t="inlineStr">
        <is>
          <t>Aronia</t>
        </is>
      </c>
      <c r="C15" s="571" t="inlineStr">
        <is>
          <t>ogółem</t>
        </is>
      </c>
      <c r="D15" s="553" t="n">
        <v>495.244853958327</v>
      </c>
      <c r="E15" s="554" t="n">
        <v>400.745923922555</v>
      </c>
      <c r="F15" s="554" t="n">
        <v>322.673283411529</v>
      </c>
      <c r="G15" s="555" t="n">
        <v>23.5807588785444</v>
      </c>
      <c r="H15" s="556" t="n">
        <v>53.4818280343046</v>
      </c>
    </row>
    <row r="16" ht="20" customHeight="1" s="524">
      <c r="B16" s="601" t="n"/>
      <c r="C16" s="571" t="inlineStr">
        <is>
          <t>na sok zagęszczony</t>
        </is>
      </c>
      <c r="D16" s="553" t="n">
        <v>494.151928559819</v>
      </c>
      <c r="E16" s="554" t="n">
        <v>409.387201180225</v>
      </c>
      <c r="F16" s="554" t="n">
        <v>320.065429500033</v>
      </c>
      <c r="G16" s="555" t="n">
        <v>20.7052704958106</v>
      </c>
      <c r="H16" s="556" t="n">
        <v>54.3909097998254</v>
      </c>
    </row>
  </sheetData>
  <mergeCells count="10">
    <mergeCell ref="E5:E6"/>
    <mergeCell ref="B12:B14"/>
    <mergeCell ref="G5:H5"/>
    <mergeCell ref="B7:B9"/>
    <mergeCell ref="F5:F6"/>
    <mergeCell ref="B10:B11"/>
    <mergeCell ref="D5:D6"/>
    <mergeCell ref="B5:B6"/>
    <mergeCell ref="B15:B16"/>
    <mergeCell ref="C5:C6"/>
  </mergeCells>
  <conditionalFormatting sqref="G7:H7">
    <cfRule type="cellIs" priority="1" operator="equal" dxfId="25" stopIfTrue="1">
      <formula>"-"</formula>
    </cfRule>
    <cfRule type="cellIs" priority="2" operator="lessThan" dxfId="24">
      <formula>0</formula>
    </cfRule>
    <cfRule type="cellIs" priority="3" operator="greaterThan" dxfId="23">
      <formula>0</formula>
    </cfRule>
  </conditionalFormatting>
  <conditionalFormatting sqref="G8:H8">
    <cfRule type="cellIs" priority="4" operator="equal" dxfId="25" stopIfTrue="1">
      <formula>"-"</formula>
    </cfRule>
    <cfRule type="cellIs" priority="5" operator="lessThan" dxfId="24">
      <formula>0</formula>
    </cfRule>
    <cfRule type="cellIs" priority="6" operator="greaterThan" dxfId="23">
      <formula>0</formula>
    </cfRule>
  </conditionalFormatting>
  <conditionalFormatting sqref="G9:H9">
    <cfRule type="cellIs" priority="7" operator="equal" dxfId="25" stopIfTrue="1">
      <formula>"-"</formula>
    </cfRule>
    <cfRule type="cellIs" priority="8" operator="lessThan" dxfId="24">
      <formula>0</formula>
    </cfRule>
    <cfRule type="cellIs" priority="9" operator="greaterThan" dxfId="23">
      <formula>0</formula>
    </cfRule>
  </conditionalFormatting>
  <conditionalFormatting sqref="G10:H10">
    <cfRule type="cellIs" priority="10" operator="equal" dxfId="25" stopIfTrue="1">
      <formula>"-"</formula>
    </cfRule>
    <cfRule type="cellIs" priority="11" operator="lessThan" dxfId="24">
      <formula>0</formula>
    </cfRule>
    <cfRule type="cellIs" priority="12" operator="greaterThan" dxfId="23">
      <formula>0</formula>
    </cfRule>
  </conditionalFormatting>
  <conditionalFormatting sqref="G11:H11">
    <cfRule type="cellIs" priority="13" operator="equal" dxfId="25" stopIfTrue="1">
      <formula>"-"</formula>
    </cfRule>
    <cfRule type="cellIs" priority="14" operator="lessThan" dxfId="24">
      <formula>0</formula>
    </cfRule>
    <cfRule type="cellIs" priority="15" operator="greaterThan" dxfId="23">
      <formula>0</formula>
    </cfRule>
  </conditionalFormatting>
  <conditionalFormatting sqref="G12:H12">
    <cfRule type="cellIs" priority="16" operator="equal" dxfId="25" stopIfTrue="1">
      <formula>"-"</formula>
    </cfRule>
    <cfRule type="cellIs" priority="17" operator="lessThan" dxfId="24">
      <formula>0</formula>
    </cfRule>
    <cfRule type="cellIs" priority="18" operator="greaterThan" dxfId="23">
      <formula>0</formula>
    </cfRule>
  </conditionalFormatting>
  <conditionalFormatting sqref="G13:H13">
    <cfRule type="cellIs" priority="19" operator="equal" dxfId="25" stopIfTrue="1">
      <formula>"-"</formula>
    </cfRule>
    <cfRule type="cellIs" priority="20" operator="lessThan" dxfId="24">
      <formula>0</formula>
    </cfRule>
    <cfRule type="cellIs" priority="21" operator="greaterThan" dxfId="23">
      <formula>0</formula>
    </cfRule>
  </conditionalFormatting>
  <conditionalFormatting sqref="G14:H14">
    <cfRule type="cellIs" priority="22" operator="equal" dxfId="25" stopIfTrue="1">
      <formula>"-"</formula>
    </cfRule>
    <cfRule type="cellIs" priority="23" operator="lessThan" dxfId="24">
      <formula>0</formula>
    </cfRule>
    <cfRule type="cellIs" priority="24" operator="greaterThan" dxfId="23">
      <formula>0</formula>
    </cfRule>
  </conditionalFormatting>
  <conditionalFormatting sqref="G15:H15">
    <cfRule type="cellIs" priority="25" operator="equal" dxfId="25" stopIfTrue="1">
      <formula>"-"</formula>
    </cfRule>
    <cfRule type="cellIs" priority="26" operator="lessThan" dxfId="24">
      <formula>0</formula>
    </cfRule>
    <cfRule type="cellIs" priority="27" operator="greaterThan" dxfId="23">
      <formula>0</formula>
    </cfRule>
  </conditionalFormatting>
  <conditionalFormatting sqref="G16:H16">
    <cfRule type="cellIs" priority="28" operator="equal" dxfId="25" stopIfTrue="1">
      <formula>"-"</formula>
    </cfRule>
    <cfRule type="cellIs" priority="29" operator="lessThan" dxfId="24">
      <formula>0</formula>
    </cfRule>
    <cfRule type="cellIs" priority="30" operator="greaterThan" dxfId="23">
      <formula>0</formula>
    </cfRule>
  </conditionalFormatting>
  <pageMargins left="0.75" right="0.75" top="0.75" bottom="0.5" header="0.5" footer="0.75"/>
  <pageSetup orientation="landscape"/>
</worksheet>
</file>

<file path=xl/worksheets/sheet10.xml><?xml version="1.0" encoding="utf-8"?>
<worksheet xmlns="http://schemas.openxmlformats.org/spreadsheetml/2006/main">
  <sheetPr>
    <tabColor rgb="FFBDD7EE"/>
    <outlinePr summaryBelow="1" summaryRight="1"/>
    <pageSetUpPr fitToPage="1"/>
  </sheetPr>
  <dimension ref="B2:P11"/>
  <sheetViews>
    <sheetView showGridLines="0" workbookViewId="0">
      <selection activeCell="C13" sqref="C13"/>
    </sheetView>
  </sheetViews>
  <sheetFormatPr baseColWidth="8" defaultColWidth="9.1796875" defaultRowHeight="20" customHeight="1"/>
  <cols>
    <col width="9.1796875" customWidth="1" style="545" min="1" max="1"/>
    <col width="30.7265625" customWidth="1" style="545" min="2" max="2"/>
    <col width="10.7265625" customWidth="1" style="545" min="3" max="7"/>
    <col width="9.1796875" customWidth="1" style="545" min="8" max="8"/>
    <col width="9.1796875" customWidth="1" style="545" min="9" max="16384"/>
  </cols>
  <sheetData>
    <row r="1" ht="25" customHeight="1" s="524"/>
    <row r="2" ht="25" customHeight="1" s="524">
      <c r="B2" s="546" t="inlineStr">
        <is>
          <t xml:space="preserve">ŚREDNIE CENY ZAKUPU WARZYW płacone przez podmioty zajmujące się przetwórstwem </t>
        </is>
      </c>
    </row>
    <row r="3" ht="25" customHeight="1" s="524" thickBot="1">
      <c r="B3" s="547" t="inlineStr">
        <is>
          <t>(zł/100 kg)</t>
        </is>
      </c>
      <c r="C3" s="548" t="n"/>
      <c r="D3" s="548" t="n"/>
      <c r="E3" s="548" t="n"/>
      <c r="F3" s="548" t="n"/>
      <c r="G3" s="548" t="n"/>
      <c r="H3" s="548" t="n"/>
      <c r="I3" s="548" t="n"/>
      <c r="J3" s="548" t="n"/>
      <c r="K3" s="548" t="n"/>
      <c r="L3" s="548" t="n"/>
      <c r="M3" s="548" t="n"/>
      <c r="N3" s="548" t="n"/>
      <c r="O3" s="548" t="n"/>
      <c r="P3" s="548" t="n"/>
    </row>
    <row r="4" ht="25" customHeight="1" s="524" thickTop="1"/>
    <row r="5" ht="20" customHeight="1" s="524">
      <c r="B5" s="574" t="inlineStr">
        <is>
          <t>Towar</t>
        </is>
      </c>
      <c r="C5" s="576" t="inlineStr">
        <is>
          <t>23.08.2026</t>
        </is>
      </c>
      <c r="D5" s="576" t="inlineStr">
        <is>
          <t>16.08.2026</t>
        </is>
      </c>
      <c r="E5" s="576" t="inlineStr">
        <is>
          <t>24.08.2025</t>
        </is>
      </c>
      <c r="F5" s="578" t="inlineStr">
        <is>
          <t>Zmiana ceny (%)</t>
        </is>
      </c>
      <c r="G5" s="600" t="n"/>
    </row>
    <row r="6" ht="40" customHeight="1" s="524" thickBot="1">
      <c r="B6" s="601" t="n"/>
      <c r="C6" s="602" t="n"/>
      <c r="D6" s="602" t="n"/>
      <c r="E6" s="602" t="n"/>
      <c r="F6" s="550" t="inlineStr">
        <is>
          <t>tygodniowa</t>
        </is>
      </c>
      <c r="G6" s="551" t="inlineStr">
        <is>
          <t>roczna</t>
        </is>
      </c>
    </row>
    <row r="7" ht="20" customHeight="1" s="524">
      <c r="B7" s="552" t="inlineStr">
        <is>
          <t>Cebula biała obierana</t>
        </is>
      </c>
      <c r="C7" s="553" t="n">
        <v>126.983386391642</v>
      </c>
      <c r="D7" s="554" t="n">
        <v>111.840449511777</v>
      </c>
      <c r="E7" s="554" t="inlineStr">
        <is>
          <t>nld</t>
        </is>
      </c>
      <c r="F7" s="555" t="n">
        <v>13.5397675402505</v>
      </c>
      <c r="G7" s="556" t="inlineStr">
        <is>
          <t>-</t>
        </is>
      </c>
    </row>
    <row r="8" ht="20" customHeight="1" s="524">
      <c r="B8" s="552" t="inlineStr">
        <is>
          <t>Ogórki / ogółem</t>
        </is>
      </c>
      <c r="C8" s="553" t="n">
        <v>305.434842800658</v>
      </c>
      <c r="D8" s="554" t="n">
        <v>297.463949120362</v>
      </c>
      <c r="E8" s="554" t="n">
        <v>363.688401618649</v>
      </c>
      <c r="F8" s="555" t="n">
        <v>2.67961670779503</v>
      </c>
      <c r="G8" s="556" t="n">
        <v>-16.0174365084849</v>
      </c>
    </row>
    <row r="9" ht="20" customHeight="1" s="524">
      <c r="B9" s="552" t="inlineStr">
        <is>
          <t>Ogórki / 6-9 cm</t>
        </is>
      </c>
      <c r="C9" s="553" t="n">
        <v>331.108642760279</v>
      </c>
      <c r="D9" s="554" t="n">
        <v>329.54628672814</v>
      </c>
      <c r="E9" s="554" t="inlineStr">
        <is>
          <t>nld</t>
        </is>
      </c>
      <c r="F9" s="555" t="n">
        <v>0.474093047034623</v>
      </c>
      <c r="G9" s="556" t="inlineStr">
        <is>
          <t>-</t>
        </is>
      </c>
    </row>
    <row r="10" ht="20" customHeight="1" s="524">
      <c r="B10" s="552" t="inlineStr">
        <is>
          <t>Ogórki / 9-12 cm</t>
        </is>
      </c>
      <c r="C10" s="553" t="n">
        <v>131.663607391583</v>
      </c>
      <c r="D10" s="554" t="n">
        <v>139.54278236786</v>
      </c>
      <c r="E10" s="554" t="n">
        <v>185.478926731054</v>
      </c>
      <c r="F10" s="555" t="n">
        <v>-5.64642243946795</v>
      </c>
      <c r="G10" s="556" t="n">
        <v>-29.0142499139555</v>
      </c>
    </row>
    <row r="11" ht="20" customHeight="1" s="524">
      <c r="B11" s="552" t="inlineStr">
        <is>
          <t>Ogórki / powyżej 12 cm</t>
        </is>
      </c>
      <c r="C11" s="553" t="n">
        <v>133.437967887497</v>
      </c>
      <c r="D11" s="554" t="inlineStr">
        <is>
          <t>nld</t>
        </is>
      </c>
      <c r="E11" s="554" t="inlineStr">
        <is>
          <t>nld</t>
        </is>
      </c>
      <c r="F11" s="555" t="inlineStr">
        <is>
          <t>-</t>
        </is>
      </c>
      <c r="G11" s="556" t="inlineStr">
        <is>
          <t>-</t>
        </is>
      </c>
    </row>
  </sheetData>
  <mergeCells count="5">
    <mergeCell ref="E5:E6"/>
    <mergeCell ref="F5:G5"/>
    <mergeCell ref="C5:C6"/>
    <mergeCell ref="B5:B6"/>
    <mergeCell ref="D5:D6"/>
  </mergeCells>
  <conditionalFormatting sqref="F7:G7">
    <cfRule type="cellIs" priority="1" operator="equal" dxfId="25" stopIfTrue="1">
      <formula>"-"</formula>
    </cfRule>
    <cfRule type="cellIs" priority="2" operator="lessThan" dxfId="24">
      <formula>0</formula>
    </cfRule>
    <cfRule type="cellIs" priority="3" operator="greaterThan" dxfId="23">
      <formula>0</formula>
    </cfRule>
  </conditionalFormatting>
  <conditionalFormatting sqref="F8:G8">
    <cfRule type="cellIs" priority="4" operator="equal" dxfId="25" stopIfTrue="1">
      <formula>"-"</formula>
    </cfRule>
    <cfRule type="cellIs" priority="5" operator="lessThan" dxfId="24">
      <formula>0</formula>
    </cfRule>
    <cfRule type="cellIs" priority="6" operator="greaterThan" dxfId="23">
      <formula>0</formula>
    </cfRule>
  </conditionalFormatting>
  <conditionalFormatting sqref="F9:G9">
    <cfRule type="cellIs" priority="7" operator="equal" dxfId="25" stopIfTrue="1">
      <formula>"-"</formula>
    </cfRule>
    <cfRule type="cellIs" priority="8" operator="lessThan" dxfId="24">
      <formula>0</formula>
    </cfRule>
    <cfRule type="cellIs" priority="9" operator="greaterThan" dxfId="23">
      <formula>0</formula>
    </cfRule>
  </conditionalFormatting>
  <conditionalFormatting sqref="F10:G10">
    <cfRule type="cellIs" priority="10" operator="equal" dxfId="25" stopIfTrue="1">
      <formula>"-"</formula>
    </cfRule>
    <cfRule type="cellIs" priority="11" operator="lessThan" dxfId="24">
      <formula>0</formula>
    </cfRule>
    <cfRule type="cellIs" priority="12" operator="greaterThan" dxfId="23">
      <formula>0</formula>
    </cfRule>
  </conditionalFormatting>
  <conditionalFormatting sqref="F11:G11">
    <cfRule type="cellIs" priority="13" operator="equal" dxfId="25" stopIfTrue="1">
      <formula>"-"</formula>
    </cfRule>
    <cfRule type="cellIs" priority="14" operator="lessThan" dxfId="24">
      <formula>0</formula>
    </cfRule>
    <cfRule type="cellIs" priority="15" operator="greaterThan" dxfId="23">
      <formula>0</formula>
    </cfRule>
  </conditionalFormatting>
  <pageMargins left="0.75" right="0.75" top="0.75" bottom="0.5" header="0.5" footer="0.75"/>
  <pageSetup orientation="landscape"/>
</worksheet>
</file>

<file path=xl/worksheets/sheet11.xml><?xml version="1.0" encoding="utf-8"?>
<worksheet xmlns="http://schemas.openxmlformats.org/spreadsheetml/2006/main">
  <sheetPr>
    <tabColor rgb="FFFFE699"/>
    <outlinePr summaryBelow="1" summaryRight="1"/>
    <pageSetUpPr fitToPage="1"/>
  </sheetPr>
  <dimension ref="B2:P39"/>
  <sheetViews>
    <sheetView showGridLines="0" workbookViewId="0">
      <selection activeCell="J7" sqref="J7"/>
    </sheetView>
  </sheetViews>
  <sheetFormatPr baseColWidth="8" defaultColWidth="9.1796875" defaultRowHeight="20" customHeight="1"/>
  <cols>
    <col width="9.1796875" customWidth="1" style="545" min="1" max="1"/>
    <col width="30.7265625" customWidth="1" style="545" min="2" max="2"/>
    <col width="10.7265625" customWidth="1" style="545" min="3" max="7"/>
    <col width="9.1796875" customWidth="1" style="545" min="8" max="8"/>
    <col width="9.1796875" customWidth="1" style="545" min="9" max="16384"/>
  </cols>
  <sheetData>
    <row r="1" ht="25" customHeight="1" s="524"/>
    <row r="2" ht="25" customHeight="1" s="524">
      <c r="B2" s="546" t="inlineStr">
        <is>
          <t>ŚREDNIE CENY ZAKUPU OWOCÓW PŁACONE PRZEZ PODMIOTY HANDLU DETALICZNEGO - luz</t>
        </is>
      </c>
    </row>
    <row r="3" ht="25" customHeight="1" s="524" thickBot="1">
      <c r="B3" s="547" t="inlineStr">
        <is>
          <t>(zł/100 kg)</t>
        </is>
      </c>
      <c r="C3" s="548" t="n"/>
      <c r="D3" s="548" t="n"/>
      <c r="E3" s="548" t="n"/>
      <c r="F3" s="548" t="n"/>
      <c r="G3" s="548" t="n"/>
      <c r="H3" s="548" t="n"/>
      <c r="I3" s="548" t="n"/>
      <c r="J3" s="548" t="n"/>
      <c r="K3" s="548" t="n"/>
      <c r="L3" s="548" t="n"/>
      <c r="M3" s="548" t="n"/>
      <c r="N3" s="548" t="n"/>
      <c r="O3" s="548" t="n"/>
      <c r="P3" s="548" t="n"/>
    </row>
    <row r="4" ht="25" customHeight="1" s="524" thickTop="1"/>
    <row r="5" ht="20" customHeight="1" s="524">
      <c r="B5" s="549" t="inlineStr">
        <is>
          <t>OWOCE krajowe - luzem</t>
        </is>
      </c>
    </row>
    <row r="6" ht="20" customHeight="1" s="524">
      <c r="B6" s="583" t="inlineStr">
        <is>
          <t>TOWAR</t>
        </is>
      </c>
      <c r="C6" s="585" t="inlineStr">
        <is>
          <t>23.08.2026</t>
        </is>
      </c>
      <c r="D6" s="585" t="inlineStr">
        <is>
          <t>16.08.2026</t>
        </is>
      </c>
      <c r="E6" s="585" t="inlineStr">
        <is>
          <t>24.08.2025</t>
        </is>
      </c>
      <c r="F6" s="587" t="inlineStr">
        <is>
          <t>Zmiana ceny (%)</t>
        </is>
      </c>
      <c r="G6" s="600" t="n"/>
    </row>
    <row r="7" ht="40" customHeight="1" s="524" thickBot="1">
      <c r="B7" s="601" t="n"/>
      <c r="C7" s="602" t="n"/>
      <c r="D7" s="602" t="n"/>
      <c r="E7" s="602" t="n"/>
      <c r="F7" s="541" t="inlineStr">
        <is>
          <t>tygodniowa</t>
        </is>
      </c>
      <c r="G7" s="542" t="inlineStr">
        <is>
          <t>roczna</t>
        </is>
      </c>
    </row>
    <row r="8" ht="20" customHeight="1" s="524">
      <c r="B8" s="563" t="inlineStr">
        <is>
          <t>Jabłka (razem)</t>
        </is>
      </c>
      <c r="C8" s="564" t="n">
        <v>294.219460607745</v>
      </c>
      <c r="D8" s="565" t="n">
        <v>297.548431019411</v>
      </c>
      <c r="E8" s="565" t="n">
        <v>497.881193373153</v>
      </c>
      <c r="F8" s="543" t="n">
        <v>-1.11879951786679</v>
      </c>
      <c r="G8" s="544" t="n">
        <v>-40.9056890431222</v>
      </c>
    </row>
    <row r="9" ht="20" customHeight="1" s="524">
      <c r="B9" s="563" t="inlineStr">
        <is>
          <t>Gala</t>
        </is>
      </c>
      <c r="C9" s="564" t="n">
        <v>381.764990436334</v>
      </c>
      <c r="D9" s="565" t="n">
        <v>377.030614155518</v>
      </c>
      <c r="E9" s="565" t="n">
        <v>474.790884500266</v>
      </c>
      <c r="F9" s="543" t="n">
        <v>1.25570075825818</v>
      </c>
      <c r="G9" s="544" t="n">
        <v>-19.5930244452449</v>
      </c>
    </row>
    <row r="10" ht="20" customHeight="1" s="524">
      <c r="B10" s="563" t="inlineStr">
        <is>
          <t>Golden delicious</t>
        </is>
      </c>
      <c r="C10" s="564" t="n">
        <v>358.809466311447</v>
      </c>
      <c r="D10" s="565" t="n">
        <v>353.503947657481</v>
      </c>
      <c r="E10" s="565" t="n">
        <v>514.9374138021331</v>
      </c>
      <c r="F10" s="543" t="n">
        <v>1.50083717285857</v>
      </c>
      <c r="G10" s="544" t="n">
        <v>-30.3197909699136</v>
      </c>
    </row>
    <row r="11" ht="20" customHeight="1" s="524">
      <c r="B11" s="563" t="inlineStr">
        <is>
          <t>Idared</t>
        </is>
      </c>
      <c r="C11" s="564" t="n">
        <v>343.901430970993</v>
      </c>
      <c r="D11" s="565" t="n">
        <v>343.320048729165</v>
      </c>
      <c r="E11" s="565" t="n">
        <v>476.253643032526</v>
      </c>
      <c r="F11" s="543" t="n">
        <v>0.169341185864179</v>
      </c>
      <c r="G11" s="544" t="n">
        <v>-27.7902781422911</v>
      </c>
    </row>
    <row r="12" ht="20" customHeight="1" s="524">
      <c r="B12" s="563" t="inlineStr">
        <is>
          <t>Jonagold/Jonagored</t>
        </is>
      </c>
      <c r="C12" s="564" t="n">
        <v>274.231382107821</v>
      </c>
      <c r="D12" s="565" t="n">
        <v>275.82317178799</v>
      </c>
      <c r="E12" s="565" t="n">
        <v>504.29269480566</v>
      </c>
      <c r="F12" s="543" t="n">
        <v>-0.57710513219429</v>
      </c>
      <c r="G12" s="544" t="n">
        <v>-45.6205919830939</v>
      </c>
    </row>
    <row r="13" ht="20" customHeight="1" s="524">
      <c r="B13" s="563" t="inlineStr">
        <is>
          <t>Ligol</t>
        </is>
      </c>
      <c r="C13" s="564" t="n">
        <v>345.01829539801</v>
      </c>
      <c r="D13" s="565" t="n">
        <v>334.666029034953</v>
      </c>
      <c r="E13" s="565" t="n">
        <v>506.040239303425</v>
      </c>
      <c r="F13" s="543" t="n">
        <v>3.09331257579654</v>
      </c>
      <c r="G13" s="544" t="n">
        <v>-31.8199880956236</v>
      </c>
    </row>
    <row r="14" ht="20" customHeight="1" s="524">
      <c r="B14" s="563" t="inlineStr">
        <is>
          <t>Cortland</t>
        </is>
      </c>
      <c r="C14" s="564" t="inlineStr">
        <is>
          <t>---</t>
        </is>
      </c>
      <c r="D14" s="565" t="inlineStr">
        <is>
          <t>---</t>
        </is>
      </c>
      <c r="E14" s="565" t="inlineStr">
        <is>
          <t>---</t>
        </is>
      </c>
      <c r="F14" s="543" t="inlineStr">
        <is>
          <t>-</t>
        </is>
      </c>
      <c r="G14" s="544" t="inlineStr">
        <is>
          <t>-</t>
        </is>
      </c>
    </row>
    <row r="15" ht="20" customHeight="1" s="524">
      <c r="B15" s="563" t="inlineStr">
        <is>
          <t>Boskoop</t>
        </is>
      </c>
      <c r="C15" s="564" t="inlineStr">
        <is>
          <t>---</t>
        </is>
      </c>
      <c r="D15" s="565" t="inlineStr">
        <is>
          <t>---</t>
        </is>
      </c>
      <c r="E15" s="565" t="inlineStr">
        <is>
          <t>---</t>
        </is>
      </c>
      <c r="F15" s="543" t="inlineStr">
        <is>
          <t>-</t>
        </is>
      </c>
      <c r="G15" s="544" t="inlineStr">
        <is>
          <t>-</t>
        </is>
      </c>
    </row>
    <row r="16" ht="20" customHeight="1" s="524">
      <c r="B16" s="563" t="inlineStr">
        <is>
          <t>Granny Smith</t>
        </is>
      </c>
      <c r="C16" s="564" t="inlineStr">
        <is>
          <t>---</t>
        </is>
      </c>
      <c r="D16" s="565" t="inlineStr">
        <is>
          <t>---</t>
        </is>
      </c>
      <c r="E16" s="565" t="inlineStr">
        <is>
          <t>---</t>
        </is>
      </c>
      <c r="F16" s="543" t="inlineStr">
        <is>
          <t>-</t>
        </is>
      </c>
      <c r="G16" s="544" t="inlineStr">
        <is>
          <t>-</t>
        </is>
      </c>
    </row>
    <row r="17" ht="20" customHeight="1" s="524">
      <c r="B17" s="563" t="inlineStr">
        <is>
          <t>Elstar</t>
        </is>
      </c>
      <c r="C17" s="564" t="inlineStr">
        <is>
          <t>---</t>
        </is>
      </c>
      <c r="D17" s="565" t="inlineStr">
        <is>
          <t>---</t>
        </is>
      </c>
      <c r="E17" s="565" t="inlineStr">
        <is>
          <t>---</t>
        </is>
      </c>
      <c r="F17" s="543" t="inlineStr">
        <is>
          <t>-</t>
        </is>
      </c>
      <c r="G17" s="544" t="inlineStr">
        <is>
          <t>-</t>
        </is>
      </c>
    </row>
    <row r="18" ht="20" customHeight="1" s="524">
      <c r="B18" s="563" t="inlineStr">
        <is>
          <t>Lobo</t>
        </is>
      </c>
      <c r="C18" s="564" t="inlineStr">
        <is>
          <t>---</t>
        </is>
      </c>
      <c r="D18" s="565" t="inlineStr">
        <is>
          <t>---</t>
        </is>
      </c>
      <c r="E18" s="565" t="inlineStr">
        <is>
          <t>---</t>
        </is>
      </c>
      <c r="F18" s="543" t="inlineStr">
        <is>
          <t>-</t>
        </is>
      </c>
      <c r="G18" s="544" t="inlineStr">
        <is>
          <t>-</t>
        </is>
      </c>
    </row>
    <row r="19" ht="20" customHeight="1" s="524">
      <c r="B19" s="563" t="inlineStr">
        <is>
          <t>Red Delicious</t>
        </is>
      </c>
      <c r="C19" s="564" t="inlineStr">
        <is>
          <t>---</t>
        </is>
      </c>
      <c r="D19" s="565" t="inlineStr">
        <is>
          <t>---</t>
        </is>
      </c>
      <c r="E19" s="565" t="inlineStr">
        <is>
          <t>---</t>
        </is>
      </c>
      <c r="F19" s="543" t="inlineStr">
        <is>
          <t>-</t>
        </is>
      </c>
      <c r="G19" s="544" t="inlineStr">
        <is>
          <t>-</t>
        </is>
      </c>
    </row>
    <row r="20" ht="20" customHeight="1" s="524">
      <c r="B20" s="566" t="inlineStr">
        <is>
          <t>Szampion</t>
        </is>
      </c>
      <c r="C20" s="567" t="n">
        <v>324.71916637454</v>
      </c>
      <c r="D20" s="568" t="n">
        <v>309.505680487793</v>
      </c>
      <c r="E20" s="568" t="n">
        <v>503.209171175267</v>
      </c>
      <c r="F20" s="569" t="n">
        <v>4.91541410896531</v>
      </c>
      <c r="G20" s="570" t="n">
        <v>-35.4703401736213</v>
      </c>
    </row>
    <row r="21" ht="20" customHeight="1" s="524">
      <c r="B21" s="572" t="n"/>
      <c r="C21" s="572" t="n"/>
      <c r="D21" s="572" t="n"/>
      <c r="E21" s="572" t="n"/>
      <c r="F21" s="572" t="n"/>
      <c r="G21" s="572" t="n"/>
    </row>
    <row r="22" ht="20" customHeight="1" s="524">
      <c r="B22" s="573" t="inlineStr">
        <is>
          <t>OWOCE z importu - luzem</t>
        </is>
      </c>
      <c r="C22" s="572" t="n"/>
      <c r="D22" s="572" t="n"/>
      <c r="E22" s="572" t="n"/>
      <c r="F22" s="572" t="n"/>
      <c r="G22" s="572" t="n"/>
    </row>
    <row r="23" ht="20" customHeight="1" s="524">
      <c r="B23" s="583" t="inlineStr">
        <is>
          <t>TOWAR</t>
        </is>
      </c>
      <c r="C23" s="585" t="inlineStr">
        <is>
          <t>23.08.2026</t>
        </is>
      </c>
      <c r="D23" s="585" t="inlineStr">
        <is>
          <t>16.08.2026</t>
        </is>
      </c>
      <c r="E23" s="585" t="inlineStr">
        <is>
          <t>24.08.2025</t>
        </is>
      </c>
      <c r="F23" s="587" t="inlineStr">
        <is>
          <t>Zmiana ceny (%)</t>
        </is>
      </c>
      <c r="G23" s="600" t="n"/>
    </row>
    <row r="24" ht="40" customHeight="1" s="524" thickBot="1">
      <c r="B24" s="601" t="n"/>
      <c r="C24" s="602" t="n"/>
      <c r="D24" s="602" t="n"/>
      <c r="E24" s="602" t="n"/>
      <c r="F24" s="541" t="inlineStr">
        <is>
          <t>tygodniowa</t>
        </is>
      </c>
      <c r="G24" s="542" t="inlineStr">
        <is>
          <t>roczna</t>
        </is>
      </c>
    </row>
    <row r="25" ht="20" customHeight="1" s="524">
      <c r="B25" s="563" t="inlineStr">
        <is>
          <t>Jabłka-Granny Smith</t>
        </is>
      </c>
      <c r="C25" s="564" t="inlineStr">
        <is>
          <t>nld</t>
        </is>
      </c>
      <c r="D25" s="565" t="inlineStr">
        <is>
          <t>nld</t>
        </is>
      </c>
      <c r="E25" s="565" t="inlineStr">
        <is>
          <t>nld</t>
        </is>
      </c>
      <c r="F25" s="543" t="inlineStr">
        <is>
          <t>-</t>
        </is>
      </c>
      <c r="G25" s="544" t="inlineStr">
        <is>
          <t>-</t>
        </is>
      </c>
    </row>
    <row r="26" ht="20" customHeight="1" s="524">
      <c r="B26" s="563" t="inlineStr">
        <is>
          <t>Pomarańcze (razem)</t>
        </is>
      </c>
      <c r="C26" s="564" t="n">
        <v>1527.48939859052</v>
      </c>
      <c r="D26" s="565" t="n">
        <v>508.08633619045</v>
      </c>
      <c r="E26" s="565" t="n">
        <v>522.145929092165</v>
      </c>
      <c r="F26" s="543" t="n">
        <v>200.635795491646</v>
      </c>
      <c r="G26" s="544" t="n">
        <v>192.540708159174</v>
      </c>
    </row>
    <row r="27" ht="20" customHeight="1" s="524">
      <c r="B27" s="563" t="inlineStr">
        <is>
          <t>Pomarańcze nieokreślone</t>
        </is>
      </c>
      <c r="C27" s="564" t="n">
        <v>1696.01712531585</v>
      </c>
      <c r="D27" s="565" t="n">
        <v>519.3868817525801</v>
      </c>
      <c r="E27" s="565" t="n">
        <v>512.362659885961</v>
      </c>
      <c r="F27" s="543" t="n">
        <v>226.54215670464</v>
      </c>
      <c r="G27" s="544" t="n">
        <v>231.018877467251</v>
      </c>
    </row>
    <row r="28" ht="20" customHeight="1" s="524">
      <c r="B28" s="563" t="inlineStr">
        <is>
          <t>Navel</t>
        </is>
      </c>
      <c r="C28" s="564" t="inlineStr">
        <is>
          <t>nld</t>
        </is>
      </c>
      <c r="D28" s="565" t="inlineStr">
        <is>
          <t>nld</t>
        </is>
      </c>
      <c r="E28" s="565" t="inlineStr">
        <is>
          <t>nld</t>
        </is>
      </c>
      <c r="F28" s="543" t="inlineStr">
        <is>
          <t>-</t>
        </is>
      </c>
      <c r="G28" s="544" t="inlineStr">
        <is>
          <t>-</t>
        </is>
      </c>
    </row>
    <row r="29" ht="20" customHeight="1" s="524">
      <c r="B29" s="563" t="inlineStr">
        <is>
          <t>Salustiana Novelinas</t>
        </is>
      </c>
      <c r="C29" s="564" t="inlineStr">
        <is>
          <t>nld</t>
        </is>
      </c>
      <c r="D29" s="565" t="inlineStr">
        <is>
          <t>nld</t>
        </is>
      </c>
      <c r="E29" s="565" t="inlineStr">
        <is>
          <t>nld</t>
        </is>
      </c>
      <c r="F29" s="543" t="inlineStr">
        <is>
          <t>-</t>
        </is>
      </c>
      <c r="G29" s="544" t="inlineStr">
        <is>
          <t>-</t>
        </is>
      </c>
    </row>
    <row r="30" ht="20" customHeight="1" s="524">
      <c r="B30" s="563" t="inlineStr">
        <is>
          <t>Tarroco</t>
        </is>
      </c>
      <c r="C30" s="564" t="inlineStr">
        <is>
          <t>---</t>
        </is>
      </c>
      <c r="D30" s="565" t="inlineStr">
        <is>
          <t>---</t>
        </is>
      </c>
      <c r="E30" s="565" t="inlineStr">
        <is>
          <t>---</t>
        </is>
      </c>
      <c r="F30" s="543" t="inlineStr">
        <is>
          <t>-</t>
        </is>
      </c>
      <c r="G30" s="544" t="inlineStr">
        <is>
          <t>-</t>
        </is>
      </c>
    </row>
    <row r="31" ht="20" customHeight="1" s="524">
      <c r="B31" s="563" t="inlineStr">
        <is>
          <t>Lanelate</t>
        </is>
      </c>
      <c r="C31" s="564" t="inlineStr">
        <is>
          <t>nld</t>
        </is>
      </c>
      <c r="D31" s="565" t="inlineStr">
        <is>
          <t>nld</t>
        </is>
      </c>
      <c r="E31" s="565" t="inlineStr">
        <is>
          <t>nld</t>
        </is>
      </c>
      <c r="F31" s="543" t="inlineStr">
        <is>
          <t>-</t>
        </is>
      </c>
      <c r="G31" s="544" t="inlineStr">
        <is>
          <t>-</t>
        </is>
      </c>
    </row>
    <row r="32" ht="20" customHeight="1" s="524">
      <c r="B32" s="563" t="inlineStr">
        <is>
          <t>Navelate</t>
        </is>
      </c>
      <c r="C32" s="564" t="inlineStr">
        <is>
          <t>---</t>
        </is>
      </c>
      <c r="D32" s="565" t="inlineStr">
        <is>
          <t>---</t>
        </is>
      </c>
      <c r="E32" s="565" t="inlineStr">
        <is>
          <t>---</t>
        </is>
      </c>
      <c r="F32" s="543" t="inlineStr">
        <is>
          <t>-</t>
        </is>
      </c>
      <c r="G32" s="544" t="inlineStr">
        <is>
          <t>-</t>
        </is>
      </c>
    </row>
    <row r="33" ht="20" customHeight="1" s="524">
      <c r="B33" s="563" t="inlineStr">
        <is>
          <t>Valencia Late</t>
        </is>
      </c>
      <c r="C33" s="564" t="inlineStr">
        <is>
          <t>nld</t>
        </is>
      </c>
      <c r="D33" s="565" t="inlineStr">
        <is>
          <t>nld</t>
        </is>
      </c>
      <c r="E33" s="565" t="inlineStr">
        <is>
          <t>nld</t>
        </is>
      </c>
      <c r="F33" s="543" t="inlineStr">
        <is>
          <t>-</t>
        </is>
      </c>
      <c r="G33" s="544" t="inlineStr">
        <is>
          <t>-</t>
        </is>
      </c>
    </row>
    <row r="34" ht="20" customHeight="1" s="524">
      <c r="B34" s="563" t="inlineStr">
        <is>
          <t>Brzoskwinie (razem)</t>
        </is>
      </c>
      <c r="C34" s="564" t="n">
        <v>635.580059430227</v>
      </c>
      <c r="D34" s="565" t="n">
        <v>640.5435638274949</v>
      </c>
      <c r="E34" s="565" t="n">
        <v>785.904557455846</v>
      </c>
      <c r="F34" s="543" t="n">
        <v>-0.774889434156445</v>
      </c>
      <c r="G34" s="544" t="n">
        <v>-19.1275768284452</v>
      </c>
    </row>
    <row r="35" ht="20" customHeight="1" s="524">
      <c r="B35" s="563" t="inlineStr">
        <is>
          <t>Brzoskwinie biały miąższ</t>
        </is>
      </c>
      <c r="C35" s="564" t="n">
        <v>857.1913004028841</v>
      </c>
      <c r="D35" s="565" t="n">
        <v>860.851587596642</v>
      </c>
      <c r="E35" s="565" t="inlineStr">
        <is>
          <t>nld</t>
        </is>
      </c>
      <c r="F35" s="543" t="n">
        <v>-0.42519375540407</v>
      </c>
      <c r="G35" s="544" t="inlineStr">
        <is>
          <t>-</t>
        </is>
      </c>
    </row>
    <row r="36" ht="20" customHeight="1" s="524">
      <c r="B36" s="563" t="inlineStr">
        <is>
          <t>Brzoskwinie zółty miąższ</t>
        </is>
      </c>
      <c r="C36" s="564" t="n">
        <v>631.672787560594</v>
      </c>
      <c r="D36" s="565" t="n">
        <v>663.281178573135</v>
      </c>
      <c r="E36" s="565" t="n">
        <v>777.943088305846</v>
      </c>
      <c r="F36" s="543" t="n">
        <v>-4.76545875770773</v>
      </c>
      <c r="G36" s="544" t="n">
        <v>-18.8021852683067</v>
      </c>
    </row>
    <row r="37" ht="20" customHeight="1" s="524">
      <c r="B37" s="563" t="inlineStr">
        <is>
          <t>Nektaryny (razem)</t>
        </is>
      </c>
      <c r="C37" s="564" t="n">
        <v>650.149752720551</v>
      </c>
      <c r="D37" s="565" t="n">
        <v>576.247628490657</v>
      </c>
      <c r="E37" s="565" t="n">
        <v>819.561207564991</v>
      </c>
      <c r="F37" s="543" t="n">
        <v>12.824716419825</v>
      </c>
      <c r="G37" s="544" t="n">
        <v>-20.6709948299995</v>
      </c>
    </row>
    <row r="38" ht="20" customHeight="1" s="524">
      <c r="B38" s="563" t="inlineStr">
        <is>
          <t>Nektaryny biały miąższ</t>
        </is>
      </c>
      <c r="C38" s="564" t="inlineStr">
        <is>
          <t>---</t>
        </is>
      </c>
      <c r="D38" s="565" t="inlineStr">
        <is>
          <t>---</t>
        </is>
      </c>
      <c r="E38" s="565" t="inlineStr">
        <is>
          <t>nld</t>
        </is>
      </c>
      <c r="F38" s="543" t="inlineStr">
        <is>
          <t>-</t>
        </is>
      </c>
      <c r="G38" s="544" t="inlineStr">
        <is>
          <t>-</t>
        </is>
      </c>
    </row>
    <row r="39" ht="20" customHeight="1" s="524">
      <c r="B39" s="566" t="inlineStr">
        <is>
          <t>Nektaryny żółty miąższ</t>
        </is>
      </c>
      <c r="C39" s="567" t="n">
        <v>600.181494459834</v>
      </c>
      <c r="D39" s="568" t="n">
        <v>584.701195331648</v>
      </c>
      <c r="E39" s="568" t="n">
        <v>780.502297394134</v>
      </c>
      <c r="F39" s="569" t="n">
        <v>2.64755729110577</v>
      </c>
      <c r="G39" s="570" t="n">
        <v>-23.1031738838359</v>
      </c>
    </row>
  </sheetData>
  <mergeCells count="10">
    <mergeCell ref="B23:B24"/>
    <mergeCell ref="C23:C24"/>
    <mergeCell ref="F23:G23"/>
    <mergeCell ref="D23:D24"/>
    <mergeCell ref="F6:G6"/>
    <mergeCell ref="E23:E24"/>
    <mergeCell ref="E6:E7"/>
    <mergeCell ref="C6:C7"/>
    <mergeCell ref="D6:D7"/>
    <mergeCell ref="B6:B7"/>
  </mergeCells>
  <conditionalFormatting sqref="F8:G8">
    <cfRule type="cellIs" priority="1" operator="equal" dxfId="25" stopIfTrue="1">
      <formula>"-"</formula>
    </cfRule>
    <cfRule type="cellIs" priority="2" operator="lessThan" dxfId="24">
      <formula>0</formula>
    </cfRule>
    <cfRule type="cellIs" priority="3" operator="greaterThan" dxfId="23">
      <formula>0</formula>
    </cfRule>
  </conditionalFormatting>
  <conditionalFormatting sqref="F9:G9">
    <cfRule type="cellIs" priority="4" operator="equal" dxfId="25" stopIfTrue="1">
      <formula>"-"</formula>
    </cfRule>
    <cfRule type="cellIs" priority="5" operator="lessThan" dxfId="24">
      <formula>0</formula>
    </cfRule>
    <cfRule type="cellIs" priority="6" operator="greaterThan" dxfId="23">
      <formula>0</formula>
    </cfRule>
  </conditionalFormatting>
  <conditionalFormatting sqref="F10:G10">
    <cfRule type="cellIs" priority="7" operator="equal" dxfId="25" stopIfTrue="1">
      <formula>"-"</formula>
    </cfRule>
    <cfRule type="cellIs" priority="8" operator="lessThan" dxfId="24">
      <formula>0</formula>
    </cfRule>
    <cfRule type="cellIs" priority="9" operator="greaterThan" dxfId="23">
      <formula>0</formula>
    </cfRule>
  </conditionalFormatting>
  <conditionalFormatting sqref="F11:G11">
    <cfRule type="cellIs" priority="10" operator="equal" dxfId="25" stopIfTrue="1">
      <formula>"-"</formula>
    </cfRule>
    <cfRule type="cellIs" priority="11" operator="lessThan" dxfId="24">
      <formula>0</formula>
    </cfRule>
    <cfRule type="cellIs" priority="12" operator="greaterThan" dxfId="23">
      <formula>0</formula>
    </cfRule>
  </conditionalFormatting>
  <conditionalFormatting sqref="F12:G12">
    <cfRule type="cellIs" priority="13" operator="equal" dxfId="25" stopIfTrue="1">
      <formula>"-"</formula>
    </cfRule>
    <cfRule type="cellIs" priority="14" operator="lessThan" dxfId="24">
      <formula>0</formula>
    </cfRule>
    <cfRule type="cellIs" priority="15" operator="greaterThan" dxfId="23">
      <formula>0</formula>
    </cfRule>
  </conditionalFormatting>
  <conditionalFormatting sqref="F13:G13">
    <cfRule type="cellIs" priority="16" operator="equal" dxfId="25" stopIfTrue="1">
      <formula>"-"</formula>
    </cfRule>
    <cfRule type="cellIs" priority="17" operator="lessThan" dxfId="24">
      <formula>0</formula>
    </cfRule>
    <cfRule type="cellIs" priority="18" operator="greaterThan" dxfId="23">
      <formula>0</formula>
    </cfRule>
  </conditionalFormatting>
  <conditionalFormatting sqref="F14:G14">
    <cfRule type="cellIs" priority="19" operator="equal" dxfId="25" stopIfTrue="1">
      <formula>"-"</formula>
    </cfRule>
    <cfRule type="cellIs" priority="20" operator="lessThan" dxfId="24">
      <formula>0</formula>
    </cfRule>
    <cfRule type="cellIs" priority="21" operator="greaterThan" dxfId="23">
      <formula>0</formula>
    </cfRule>
  </conditionalFormatting>
  <conditionalFormatting sqref="F15:G15">
    <cfRule type="cellIs" priority="22" operator="equal" dxfId="25" stopIfTrue="1">
      <formula>"-"</formula>
    </cfRule>
    <cfRule type="cellIs" priority="23" operator="lessThan" dxfId="24">
      <formula>0</formula>
    </cfRule>
    <cfRule type="cellIs" priority="24" operator="greaterThan" dxfId="23">
      <formula>0</formula>
    </cfRule>
  </conditionalFormatting>
  <conditionalFormatting sqref="F16:G16">
    <cfRule type="cellIs" priority="25" operator="equal" dxfId="25" stopIfTrue="1">
      <formula>"-"</formula>
    </cfRule>
    <cfRule type="cellIs" priority="26" operator="lessThan" dxfId="24">
      <formula>0</formula>
    </cfRule>
    <cfRule type="cellIs" priority="27" operator="greaterThan" dxfId="23">
      <formula>0</formula>
    </cfRule>
  </conditionalFormatting>
  <conditionalFormatting sqref="F17:G17">
    <cfRule type="cellIs" priority="28" operator="equal" dxfId="25" stopIfTrue="1">
      <formula>"-"</formula>
    </cfRule>
    <cfRule type="cellIs" priority="29" operator="lessThan" dxfId="24">
      <formula>0</formula>
    </cfRule>
    <cfRule type="cellIs" priority="30" operator="greaterThan" dxfId="23">
      <formula>0</formula>
    </cfRule>
  </conditionalFormatting>
  <conditionalFormatting sqref="F18:G18">
    <cfRule type="cellIs" priority="31" operator="equal" dxfId="25" stopIfTrue="1">
      <formula>"-"</formula>
    </cfRule>
    <cfRule type="cellIs" priority="32" operator="lessThan" dxfId="24">
      <formula>0</formula>
    </cfRule>
    <cfRule type="cellIs" priority="33" operator="greaterThan" dxfId="23">
      <formula>0</formula>
    </cfRule>
  </conditionalFormatting>
  <conditionalFormatting sqref="F19:G19">
    <cfRule type="cellIs" priority="34" operator="equal" dxfId="25" stopIfTrue="1">
      <formula>"-"</formula>
    </cfRule>
    <cfRule type="cellIs" priority="35" operator="lessThan" dxfId="24">
      <formula>0</formula>
    </cfRule>
    <cfRule type="cellIs" priority="36" operator="greaterThan" dxfId="23">
      <formula>0</formula>
    </cfRule>
  </conditionalFormatting>
  <conditionalFormatting sqref="F20:G20">
    <cfRule type="cellIs" priority="37" operator="equal" dxfId="25" stopIfTrue="1">
      <formula>"-"</formula>
    </cfRule>
    <cfRule type="cellIs" priority="38" operator="lessThan" dxfId="24">
      <formula>0</formula>
    </cfRule>
    <cfRule type="cellIs" priority="39" operator="greaterThan" dxfId="23">
      <formula>0</formula>
    </cfRule>
  </conditionalFormatting>
  <conditionalFormatting sqref="F25:G25">
    <cfRule type="cellIs" priority="40" operator="equal" dxfId="25" stopIfTrue="1">
      <formula>"-"</formula>
    </cfRule>
    <cfRule type="cellIs" priority="41" operator="lessThan" dxfId="24">
      <formula>0</formula>
    </cfRule>
    <cfRule type="cellIs" priority="42" operator="greaterThan" dxfId="23">
      <formula>0</formula>
    </cfRule>
  </conditionalFormatting>
  <conditionalFormatting sqref="F26:G26">
    <cfRule type="cellIs" priority="43" operator="equal" dxfId="25" stopIfTrue="1">
      <formula>"-"</formula>
    </cfRule>
    <cfRule type="cellIs" priority="44" operator="lessThan" dxfId="24">
      <formula>0</formula>
    </cfRule>
    <cfRule type="cellIs" priority="45" operator="greaterThan" dxfId="23">
      <formula>0</formula>
    </cfRule>
  </conditionalFormatting>
  <conditionalFormatting sqref="F27:G27">
    <cfRule type="cellIs" priority="46" operator="equal" dxfId="25" stopIfTrue="1">
      <formula>"-"</formula>
    </cfRule>
    <cfRule type="cellIs" priority="47" operator="lessThan" dxfId="24">
      <formula>0</formula>
    </cfRule>
    <cfRule type="cellIs" priority="48" operator="greaterThan" dxfId="23">
      <formula>0</formula>
    </cfRule>
  </conditionalFormatting>
  <conditionalFormatting sqref="F28:G28">
    <cfRule type="cellIs" priority="49" operator="equal" dxfId="25" stopIfTrue="1">
      <formula>"-"</formula>
    </cfRule>
    <cfRule type="cellIs" priority="50" operator="lessThan" dxfId="24">
      <formula>0</formula>
    </cfRule>
    <cfRule type="cellIs" priority="51" operator="greaterThan" dxfId="23">
      <formula>0</formula>
    </cfRule>
  </conditionalFormatting>
  <conditionalFormatting sqref="F29:G29">
    <cfRule type="cellIs" priority="52" operator="equal" dxfId="25" stopIfTrue="1">
      <formula>"-"</formula>
    </cfRule>
    <cfRule type="cellIs" priority="53" operator="lessThan" dxfId="24">
      <formula>0</formula>
    </cfRule>
    <cfRule type="cellIs" priority="54" operator="greaterThan" dxfId="23">
      <formula>0</formula>
    </cfRule>
  </conditionalFormatting>
  <conditionalFormatting sqref="F30:G30">
    <cfRule type="cellIs" priority="55" operator="equal" dxfId="25" stopIfTrue="1">
      <formula>"-"</formula>
    </cfRule>
    <cfRule type="cellIs" priority="56" operator="lessThan" dxfId="24">
      <formula>0</formula>
    </cfRule>
    <cfRule type="cellIs" priority="57" operator="greaterThan" dxfId="23">
      <formula>0</formula>
    </cfRule>
  </conditionalFormatting>
  <conditionalFormatting sqref="F31:G31">
    <cfRule type="cellIs" priority="58" operator="equal" dxfId="25" stopIfTrue="1">
      <formula>"-"</formula>
    </cfRule>
    <cfRule type="cellIs" priority="59" operator="lessThan" dxfId="24">
      <formula>0</formula>
    </cfRule>
    <cfRule type="cellIs" priority="60" operator="greaterThan" dxfId="23">
      <formula>0</formula>
    </cfRule>
  </conditionalFormatting>
  <conditionalFormatting sqref="F32:G32">
    <cfRule type="cellIs" priority="61" operator="equal" dxfId="25" stopIfTrue="1">
      <formula>"-"</formula>
    </cfRule>
    <cfRule type="cellIs" priority="62" operator="lessThan" dxfId="24">
      <formula>0</formula>
    </cfRule>
    <cfRule type="cellIs" priority="63" operator="greaterThan" dxfId="23">
      <formula>0</formula>
    </cfRule>
  </conditionalFormatting>
  <conditionalFormatting sqref="F33:G33">
    <cfRule type="cellIs" priority="64" operator="equal" dxfId="25" stopIfTrue="1">
      <formula>"-"</formula>
    </cfRule>
    <cfRule type="cellIs" priority="65" operator="lessThan" dxfId="24">
      <formula>0</formula>
    </cfRule>
    <cfRule type="cellIs" priority="66" operator="greaterThan" dxfId="23">
      <formula>0</formula>
    </cfRule>
  </conditionalFormatting>
  <conditionalFormatting sqref="F34:G34">
    <cfRule type="cellIs" priority="67" operator="equal" dxfId="25" stopIfTrue="1">
      <formula>"-"</formula>
    </cfRule>
    <cfRule type="cellIs" priority="68" operator="lessThan" dxfId="24">
      <formula>0</formula>
    </cfRule>
    <cfRule type="cellIs" priority="69" operator="greaterThan" dxfId="23">
      <formula>0</formula>
    </cfRule>
  </conditionalFormatting>
  <conditionalFormatting sqref="F35:G35">
    <cfRule type="cellIs" priority="70" operator="equal" dxfId="25" stopIfTrue="1">
      <formula>"-"</formula>
    </cfRule>
    <cfRule type="cellIs" priority="71" operator="lessThan" dxfId="24">
      <formula>0</formula>
    </cfRule>
    <cfRule type="cellIs" priority="72" operator="greaterThan" dxfId="23">
      <formula>0</formula>
    </cfRule>
  </conditionalFormatting>
  <conditionalFormatting sqref="F36:G36">
    <cfRule type="cellIs" priority="73" operator="equal" dxfId="25" stopIfTrue="1">
      <formula>"-"</formula>
    </cfRule>
    <cfRule type="cellIs" priority="74" operator="lessThan" dxfId="24">
      <formula>0</formula>
    </cfRule>
    <cfRule type="cellIs" priority="75" operator="greaterThan" dxfId="23">
      <formula>0</formula>
    </cfRule>
  </conditionalFormatting>
  <conditionalFormatting sqref="F37:G37">
    <cfRule type="cellIs" priority="76" operator="equal" dxfId="25" stopIfTrue="1">
      <formula>"-"</formula>
    </cfRule>
    <cfRule type="cellIs" priority="77" operator="lessThan" dxfId="24">
      <formula>0</formula>
    </cfRule>
    <cfRule type="cellIs" priority="78" operator="greaterThan" dxfId="23">
      <formula>0</formula>
    </cfRule>
  </conditionalFormatting>
  <conditionalFormatting sqref="F38:G38">
    <cfRule type="cellIs" priority="79" operator="equal" dxfId="25" stopIfTrue="1">
      <formula>"-"</formula>
    </cfRule>
    <cfRule type="cellIs" priority="80" operator="lessThan" dxfId="24">
      <formula>0</formula>
    </cfRule>
    <cfRule type="cellIs" priority="81" operator="greaterThan" dxfId="23">
      <formula>0</formula>
    </cfRule>
  </conditionalFormatting>
  <conditionalFormatting sqref="F39:G39">
    <cfRule type="cellIs" priority="82" operator="equal" dxfId="25" stopIfTrue="1">
      <formula>"-"</formula>
    </cfRule>
    <cfRule type="cellIs" priority="83" operator="lessThan" dxfId="24">
      <formula>0</formula>
    </cfRule>
    <cfRule type="cellIs" priority="84" operator="greaterThan" dxfId="23">
      <formula>0</formula>
    </cfRule>
  </conditionalFormatting>
  <pageMargins left="0.75" right="0.75" top="0.75" bottom="0.5" header="0.5" footer="0.75"/>
  <pageSetup orientation="landscape"/>
</worksheet>
</file>

<file path=xl/worksheets/sheet12.xml><?xml version="1.0" encoding="utf-8"?>
<worksheet xmlns="http://schemas.openxmlformats.org/spreadsheetml/2006/main">
  <sheetPr>
    <tabColor rgb="FFFFE699"/>
    <outlinePr summaryBelow="1" summaryRight="1"/>
    <pageSetUpPr fitToPage="1"/>
  </sheetPr>
  <dimension ref="B2:P27"/>
  <sheetViews>
    <sheetView showGridLines="0" workbookViewId="0">
      <selection activeCell="B6" sqref="B6:G27"/>
    </sheetView>
  </sheetViews>
  <sheetFormatPr baseColWidth="8" defaultColWidth="9.1796875" defaultRowHeight="20" customHeight="1"/>
  <cols>
    <col width="9.1796875" customWidth="1" style="545" min="1" max="1"/>
    <col width="30.7265625" customWidth="1" style="545" min="2" max="2"/>
    <col width="10.7265625" customWidth="1" style="545" min="3" max="7"/>
    <col width="9.1796875" customWidth="1" style="545" min="8" max="8"/>
    <col width="9.1796875" customWidth="1" style="545" min="9" max="16384"/>
  </cols>
  <sheetData>
    <row r="1" ht="25" customHeight="1" s="524"/>
    <row r="2" ht="25" customHeight="1" s="524">
      <c r="B2" s="546" t="inlineStr">
        <is>
          <t>ŚREDNIE CENY ZAKUPU WARZYW PŁACONE PRZEZ PODMIOTY HANDLU DETALICZNEGO - luz</t>
        </is>
      </c>
    </row>
    <row r="3" ht="25" customHeight="1" s="524" thickBot="1">
      <c r="B3" s="547" t="inlineStr">
        <is>
          <t>(zł/100 kg)</t>
        </is>
      </c>
      <c r="C3" s="548" t="n"/>
      <c r="D3" s="548" t="n"/>
      <c r="E3" s="548" t="n"/>
      <c r="F3" s="548" t="n"/>
      <c r="G3" s="548" t="n"/>
      <c r="H3" s="548" t="n"/>
      <c r="I3" s="548" t="n"/>
      <c r="J3" s="548" t="n"/>
      <c r="K3" s="548" t="n"/>
      <c r="L3" s="548" t="n"/>
      <c r="M3" s="548" t="n"/>
      <c r="N3" s="548" t="n"/>
      <c r="O3" s="548" t="n"/>
      <c r="P3" s="548" t="n"/>
    </row>
    <row r="4" ht="25" customHeight="1" s="524" thickTop="1"/>
    <row r="5" ht="20" customHeight="1" s="524">
      <c r="B5" s="549" t="inlineStr">
        <is>
          <t>WARZYWA krajowe - luzem</t>
        </is>
      </c>
    </row>
    <row r="6" ht="20" customHeight="1" s="524">
      <c r="B6" s="583" t="inlineStr">
        <is>
          <t>TOWAR</t>
        </is>
      </c>
      <c r="C6" s="585" t="inlineStr">
        <is>
          <t>23.08.2026</t>
        </is>
      </c>
      <c r="D6" s="585" t="inlineStr">
        <is>
          <t>16.08.2026</t>
        </is>
      </c>
      <c r="E6" s="585" t="inlineStr">
        <is>
          <t>24.08.2025</t>
        </is>
      </c>
      <c r="F6" s="587" t="inlineStr">
        <is>
          <t>Zmiana ceny (%)</t>
        </is>
      </c>
      <c r="G6" s="600" t="n"/>
    </row>
    <row r="7" ht="40" customHeight="1" s="524" thickBot="1">
      <c r="B7" s="601" t="n"/>
      <c r="C7" s="602" t="n"/>
      <c r="D7" s="602" t="n"/>
      <c r="E7" s="602" t="n"/>
      <c r="F7" s="541" t="inlineStr">
        <is>
          <t>tygodniowa</t>
        </is>
      </c>
      <c r="G7" s="542" t="inlineStr">
        <is>
          <t>roczna</t>
        </is>
      </c>
    </row>
    <row r="8" ht="20" customHeight="1" s="524">
      <c r="B8" s="563" t="inlineStr">
        <is>
          <t>Cebula biała</t>
        </is>
      </c>
      <c r="C8" s="564" t="n">
        <v>219.009320474295</v>
      </c>
      <c r="D8" s="565" t="n">
        <v>216.659814443086</v>
      </c>
      <c r="E8" s="565" t="inlineStr">
        <is>
          <t>---</t>
        </is>
      </c>
      <c r="F8" s="543" t="n">
        <v>1.08442169455717</v>
      </c>
      <c r="G8" s="544" t="inlineStr">
        <is>
          <t>-</t>
        </is>
      </c>
    </row>
    <row r="9" ht="20" customHeight="1" s="524">
      <c r="B9" s="563" t="inlineStr">
        <is>
          <t>Marchew</t>
        </is>
      </c>
      <c r="C9" s="564" t="n">
        <v>169.525124479395</v>
      </c>
      <c r="D9" s="565" t="n">
        <v>186.137478335742</v>
      </c>
      <c r="E9" s="565" t="n">
        <v>172.217162820316</v>
      </c>
      <c r="F9" s="543" t="n">
        <v>-8.924776463546481</v>
      </c>
      <c r="G9" s="544" t="n">
        <v>-1.56316495803</v>
      </c>
    </row>
    <row r="10" ht="20" customHeight="1" s="524">
      <c r="B10" s="563" t="inlineStr">
        <is>
          <t>Ogórki szklarniowe</t>
        </is>
      </c>
      <c r="C10" s="564" t="n">
        <v>392.894864946674</v>
      </c>
      <c r="D10" s="565" t="n">
        <v>377.417148944096</v>
      </c>
      <c r="E10" s="565" t="inlineStr">
        <is>
          <t>---</t>
        </is>
      </c>
      <c r="F10" s="543" t="n">
        <v>4.1009572686031</v>
      </c>
      <c r="G10" s="544" t="inlineStr">
        <is>
          <t>-</t>
        </is>
      </c>
    </row>
    <row r="11" ht="20" customHeight="1" s="524">
      <c r="B11" s="563" t="inlineStr">
        <is>
          <t>Papryka czerwona</t>
        </is>
      </c>
      <c r="C11" s="564" t="n">
        <v>818.545671799052</v>
      </c>
      <c r="D11" s="565" t="n">
        <v>734.074437998845</v>
      </c>
      <c r="E11" s="565" t="inlineStr">
        <is>
          <t>---</t>
        </is>
      </c>
      <c r="F11" s="543" t="n">
        <v>11.5071754889714</v>
      </c>
      <c r="G11" s="544" t="inlineStr">
        <is>
          <t>-</t>
        </is>
      </c>
    </row>
    <row r="12" ht="20" customHeight="1" s="524">
      <c r="B12" s="563" t="inlineStr">
        <is>
          <t>Pomidory okrągłe</t>
        </is>
      </c>
      <c r="C12" s="564" t="n">
        <v>532.534977897653</v>
      </c>
      <c r="D12" s="565" t="n">
        <v>522.050437268526</v>
      </c>
      <c r="E12" s="565" t="n">
        <v>459.014581837402</v>
      </c>
      <c r="F12" s="543" t="n">
        <v>2.00833863562756</v>
      </c>
      <c r="G12" s="544" t="n">
        <v>16.017006641914</v>
      </c>
    </row>
    <row r="13" ht="20" customHeight="1" s="524">
      <c r="B13" s="563" t="inlineStr">
        <is>
          <t>Pomidory na gałązkach</t>
        </is>
      </c>
      <c r="C13" s="564" t="n">
        <v>572.994502579613</v>
      </c>
      <c r="D13" s="565" t="n">
        <v>502.601436145878</v>
      </c>
      <c r="E13" s="565" t="n">
        <v>445.611504946606</v>
      </c>
      <c r="F13" s="543" t="n">
        <v>14.0057431935596</v>
      </c>
      <c r="G13" s="544" t="n">
        <v>28.5861105961053</v>
      </c>
    </row>
    <row r="14" ht="20" customHeight="1" s="524">
      <c r="B14" s="563" t="inlineStr">
        <is>
          <t>Pomidory typu "cherry"</t>
        </is>
      </c>
      <c r="C14" s="564" t="n">
        <v>1013.24940615209</v>
      </c>
      <c r="D14" s="565" t="n">
        <v>1012.7966652117</v>
      </c>
      <c r="E14" s="565" t="n">
        <v>1056.27852860315</v>
      </c>
      <c r="F14" s="543" t="n">
        <v>0.0447020567846004</v>
      </c>
      <c r="G14" s="544" t="n">
        <v>-4.07365304565648</v>
      </c>
    </row>
    <row r="15" ht="20" customHeight="1" s="524">
      <c r="B15" s="566" t="inlineStr">
        <is>
          <t>Ziemniaki</t>
        </is>
      </c>
      <c r="C15" s="567" t="n">
        <v>107.29195743608</v>
      </c>
      <c r="D15" s="568" t="n">
        <v>106.93314893797</v>
      </c>
      <c r="E15" s="568" t="n">
        <v>121.905502692731</v>
      </c>
      <c r="F15" s="569" t="n">
        <v>0.335544685323301</v>
      </c>
      <c r="G15" s="570" t="n">
        <v>-11.9876009973769</v>
      </c>
    </row>
    <row r="16" ht="20" customHeight="1" s="524">
      <c r="B16" s="572" t="n"/>
      <c r="C16" s="572" t="n"/>
      <c r="D16" s="572" t="n"/>
      <c r="E16" s="572" t="n"/>
      <c r="F16" s="572" t="n"/>
      <c r="G16" s="572" t="n"/>
    </row>
    <row r="17" ht="20" customHeight="1" s="524">
      <c r="B17" s="573" t="inlineStr">
        <is>
          <t>WARZYWA z importu - luzem</t>
        </is>
      </c>
      <c r="C17" s="572" t="n"/>
      <c r="D17" s="572" t="n"/>
      <c r="E17" s="572" t="n"/>
      <c r="F17" s="572" t="n"/>
      <c r="G17" s="572" t="n"/>
    </row>
    <row r="18" ht="20" customHeight="1" s="524">
      <c r="B18" s="583" t="inlineStr">
        <is>
          <t>TOWAR</t>
        </is>
      </c>
      <c r="C18" s="585" t="inlineStr">
        <is>
          <t>23.08.2026</t>
        </is>
      </c>
      <c r="D18" s="585" t="inlineStr">
        <is>
          <t>16.08.2026</t>
        </is>
      </c>
      <c r="E18" s="585" t="inlineStr">
        <is>
          <t>24.08.2025</t>
        </is>
      </c>
      <c r="F18" s="587" t="inlineStr">
        <is>
          <t>Zmiana ceny (%)</t>
        </is>
      </c>
      <c r="G18" s="600" t="n"/>
    </row>
    <row r="19" ht="40" customHeight="1" s="524" thickBot="1">
      <c r="B19" s="601" t="n"/>
      <c r="C19" s="602" t="n"/>
      <c r="D19" s="602" t="n"/>
      <c r="E19" s="602" t="n"/>
      <c r="F19" s="541" t="inlineStr">
        <is>
          <t>tygodniowa</t>
        </is>
      </c>
      <c r="G19" s="542" t="inlineStr">
        <is>
          <t>roczna</t>
        </is>
      </c>
    </row>
    <row r="20" ht="20" customHeight="1" s="524">
      <c r="B20" s="563" t="inlineStr">
        <is>
          <t>Cebula biała</t>
        </is>
      </c>
      <c r="C20" s="564" t="inlineStr">
        <is>
          <t>nld</t>
        </is>
      </c>
      <c r="D20" s="565" t="inlineStr">
        <is>
          <t>nld</t>
        </is>
      </c>
      <c r="E20" s="565" t="inlineStr">
        <is>
          <t>---</t>
        </is>
      </c>
      <c r="F20" s="543" t="inlineStr">
        <is>
          <t>-</t>
        </is>
      </c>
      <c r="G20" s="544" t="inlineStr">
        <is>
          <t>-</t>
        </is>
      </c>
    </row>
    <row r="21" ht="20" customHeight="1" s="524">
      <c r="B21" s="563" t="inlineStr">
        <is>
          <t>Marchew</t>
        </is>
      </c>
      <c r="C21" s="564" t="inlineStr">
        <is>
          <t>nld</t>
        </is>
      </c>
      <c r="D21" s="565" t="inlineStr">
        <is>
          <t>nld</t>
        </is>
      </c>
      <c r="E21" s="565" t="inlineStr">
        <is>
          <t>nld</t>
        </is>
      </c>
      <c r="F21" s="543" t="inlineStr">
        <is>
          <t>-</t>
        </is>
      </c>
      <c r="G21" s="544" t="inlineStr">
        <is>
          <t>-</t>
        </is>
      </c>
    </row>
    <row r="22" ht="20" customHeight="1" s="524">
      <c r="B22" s="563" t="inlineStr">
        <is>
          <t>Ogórki szklarniowe</t>
        </is>
      </c>
      <c r="C22" s="564" t="inlineStr">
        <is>
          <t>---</t>
        </is>
      </c>
      <c r="D22" s="565" t="inlineStr">
        <is>
          <t>---</t>
        </is>
      </c>
      <c r="E22" s="565" t="inlineStr">
        <is>
          <t>---</t>
        </is>
      </c>
      <c r="F22" s="543" t="inlineStr">
        <is>
          <t>-</t>
        </is>
      </c>
      <c r="G22" s="544" t="inlineStr">
        <is>
          <t>-</t>
        </is>
      </c>
    </row>
    <row r="23" ht="20" customHeight="1" s="524">
      <c r="B23" s="563" t="inlineStr">
        <is>
          <t>Papryka czerwona</t>
        </is>
      </c>
      <c r="C23" s="564" t="n">
        <v>688.792983574263</v>
      </c>
      <c r="D23" s="565" t="n">
        <v>596.874874584642</v>
      </c>
      <c r="E23" s="565" t="inlineStr">
        <is>
          <t>---</t>
        </is>
      </c>
      <c r="F23" s="543" t="n">
        <v>15.3998958414166</v>
      </c>
      <c r="G23" s="544" t="inlineStr">
        <is>
          <t>-</t>
        </is>
      </c>
    </row>
    <row r="24" ht="20" customHeight="1" s="524">
      <c r="B24" s="563" t="inlineStr">
        <is>
          <t>Pomidory okrągłe</t>
        </is>
      </c>
      <c r="C24" s="564" t="inlineStr">
        <is>
          <t>nld</t>
        </is>
      </c>
      <c r="D24" s="565" t="inlineStr">
        <is>
          <t>nld</t>
        </is>
      </c>
      <c r="E24" s="565" t="inlineStr">
        <is>
          <t>nld</t>
        </is>
      </c>
      <c r="F24" s="543" t="inlineStr">
        <is>
          <t>-</t>
        </is>
      </c>
      <c r="G24" s="544" t="inlineStr">
        <is>
          <t>-</t>
        </is>
      </c>
    </row>
    <row r="25" ht="20" customHeight="1" s="524">
      <c r="B25" s="563" t="inlineStr">
        <is>
          <t>Pomidory na gałązkach</t>
        </is>
      </c>
      <c r="C25" s="564" t="inlineStr">
        <is>
          <t>nld</t>
        </is>
      </c>
      <c r="D25" s="565" t="n">
        <v>624.959865847326</v>
      </c>
      <c r="E25" s="565" t="inlineStr">
        <is>
          <t>nld</t>
        </is>
      </c>
      <c r="F25" s="543" t="inlineStr">
        <is>
          <t>-</t>
        </is>
      </c>
      <c r="G25" s="544" t="inlineStr">
        <is>
          <t>-</t>
        </is>
      </c>
    </row>
    <row r="26" ht="20" customHeight="1" s="524">
      <c r="B26" s="563" t="inlineStr">
        <is>
          <t>Pomidory typu "cherry"</t>
        </is>
      </c>
      <c r="C26" s="564" t="inlineStr">
        <is>
          <t>nld</t>
        </is>
      </c>
      <c r="D26" s="565" t="inlineStr">
        <is>
          <t>nld</t>
        </is>
      </c>
      <c r="E26" s="565" t="n">
        <v>1587.6996478111</v>
      </c>
      <c r="F26" s="543" t="inlineStr">
        <is>
          <t>-</t>
        </is>
      </c>
      <c r="G26" s="544" t="inlineStr">
        <is>
          <t>-</t>
        </is>
      </c>
    </row>
    <row r="27" ht="20" customHeight="1" s="524">
      <c r="B27" s="566" t="inlineStr">
        <is>
          <t>Ziemniaki</t>
        </is>
      </c>
      <c r="C27" s="567" t="inlineStr">
        <is>
          <t>nld</t>
        </is>
      </c>
      <c r="D27" s="568" t="inlineStr">
        <is>
          <t>nld</t>
        </is>
      </c>
      <c r="E27" s="568" t="inlineStr">
        <is>
          <t>nld</t>
        </is>
      </c>
      <c r="F27" s="569" t="inlineStr">
        <is>
          <t>-</t>
        </is>
      </c>
      <c r="G27" s="570" t="inlineStr">
        <is>
          <t>-</t>
        </is>
      </c>
    </row>
  </sheetData>
  <mergeCells count="10">
    <mergeCell ref="D18:D19"/>
    <mergeCell ref="B18:B19"/>
    <mergeCell ref="E18:E19"/>
    <mergeCell ref="F18:G18"/>
    <mergeCell ref="F6:G6"/>
    <mergeCell ref="E6:E7"/>
    <mergeCell ref="C6:C7"/>
    <mergeCell ref="C18:C19"/>
    <mergeCell ref="D6:D7"/>
    <mergeCell ref="B6:B7"/>
  </mergeCells>
  <conditionalFormatting sqref="F8:G8">
    <cfRule type="cellIs" priority="1" operator="equal" dxfId="25" stopIfTrue="1">
      <formula>"-"</formula>
    </cfRule>
    <cfRule type="cellIs" priority="2" operator="lessThan" dxfId="24">
      <formula>0</formula>
    </cfRule>
    <cfRule type="cellIs" priority="3" operator="greaterThan" dxfId="23">
      <formula>0</formula>
    </cfRule>
  </conditionalFormatting>
  <conditionalFormatting sqref="F9:G9">
    <cfRule type="cellIs" priority="4" operator="equal" dxfId="25" stopIfTrue="1">
      <formula>"-"</formula>
    </cfRule>
    <cfRule type="cellIs" priority="5" operator="lessThan" dxfId="24">
      <formula>0</formula>
    </cfRule>
    <cfRule type="cellIs" priority="6" operator="greaterThan" dxfId="23">
      <formula>0</formula>
    </cfRule>
  </conditionalFormatting>
  <conditionalFormatting sqref="F10:G10">
    <cfRule type="cellIs" priority="7" operator="equal" dxfId="25" stopIfTrue="1">
      <formula>"-"</formula>
    </cfRule>
    <cfRule type="cellIs" priority="8" operator="lessThan" dxfId="24">
      <formula>0</formula>
    </cfRule>
    <cfRule type="cellIs" priority="9" operator="greaterThan" dxfId="23">
      <formula>0</formula>
    </cfRule>
  </conditionalFormatting>
  <conditionalFormatting sqref="F11:G11">
    <cfRule type="cellIs" priority="10" operator="equal" dxfId="25" stopIfTrue="1">
      <formula>"-"</formula>
    </cfRule>
    <cfRule type="cellIs" priority="11" operator="lessThan" dxfId="24">
      <formula>0</formula>
    </cfRule>
    <cfRule type="cellIs" priority="12" operator="greaterThan" dxfId="23">
      <formula>0</formula>
    </cfRule>
  </conditionalFormatting>
  <conditionalFormatting sqref="F12:G12">
    <cfRule type="cellIs" priority="13" operator="equal" dxfId="25" stopIfTrue="1">
      <formula>"-"</formula>
    </cfRule>
    <cfRule type="cellIs" priority="14" operator="lessThan" dxfId="24">
      <formula>0</formula>
    </cfRule>
    <cfRule type="cellIs" priority="15" operator="greaterThan" dxfId="23">
      <formula>0</formula>
    </cfRule>
  </conditionalFormatting>
  <conditionalFormatting sqref="F13:G13">
    <cfRule type="cellIs" priority="16" operator="equal" dxfId="25" stopIfTrue="1">
      <formula>"-"</formula>
    </cfRule>
    <cfRule type="cellIs" priority="17" operator="lessThan" dxfId="24">
      <formula>0</formula>
    </cfRule>
    <cfRule type="cellIs" priority="18" operator="greaterThan" dxfId="23">
      <formula>0</formula>
    </cfRule>
  </conditionalFormatting>
  <conditionalFormatting sqref="F14:G14">
    <cfRule type="cellIs" priority="19" operator="equal" dxfId="25" stopIfTrue="1">
      <formula>"-"</formula>
    </cfRule>
    <cfRule type="cellIs" priority="20" operator="lessThan" dxfId="24">
      <formula>0</formula>
    </cfRule>
    <cfRule type="cellIs" priority="21" operator="greaterThan" dxfId="23">
      <formula>0</formula>
    </cfRule>
  </conditionalFormatting>
  <conditionalFormatting sqref="F15:G15">
    <cfRule type="cellIs" priority="22" operator="equal" dxfId="25" stopIfTrue="1">
      <formula>"-"</formula>
    </cfRule>
    <cfRule type="cellIs" priority="23" operator="lessThan" dxfId="24">
      <formula>0</formula>
    </cfRule>
    <cfRule type="cellIs" priority="24" operator="greaterThan" dxfId="23">
      <formula>0</formula>
    </cfRule>
  </conditionalFormatting>
  <conditionalFormatting sqref="F20:G20">
    <cfRule type="cellIs" priority="25" operator="equal" dxfId="25" stopIfTrue="1">
      <formula>"-"</formula>
    </cfRule>
    <cfRule type="cellIs" priority="26" operator="lessThan" dxfId="24">
      <formula>0</formula>
    </cfRule>
    <cfRule type="cellIs" priority="27" operator="greaterThan" dxfId="23">
      <formula>0</formula>
    </cfRule>
  </conditionalFormatting>
  <conditionalFormatting sqref="F21:G21">
    <cfRule type="cellIs" priority="28" operator="equal" dxfId="25" stopIfTrue="1">
      <formula>"-"</formula>
    </cfRule>
    <cfRule type="cellIs" priority="29" operator="lessThan" dxfId="24">
      <formula>0</formula>
    </cfRule>
    <cfRule type="cellIs" priority="30" operator="greaterThan" dxfId="23">
      <formula>0</formula>
    </cfRule>
  </conditionalFormatting>
  <conditionalFormatting sqref="F22:G22">
    <cfRule type="cellIs" priority="31" operator="equal" dxfId="25" stopIfTrue="1">
      <formula>"-"</formula>
    </cfRule>
    <cfRule type="cellIs" priority="32" operator="lessThan" dxfId="24">
      <formula>0</formula>
    </cfRule>
    <cfRule type="cellIs" priority="33" operator="greaterThan" dxfId="23">
      <formula>0</formula>
    </cfRule>
  </conditionalFormatting>
  <conditionalFormatting sqref="F23:G23">
    <cfRule type="cellIs" priority="34" operator="equal" dxfId="25" stopIfTrue="1">
      <formula>"-"</formula>
    </cfRule>
    <cfRule type="cellIs" priority="35" operator="lessThan" dxfId="24">
      <formula>0</formula>
    </cfRule>
    <cfRule type="cellIs" priority="36" operator="greaterThan" dxfId="23">
      <formula>0</formula>
    </cfRule>
  </conditionalFormatting>
  <conditionalFormatting sqref="F24:G24">
    <cfRule type="cellIs" priority="37" operator="equal" dxfId="25" stopIfTrue="1">
      <formula>"-"</formula>
    </cfRule>
    <cfRule type="cellIs" priority="38" operator="lessThan" dxfId="24">
      <formula>0</formula>
    </cfRule>
    <cfRule type="cellIs" priority="39" operator="greaterThan" dxfId="23">
      <formula>0</formula>
    </cfRule>
  </conditionalFormatting>
  <conditionalFormatting sqref="F25:G25">
    <cfRule type="cellIs" priority="40" operator="equal" dxfId="25" stopIfTrue="1">
      <formula>"-"</formula>
    </cfRule>
    <cfRule type="cellIs" priority="41" operator="lessThan" dxfId="24">
      <formula>0</formula>
    </cfRule>
    <cfRule type="cellIs" priority="42" operator="greaterThan" dxfId="23">
      <formula>0</formula>
    </cfRule>
  </conditionalFormatting>
  <conditionalFormatting sqref="F26:G26">
    <cfRule type="cellIs" priority="43" operator="equal" dxfId="25" stopIfTrue="1">
      <formula>"-"</formula>
    </cfRule>
    <cfRule type="cellIs" priority="44" operator="lessThan" dxfId="24">
      <formula>0</formula>
    </cfRule>
    <cfRule type="cellIs" priority="45" operator="greaterThan" dxfId="23">
      <formula>0</formula>
    </cfRule>
  </conditionalFormatting>
  <conditionalFormatting sqref="F27:G27">
    <cfRule type="cellIs" priority="46" operator="equal" dxfId="25" stopIfTrue="1">
      <formula>"-"</formula>
    </cfRule>
    <cfRule type="cellIs" priority="47" operator="lessThan" dxfId="24">
      <formula>0</formula>
    </cfRule>
    <cfRule type="cellIs" priority="48" operator="greaterThan" dxfId="23">
      <formula>0</formula>
    </cfRule>
  </conditionalFormatting>
  <pageMargins left="0.75" right="0.75" top="0.75" bottom="0.5" header="0.5" footer="0.75"/>
  <pageSetup orientation="landscape"/>
</worksheet>
</file>

<file path=xl/worksheets/sheet13.xml><?xml version="1.0" encoding="utf-8"?>
<worksheet xmlns="http://schemas.openxmlformats.org/spreadsheetml/2006/main">
  <sheetPr>
    <tabColor rgb="FFFFE699"/>
    <outlinePr summaryBelow="1" summaryRight="1"/>
    <pageSetUpPr fitToPage="1"/>
  </sheetPr>
  <dimension ref="B2:P27"/>
  <sheetViews>
    <sheetView showGridLines="0" workbookViewId="0">
      <selection activeCell="L7" sqref="L7"/>
    </sheetView>
  </sheetViews>
  <sheetFormatPr baseColWidth="8" defaultColWidth="9.1796875" defaultRowHeight="20" customHeight="1"/>
  <cols>
    <col width="9.1796875" customWidth="1" style="545" min="1" max="1"/>
    <col width="30.7265625" customWidth="1" style="545" min="2" max="2"/>
    <col width="10.7265625" customWidth="1" style="545" min="3" max="7"/>
    <col width="9.1796875" customWidth="1" style="545" min="8" max="8"/>
    <col width="9.1796875" customWidth="1" style="545" min="9" max="16384"/>
  </cols>
  <sheetData>
    <row r="1" ht="25" customHeight="1" s="524"/>
    <row r="2" ht="25" customHeight="1" s="524">
      <c r="B2" s="546" t="inlineStr">
        <is>
          <t>ŚREDNIE CENY ZAKUPU WARZYW PŁACONE PRZEZ PODMIOTY HANDLU DETALICZNEGO - opakowania do 2 kg</t>
        </is>
      </c>
    </row>
    <row r="3" ht="25" customHeight="1" s="524" thickBot="1">
      <c r="B3" s="547" t="inlineStr">
        <is>
          <t>(zł/100 kg)</t>
        </is>
      </c>
      <c r="C3" s="548" t="n"/>
      <c r="D3" s="548" t="n"/>
      <c r="E3" s="548" t="n"/>
      <c r="F3" s="548" t="n"/>
      <c r="G3" s="548" t="n"/>
      <c r="H3" s="548" t="n"/>
      <c r="I3" s="548" t="n"/>
      <c r="J3" s="548" t="n"/>
      <c r="K3" s="548" t="n"/>
      <c r="L3" s="548" t="n"/>
      <c r="M3" s="548" t="n"/>
      <c r="N3" s="548" t="n"/>
      <c r="O3" s="548" t="n"/>
      <c r="P3" s="548" t="n"/>
    </row>
    <row r="4" ht="25" customHeight="1" s="524" thickTop="1"/>
    <row r="5" ht="20" customHeight="1" s="524">
      <c r="B5" s="549" t="inlineStr">
        <is>
          <t>WARZYWA krajowe - opakowania do 2 kg</t>
        </is>
      </c>
    </row>
    <row r="6" ht="20" customHeight="1" s="524">
      <c r="B6" s="583" t="inlineStr">
        <is>
          <t>TOWAR</t>
        </is>
      </c>
      <c r="C6" s="585" t="inlineStr">
        <is>
          <t>23.08.2026</t>
        </is>
      </c>
      <c r="D6" s="585" t="inlineStr">
        <is>
          <t>16.08.2026</t>
        </is>
      </c>
      <c r="E6" s="585" t="inlineStr">
        <is>
          <t>24.08.2025</t>
        </is>
      </c>
      <c r="F6" s="587" t="inlineStr">
        <is>
          <t>Zmiana ceny (%)</t>
        </is>
      </c>
      <c r="G6" s="600" t="n"/>
    </row>
    <row r="7" ht="40" customHeight="1" s="524" thickBot="1">
      <c r="B7" s="601" t="n"/>
      <c r="C7" s="602" t="n"/>
      <c r="D7" s="602" t="n"/>
      <c r="E7" s="602" t="n"/>
      <c r="F7" s="541" t="inlineStr">
        <is>
          <t>tygodniowa</t>
        </is>
      </c>
      <c r="G7" s="542" t="inlineStr">
        <is>
          <t>roczna</t>
        </is>
      </c>
    </row>
    <row r="8" ht="20" customHeight="1" s="524">
      <c r="B8" s="563" t="inlineStr">
        <is>
          <t>Cebula biała</t>
        </is>
      </c>
      <c r="C8" s="564" t="n">
        <v>224.111364083925</v>
      </c>
      <c r="D8" s="565" t="n">
        <v>211.911790312238</v>
      </c>
      <c r="E8" s="565" t="inlineStr">
        <is>
          <t>---</t>
        </is>
      </c>
      <c r="F8" s="543" t="n">
        <v>5.75691128545107</v>
      </c>
      <c r="G8" s="544" t="inlineStr">
        <is>
          <t>-</t>
        </is>
      </c>
    </row>
    <row r="9" ht="20" customHeight="1" s="524">
      <c r="B9" s="563" t="inlineStr">
        <is>
          <t>Marchew</t>
        </is>
      </c>
      <c r="C9" s="564" t="n">
        <v>324.562460438444</v>
      </c>
      <c r="D9" s="565" t="n">
        <v>334.754583882628</v>
      </c>
      <c r="E9" s="565" t="n">
        <v>316.78326031384</v>
      </c>
      <c r="F9" s="543" t="n">
        <v>-3.04465537886645</v>
      </c>
      <c r="G9" s="544" t="n">
        <v>2.4556853531014</v>
      </c>
    </row>
    <row r="10" ht="20" customHeight="1" s="524">
      <c r="B10" s="563" t="inlineStr">
        <is>
          <t>Ogórki szklarniowe</t>
        </is>
      </c>
      <c r="C10" s="564" t="inlineStr">
        <is>
          <t>---</t>
        </is>
      </c>
      <c r="D10" s="565" t="inlineStr">
        <is>
          <t>---</t>
        </is>
      </c>
      <c r="E10" s="565" t="inlineStr">
        <is>
          <t>---</t>
        </is>
      </c>
      <c r="F10" s="543" t="inlineStr">
        <is>
          <t>-</t>
        </is>
      </c>
      <c r="G10" s="544" t="inlineStr">
        <is>
          <t>-</t>
        </is>
      </c>
    </row>
    <row r="11" ht="20" customHeight="1" s="524">
      <c r="B11" s="563" t="inlineStr">
        <is>
          <t>Papryka czerwona</t>
        </is>
      </c>
      <c r="C11" s="564" t="n">
        <v>1620.92660043741</v>
      </c>
      <c r="D11" s="565" t="n">
        <v>1610.32192729552</v>
      </c>
      <c r="E11" s="565" t="inlineStr">
        <is>
          <t>---</t>
        </is>
      </c>
      <c r="F11" s="543" t="n">
        <v>0.658543671432283</v>
      </c>
      <c r="G11" s="544" t="inlineStr">
        <is>
          <t>-</t>
        </is>
      </c>
    </row>
    <row r="12" ht="20" customHeight="1" s="524">
      <c r="B12" s="563" t="inlineStr">
        <is>
          <t>Pomidory okrągłe</t>
        </is>
      </c>
      <c r="C12" s="564" t="n">
        <v>763.815106491148</v>
      </c>
      <c r="D12" s="565" t="n">
        <v>760.558920759785</v>
      </c>
      <c r="E12" s="565" t="n">
        <v>662.261159965684</v>
      </c>
      <c r="F12" s="543" t="n">
        <v>0.428130634259138</v>
      </c>
      <c r="G12" s="544" t="n">
        <v>15.3344258525936</v>
      </c>
    </row>
    <row r="13" ht="20" customHeight="1" s="524">
      <c r="B13" s="563" t="inlineStr">
        <is>
          <t>Pomidory na gałązkach</t>
        </is>
      </c>
      <c r="C13" s="564" t="n">
        <v>1141.59007289474</v>
      </c>
      <c r="D13" s="565" t="n">
        <v>1147.99926987718</v>
      </c>
      <c r="E13" s="565" t="n">
        <v>1149.13300155062</v>
      </c>
      <c r="F13" s="543" t="n">
        <v>-0.558292775144815</v>
      </c>
      <c r="G13" s="544" t="n">
        <v>-0.656401708565798</v>
      </c>
    </row>
    <row r="14" ht="20" customHeight="1" s="524">
      <c r="B14" s="563" t="inlineStr">
        <is>
          <t>Pomidory typu "cherry"</t>
        </is>
      </c>
      <c r="C14" s="564" t="n">
        <v>1693.85743690074</v>
      </c>
      <c r="D14" s="565" t="n">
        <v>1684.49211620265</v>
      </c>
      <c r="E14" s="565" t="n">
        <v>1414.21444753186</v>
      </c>
      <c r="F14" s="543" t="n">
        <v>0.555972961108518</v>
      </c>
      <c r="G14" s="544" t="n">
        <v>19.773733032987</v>
      </c>
    </row>
    <row r="15" ht="20" customHeight="1" s="524">
      <c r="B15" s="566" t="inlineStr">
        <is>
          <t>Ziemniaki</t>
        </is>
      </c>
      <c r="C15" s="567" t="n">
        <v>176.767514765593</v>
      </c>
      <c r="D15" s="568" t="n">
        <v>177.414824612044</v>
      </c>
      <c r="E15" s="568" t="n">
        <v>206.52941153797</v>
      </c>
      <c r="F15" s="569" t="n">
        <v>-0.364856684252093</v>
      </c>
      <c r="G15" s="570" t="n">
        <v>-14.4104883419498</v>
      </c>
    </row>
    <row r="16" ht="20" customHeight="1" s="524">
      <c r="B16" s="572" t="n"/>
      <c r="C16" s="572" t="n"/>
      <c r="D16" s="572" t="n"/>
      <c r="E16" s="572" t="n"/>
      <c r="F16" s="572" t="n"/>
      <c r="G16" s="572" t="n"/>
    </row>
    <row r="17" ht="20" customHeight="1" s="524">
      <c r="B17" s="573" t="inlineStr">
        <is>
          <t>WARZYWA z importu - do 2 kg</t>
        </is>
      </c>
      <c r="C17" s="572" t="n"/>
      <c r="D17" s="572" t="n"/>
      <c r="E17" s="572" t="n"/>
      <c r="F17" s="572" t="n"/>
      <c r="G17" s="572" t="n"/>
    </row>
    <row r="18" ht="20" customHeight="1" s="524">
      <c r="B18" s="583" t="inlineStr">
        <is>
          <t>TOWAR</t>
        </is>
      </c>
      <c r="C18" s="585" t="inlineStr">
        <is>
          <t>23.08.2026</t>
        </is>
      </c>
      <c r="D18" s="585" t="inlineStr">
        <is>
          <t>16.08.2026</t>
        </is>
      </c>
      <c r="E18" s="585" t="inlineStr">
        <is>
          <t>24.08.2025</t>
        </is>
      </c>
      <c r="F18" s="587" t="inlineStr">
        <is>
          <t>Zmiana ceny (%)</t>
        </is>
      </c>
      <c r="G18" s="600" t="n"/>
    </row>
    <row r="19" ht="40" customHeight="1" s="524" thickBot="1">
      <c r="B19" s="601" t="n"/>
      <c r="C19" s="602" t="n"/>
      <c r="D19" s="602" t="n"/>
      <c r="E19" s="602" t="n"/>
      <c r="F19" s="541" t="inlineStr">
        <is>
          <t>tygodniowa</t>
        </is>
      </c>
      <c r="G19" s="542" t="inlineStr">
        <is>
          <t>roczna</t>
        </is>
      </c>
    </row>
    <row r="20" ht="20" customHeight="1" s="524">
      <c r="B20" s="563" t="inlineStr">
        <is>
          <t>Cebula biała</t>
        </is>
      </c>
      <c r="C20" s="564" t="n">
        <v>905.423675675676</v>
      </c>
      <c r="D20" s="565" t="n">
        <v>855.4629123711341</v>
      </c>
      <c r="E20" s="565" t="inlineStr">
        <is>
          <t>---</t>
        </is>
      </c>
      <c r="F20" s="543" t="n">
        <v>5.84020213875347</v>
      </c>
      <c r="G20" s="544" t="inlineStr">
        <is>
          <t>-</t>
        </is>
      </c>
    </row>
    <row r="21" ht="20" customHeight="1" s="524">
      <c r="B21" s="563" t="inlineStr">
        <is>
          <t>Marchew</t>
        </is>
      </c>
      <c r="C21" s="564" t="inlineStr">
        <is>
          <t>nld</t>
        </is>
      </c>
      <c r="D21" s="565" t="inlineStr">
        <is>
          <t>nld</t>
        </is>
      </c>
      <c r="E21" s="565" t="inlineStr">
        <is>
          <t>nld</t>
        </is>
      </c>
      <c r="F21" s="543" t="inlineStr">
        <is>
          <t>-</t>
        </is>
      </c>
      <c r="G21" s="544" t="inlineStr">
        <is>
          <t>-</t>
        </is>
      </c>
    </row>
    <row r="22" ht="20" customHeight="1" s="524">
      <c r="B22" s="563" t="inlineStr">
        <is>
          <t>Ogórki szklarniowe</t>
        </is>
      </c>
      <c r="C22" s="564" t="inlineStr">
        <is>
          <t>nld</t>
        </is>
      </c>
      <c r="D22" s="565" t="inlineStr">
        <is>
          <t>nld</t>
        </is>
      </c>
      <c r="E22" s="565" t="inlineStr">
        <is>
          <t>---</t>
        </is>
      </c>
      <c r="F22" s="543" t="inlineStr">
        <is>
          <t>-</t>
        </is>
      </c>
      <c r="G22" s="544" t="inlineStr">
        <is>
          <t>-</t>
        </is>
      </c>
    </row>
    <row r="23" ht="20" customHeight="1" s="524">
      <c r="B23" s="563" t="inlineStr">
        <is>
          <t>Papryka czerwona</t>
        </is>
      </c>
      <c r="C23" s="564" t="n">
        <v>2396.33803443016</v>
      </c>
      <c r="D23" s="565" t="n">
        <v>594.888045317893</v>
      </c>
      <c r="E23" s="565" t="inlineStr">
        <is>
          <t>---</t>
        </is>
      </c>
      <c r="F23" s="543" t="n">
        <v>302.821682716723</v>
      </c>
      <c r="G23" s="544" t="inlineStr">
        <is>
          <t>-</t>
        </is>
      </c>
    </row>
    <row r="24" ht="20" customHeight="1" s="524">
      <c r="B24" s="563" t="inlineStr">
        <is>
          <t>Pomidory okrągłe</t>
        </is>
      </c>
      <c r="C24" s="564" t="inlineStr">
        <is>
          <t>nld</t>
        </is>
      </c>
      <c r="D24" s="565" t="inlineStr">
        <is>
          <t>nld</t>
        </is>
      </c>
      <c r="E24" s="565" t="inlineStr">
        <is>
          <t>nld</t>
        </is>
      </c>
      <c r="F24" s="543" t="inlineStr">
        <is>
          <t>-</t>
        </is>
      </c>
      <c r="G24" s="544" t="inlineStr">
        <is>
          <t>-</t>
        </is>
      </c>
    </row>
    <row r="25" ht="20" customHeight="1" s="524">
      <c r="B25" s="563" t="inlineStr">
        <is>
          <t>Pomidory na gałązkach</t>
        </is>
      </c>
      <c r="C25" s="564" t="inlineStr">
        <is>
          <t>nld</t>
        </is>
      </c>
      <c r="D25" s="565" t="inlineStr">
        <is>
          <t>nld</t>
        </is>
      </c>
      <c r="E25" s="565" t="inlineStr">
        <is>
          <t>nld</t>
        </is>
      </c>
      <c r="F25" s="543" t="inlineStr">
        <is>
          <t>-</t>
        </is>
      </c>
      <c r="G25" s="544" t="inlineStr">
        <is>
          <t>-</t>
        </is>
      </c>
    </row>
    <row r="26" ht="20" customHeight="1" s="524">
      <c r="B26" s="563" t="inlineStr">
        <is>
          <t>Pomidory typu "cherry"</t>
        </is>
      </c>
      <c r="C26" s="564" t="n">
        <v>663.603209433806</v>
      </c>
      <c r="D26" s="565" t="n">
        <v>680.4369000427</v>
      </c>
      <c r="E26" s="565" t="n">
        <v>1191.43682701679</v>
      </c>
      <c r="F26" s="543" t="n">
        <v>-2.47395322150196</v>
      </c>
      <c r="G26" s="544" t="n">
        <v>-44.3022748343791</v>
      </c>
    </row>
    <row r="27" ht="20" customHeight="1" s="524">
      <c r="B27" s="566" t="inlineStr">
        <is>
          <t>Ziemniaki</t>
        </is>
      </c>
      <c r="C27" s="567" t="inlineStr">
        <is>
          <t>---</t>
        </is>
      </c>
      <c r="D27" s="568" t="inlineStr">
        <is>
          <t>---</t>
        </is>
      </c>
      <c r="E27" s="568" t="inlineStr">
        <is>
          <t>---</t>
        </is>
      </c>
      <c r="F27" s="569" t="inlineStr">
        <is>
          <t>-</t>
        </is>
      </c>
      <c r="G27" s="570" t="inlineStr">
        <is>
          <t>-</t>
        </is>
      </c>
    </row>
  </sheetData>
  <mergeCells count="10">
    <mergeCell ref="D18:D19"/>
    <mergeCell ref="B18:B19"/>
    <mergeCell ref="E18:E19"/>
    <mergeCell ref="F18:G18"/>
    <mergeCell ref="F6:G6"/>
    <mergeCell ref="E6:E7"/>
    <mergeCell ref="C6:C7"/>
    <mergeCell ref="C18:C19"/>
    <mergeCell ref="D6:D7"/>
    <mergeCell ref="B6:B7"/>
  </mergeCells>
  <conditionalFormatting sqref="F8:G8">
    <cfRule type="cellIs" priority="1" operator="equal" dxfId="25" stopIfTrue="1">
      <formula>"-"</formula>
    </cfRule>
    <cfRule type="cellIs" priority="2" operator="lessThan" dxfId="24">
      <formula>0</formula>
    </cfRule>
    <cfRule type="cellIs" priority="3" operator="greaterThan" dxfId="23">
      <formula>0</formula>
    </cfRule>
  </conditionalFormatting>
  <conditionalFormatting sqref="F9:G9">
    <cfRule type="cellIs" priority="4" operator="equal" dxfId="25" stopIfTrue="1">
      <formula>"-"</formula>
    </cfRule>
    <cfRule type="cellIs" priority="5" operator="lessThan" dxfId="24">
      <formula>0</formula>
    </cfRule>
    <cfRule type="cellIs" priority="6" operator="greaterThan" dxfId="23">
      <formula>0</formula>
    </cfRule>
  </conditionalFormatting>
  <conditionalFormatting sqref="F10:G10">
    <cfRule type="cellIs" priority="7" operator="equal" dxfId="25" stopIfTrue="1">
      <formula>"-"</formula>
    </cfRule>
    <cfRule type="cellIs" priority="8" operator="lessThan" dxfId="24">
      <formula>0</formula>
    </cfRule>
    <cfRule type="cellIs" priority="9" operator="greaterThan" dxfId="23">
      <formula>0</formula>
    </cfRule>
  </conditionalFormatting>
  <conditionalFormatting sqref="F11:G11">
    <cfRule type="cellIs" priority="10" operator="equal" dxfId="25" stopIfTrue="1">
      <formula>"-"</formula>
    </cfRule>
    <cfRule type="cellIs" priority="11" operator="lessThan" dxfId="24">
      <formula>0</formula>
    </cfRule>
    <cfRule type="cellIs" priority="12" operator="greaterThan" dxfId="23">
      <formula>0</formula>
    </cfRule>
  </conditionalFormatting>
  <conditionalFormatting sqref="F12:G12">
    <cfRule type="cellIs" priority="13" operator="equal" dxfId="25" stopIfTrue="1">
      <formula>"-"</formula>
    </cfRule>
    <cfRule type="cellIs" priority="14" operator="lessThan" dxfId="24">
      <formula>0</formula>
    </cfRule>
    <cfRule type="cellIs" priority="15" operator="greaterThan" dxfId="23">
      <formula>0</formula>
    </cfRule>
  </conditionalFormatting>
  <conditionalFormatting sqref="F13:G13">
    <cfRule type="cellIs" priority="16" operator="equal" dxfId="25" stopIfTrue="1">
      <formula>"-"</formula>
    </cfRule>
    <cfRule type="cellIs" priority="17" operator="lessThan" dxfId="24">
      <formula>0</formula>
    </cfRule>
    <cfRule type="cellIs" priority="18" operator="greaterThan" dxfId="23">
      <formula>0</formula>
    </cfRule>
  </conditionalFormatting>
  <conditionalFormatting sqref="F14:G14">
    <cfRule type="cellIs" priority="19" operator="equal" dxfId="25" stopIfTrue="1">
      <formula>"-"</formula>
    </cfRule>
    <cfRule type="cellIs" priority="20" operator="lessThan" dxfId="24">
      <formula>0</formula>
    </cfRule>
    <cfRule type="cellIs" priority="21" operator="greaterThan" dxfId="23">
      <formula>0</formula>
    </cfRule>
  </conditionalFormatting>
  <conditionalFormatting sqref="F15:G15">
    <cfRule type="cellIs" priority="22" operator="equal" dxfId="25" stopIfTrue="1">
      <formula>"-"</formula>
    </cfRule>
    <cfRule type="cellIs" priority="23" operator="lessThan" dxfId="24">
      <formula>0</formula>
    </cfRule>
    <cfRule type="cellIs" priority="24" operator="greaterThan" dxfId="23">
      <formula>0</formula>
    </cfRule>
  </conditionalFormatting>
  <conditionalFormatting sqref="F20:G20">
    <cfRule type="cellIs" priority="25" operator="equal" dxfId="25" stopIfTrue="1">
      <formula>"-"</formula>
    </cfRule>
    <cfRule type="cellIs" priority="26" operator="lessThan" dxfId="24">
      <formula>0</formula>
    </cfRule>
    <cfRule type="cellIs" priority="27" operator="greaterThan" dxfId="23">
      <formula>0</formula>
    </cfRule>
  </conditionalFormatting>
  <conditionalFormatting sqref="F21:G21">
    <cfRule type="cellIs" priority="28" operator="equal" dxfId="25" stopIfTrue="1">
      <formula>"-"</formula>
    </cfRule>
    <cfRule type="cellIs" priority="29" operator="lessThan" dxfId="24">
      <formula>0</formula>
    </cfRule>
    <cfRule type="cellIs" priority="30" operator="greaterThan" dxfId="23">
      <formula>0</formula>
    </cfRule>
  </conditionalFormatting>
  <conditionalFormatting sqref="F22:G22">
    <cfRule type="cellIs" priority="31" operator="equal" dxfId="25" stopIfTrue="1">
      <formula>"-"</formula>
    </cfRule>
    <cfRule type="cellIs" priority="32" operator="lessThan" dxfId="24">
      <formula>0</formula>
    </cfRule>
    <cfRule type="cellIs" priority="33" operator="greaterThan" dxfId="23">
      <formula>0</formula>
    </cfRule>
  </conditionalFormatting>
  <conditionalFormatting sqref="F23:G23">
    <cfRule type="cellIs" priority="34" operator="equal" dxfId="25" stopIfTrue="1">
      <formula>"-"</formula>
    </cfRule>
    <cfRule type="cellIs" priority="35" operator="lessThan" dxfId="24">
      <formula>0</formula>
    </cfRule>
    <cfRule type="cellIs" priority="36" operator="greaterThan" dxfId="23">
      <formula>0</formula>
    </cfRule>
  </conditionalFormatting>
  <conditionalFormatting sqref="F24:G24">
    <cfRule type="cellIs" priority="37" operator="equal" dxfId="25" stopIfTrue="1">
      <formula>"-"</formula>
    </cfRule>
    <cfRule type="cellIs" priority="38" operator="lessThan" dxfId="24">
      <formula>0</formula>
    </cfRule>
    <cfRule type="cellIs" priority="39" operator="greaterThan" dxfId="23">
      <formula>0</formula>
    </cfRule>
  </conditionalFormatting>
  <conditionalFormatting sqref="F25:G25">
    <cfRule type="cellIs" priority="40" operator="equal" dxfId="25" stopIfTrue="1">
      <formula>"-"</formula>
    </cfRule>
    <cfRule type="cellIs" priority="41" operator="lessThan" dxfId="24">
      <formula>0</formula>
    </cfRule>
    <cfRule type="cellIs" priority="42" operator="greaterThan" dxfId="23">
      <formula>0</formula>
    </cfRule>
  </conditionalFormatting>
  <conditionalFormatting sqref="F26:G26">
    <cfRule type="cellIs" priority="43" operator="equal" dxfId="25" stopIfTrue="1">
      <formula>"-"</formula>
    </cfRule>
    <cfRule type="cellIs" priority="44" operator="lessThan" dxfId="24">
      <formula>0</formula>
    </cfRule>
    <cfRule type="cellIs" priority="45" operator="greaterThan" dxfId="23">
      <formula>0</formula>
    </cfRule>
  </conditionalFormatting>
  <conditionalFormatting sqref="F27:G27">
    <cfRule type="cellIs" priority="46" operator="equal" dxfId="25" stopIfTrue="1">
      <formula>"-"</formula>
    </cfRule>
    <cfRule type="cellIs" priority="47" operator="lessThan" dxfId="24">
      <formula>0</formula>
    </cfRule>
    <cfRule type="cellIs" priority="48" operator="greaterThan" dxfId="23">
      <formula>0</formula>
    </cfRule>
  </conditionalFormatting>
  <pageMargins left="0.75" right="0.75" top="0.75" bottom="0.5" header="0.5" footer="0.75"/>
  <pageSetup orientation="landscape"/>
</worksheet>
</file>

<file path=xl/worksheets/sheet14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A1:M72"/>
  <sheetViews>
    <sheetView showGridLines="0" topLeftCell="B1" workbookViewId="0">
      <selection activeCell="B1" sqref="B1"/>
    </sheetView>
  </sheetViews>
  <sheetFormatPr baseColWidth="8" defaultColWidth="9.1796875" defaultRowHeight="15.5"/>
  <cols>
    <col width="10.7265625" customWidth="1" style="53" min="1" max="20"/>
    <col width="9.1796875" customWidth="1" style="53" min="21" max="16384"/>
  </cols>
  <sheetData>
    <row r="1" ht="25" customFormat="1" customHeight="1" s="29">
      <c r="B1" s="53" t="n"/>
      <c r="D1" s="30" t="n"/>
      <c r="H1" s="31" t="n"/>
      <c r="I1" s="32" t="n"/>
    </row>
    <row r="2" ht="25" customFormat="1" customHeight="1" s="29">
      <c r="A2" s="223" t="n"/>
      <c r="B2" s="34" t="inlineStr">
        <is>
          <t xml:space="preserve">Średnie ceny zakupu jabłek (luzem) płacone przez podmioty handlu detalicznego </t>
        </is>
      </c>
      <c r="C2" s="256" t="n"/>
      <c r="D2" s="256" t="n"/>
      <c r="E2" s="256" t="n"/>
      <c r="F2" s="256" t="n"/>
      <c r="G2" s="256" t="n"/>
      <c r="H2" s="31" t="n"/>
      <c r="I2" s="31" t="n"/>
      <c r="J2" s="31" t="n"/>
      <c r="L2" s="31" t="n"/>
    </row>
    <row r="3" ht="25" customFormat="1" customHeight="1" s="29" thickBot="1">
      <c r="B3" s="37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</row>
    <row r="4" ht="25" customFormat="1" customHeight="1" s="29" thickTop="1">
      <c r="B4" s="540" t="n"/>
      <c r="C4" s="47" t="n"/>
      <c r="D4" s="48" t="n"/>
      <c r="E4" s="92" t="n"/>
      <c r="F4" s="257" t="n"/>
      <c r="G4" s="257" t="n"/>
      <c r="H4" s="224" t="n"/>
      <c r="I4" s="51" t="n"/>
      <c r="K4" s="52" t="n"/>
      <c r="L4" s="31" t="n"/>
      <c r="M4" s="159">
        <f>POMOC!B5</f>
        <v/>
      </c>
    </row>
    <row r="5" ht="20.15" customHeight="1" s="524"/>
    <row r="6" ht="20.15" customHeight="1" s="524"/>
    <row r="7" ht="20.15" customHeight="1" s="524"/>
    <row r="8" ht="20.15" customHeight="1" s="524"/>
    <row r="9" ht="20.15" customHeight="1" s="524"/>
    <row r="10" ht="20.15" customHeight="1" s="524"/>
    <row r="11" ht="20.15" customHeight="1" s="524"/>
    <row r="12" ht="20.15" customHeight="1" s="524"/>
    <row r="13" ht="20.15" customHeight="1" s="524"/>
    <row r="14" ht="20.15" customHeight="1" s="524"/>
    <row r="15" ht="20.15" customHeight="1" s="524"/>
    <row r="16" ht="20.15" customHeight="1" s="524"/>
    <row r="17" ht="20.15" customHeight="1" s="524"/>
    <row r="18" ht="20.15" customHeight="1" s="524"/>
    <row r="19" ht="20.15" customHeight="1" s="524"/>
    <row r="20" ht="20.15" customHeight="1" s="524"/>
    <row r="21" ht="20.15" customHeight="1" s="524"/>
    <row r="22" ht="20.15" customHeight="1" s="524"/>
    <row r="23" ht="20.15" customHeight="1" s="524"/>
    <row r="24" ht="20.15" customHeight="1" s="524"/>
    <row r="25" ht="20.15" customHeight="1" s="524"/>
    <row r="26" ht="20.15" customHeight="1" s="524"/>
    <row r="27" ht="20.15" customHeight="1" s="524"/>
    <row r="28" ht="20.15" customHeight="1" s="524"/>
    <row r="63"/>
    <row r="64"/>
    <row r="65"/>
    <row r="66">
      <c r="G66" s="29" t="n"/>
      <c r="H66" s="29" t="n"/>
      <c r="I66" s="29" t="n"/>
      <c r="J66" s="29" t="n"/>
    </row>
    <row r="67">
      <c r="G67" s="29" t="n"/>
      <c r="H67" s="29" t="n"/>
      <c r="I67" s="29" t="n"/>
      <c r="J67" s="29" t="n"/>
    </row>
    <row r="68">
      <c r="G68" s="29" t="n"/>
      <c r="H68" s="29" t="n"/>
      <c r="I68" s="29" t="n"/>
      <c r="J68" s="29" t="n"/>
    </row>
    <row r="69">
      <c r="G69" s="29" t="n"/>
      <c r="H69" s="29" t="n"/>
      <c r="I69" s="29" t="n"/>
      <c r="J69" s="29" t="n"/>
    </row>
    <row r="70">
      <c r="G70" s="29" t="n"/>
      <c r="H70" s="29" t="n"/>
      <c r="I70" s="29" t="n"/>
      <c r="J70" s="29" t="n"/>
    </row>
    <row r="71">
      <c r="G71" s="29" t="n"/>
      <c r="H71" s="29" t="n"/>
      <c r="I71" s="29" t="n"/>
      <c r="J71" s="29" t="n"/>
    </row>
    <row r="72">
      <c r="G72" s="29" t="n"/>
      <c r="H72" s="29" t="n"/>
      <c r="I72" s="29" t="n"/>
      <c r="J72" s="29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A1:M64"/>
  <sheetViews>
    <sheetView showGridLines="0" workbookViewId="0">
      <selection activeCell="B1" sqref="B1"/>
    </sheetView>
  </sheetViews>
  <sheetFormatPr baseColWidth="8" defaultColWidth="9.1796875" defaultRowHeight="15.5"/>
  <cols>
    <col width="10.7265625" customWidth="1" style="53" min="1" max="1"/>
    <col width="12.7265625" customWidth="1" style="53" min="2" max="2"/>
    <col width="11.54296875" bestFit="1" customWidth="1" style="53" min="3" max="3"/>
    <col width="10.1796875" bestFit="1" customWidth="1" style="53" min="4" max="4"/>
    <col width="9.1796875" customWidth="1" style="53" min="5" max="16384"/>
  </cols>
  <sheetData>
    <row r="1" ht="25" customFormat="1" customHeight="1" s="29">
      <c r="B1" s="53" t="n"/>
      <c r="D1" s="30" t="n"/>
      <c r="H1" s="31" t="n"/>
      <c r="I1" s="32" t="n"/>
    </row>
    <row r="2" ht="25" customFormat="1" customHeight="1" s="29">
      <c r="A2" s="223" t="n"/>
      <c r="B2" s="34" t="inlineStr">
        <is>
          <t xml:space="preserve">Średnie ceny zakupu warzyw (luzem) płacone przez podmioty handlu detalicznego </t>
        </is>
      </c>
      <c r="C2" s="256" t="n"/>
      <c r="D2" s="256" t="n"/>
      <c r="E2" s="256" t="n"/>
      <c r="F2" s="256" t="n"/>
      <c r="G2" s="256" t="n"/>
      <c r="H2" s="31" t="n"/>
      <c r="I2" s="31" t="n"/>
      <c r="J2" s="31" t="n"/>
      <c r="L2" s="31" t="n"/>
    </row>
    <row r="3" ht="25" customFormat="1" customHeight="1" s="29" thickBot="1">
      <c r="B3" s="37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</row>
    <row r="4" ht="25" customFormat="1" customHeight="1" s="29" thickTop="1">
      <c r="B4" s="540" t="n"/>
      <c r="C4" s="47" t="n"/>
      <c r="D4" s="48" t="n"/>
      <c r="E4" s="92" t="n"/>
      <c r="F4" s="257" t="n"/>
      <c r="G4" s="257" t="n"/>
      <c r="H4" s="224" t="n"/>
      <c r="I4" s="51" t="n"/>
      <c r="K4" s="52" t="n"/>
      <c r="L4" s="31" t="n"/>
      <c r="M4" s="159">
        <f>POMOC!B5</f>
        <v/>
      </c>
    </row>
    <row r="60">
      <c r="A60" s="258" t="n"/>
      <c r="B60" s="259" t="inlineStr">
        <is>
          <t xml:space="preserve">12.07.2026 </t>
        </is>
      </c>
      <c r="C60" s="259" t="inlineStr">
        <is>
          <t>05.07.2026</t>
        </is>
      </c>
      <c r="D60" s="260" t="n"/>
    </row>
    <row r="61">
      <c r="A61" s="258" t="inlineStr">
        <is>
          <t>Marchew</t>
        </is>
      </c>
      <c r="B61" s="261" t="n">
        <v>2.48</v>
      </c>
      <c r="C61" s="261" t="n">
        <v>2.56</v>
      </c>
      <c r="D61" s="262" t="n"/>
      <c r="E61" s="260" t="n"/>
    </row>
    <row r="62">
      <c r="A62" s="258" t="inlineStr">
        <is>
          <t>Pomidory okrągłe</t>
        </is>
      </c>
      <c r="B62" s="261" t="n">
        <v>4.207</v>
      </c>
      <c r="C62" s="261" t="n">
        <v>3.86</v>
      </c>
      <c r="D62" s="262" t="n"/>
      <c r="E62" s="262" t="n"/>
    </row>
    <row r="63">
      <c r="A63" s="258" t="inlineStr">
        <is>
          <t>Ziemniaki</t>
        </is>
      </c>
      <c r="B63" s="261" t="n">
        <v>1.259</v>
      </c>
      <c r="C63" s="261" t="n">
        <v>1.43</v>
      </c>
      <c r="E63" s="262" t="n"/>
    </row>
    <row r="64">
      <c r="E64" s="262" t="n"/>
    </row>
  </sheetData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0" topLeftCell="H27" zoomScaleNormal="100" workbookViewId="0">
      <selection activeCell="N36" sqref="N36"/>
    </sheetView>
  </sheetViews>
  <sheetFormatPr baseColWidth="8" defaultColWidth="8.81640625" defaultRowHeight="13"/>
  <cols>
    <col width="10.7265625" customWidth="1" style="21" min="1" max="1"/>
    <col width="20.1796875" bestFit="1" customWidth="1" style="523" min="2" max="2"/>
    <col width="15.7265625" customWidth="1" style="523" min="3" max="15"/>
    <col width="8.81640625" customWidth="1" style="523" min="16" max="231"/>
    <col width="18.7265625" bestFit="1" customWidth="1" style="523" min="232" max="232"/>
    <col width="17.26953125" customWidth="1" style="523" min="233" max="233"/>
    <col width="13.7265625" customWidth="1" style="523" min="234" max="234"/>
    <col width="15.26953125" customWidth="1" style="523" min="235" max="235"/>
    <col width="13.7265625" customWidth="1" style="523" min="236" max="236"/>
    <col width="15.54296875" customWidth="1" style="523" min="237" max="237"/>
    <col width="14.54296875" customWidth="1" style="523" min="238" max="238"/>
    <col width="13.7265625" customWidth="1" style="523" min="239" max="239"/>
    <col width="15.1796875" customWidth="1" style="523" min="240" max="240"/>
    <col width="16" customWidth="1" style="523" min="241" max="241"/>
    <col width="19" customWidth="1" style="523" min="242" max="242"/>
    <col width="11.81640625" customWidth="1" style="523" min="243" max="244"/>
    <col width="8.81640625" customWidth="1" style="523" min="245" max="487"/>
    <col width="18.7265625" bestFit="1" customWidth="1" style="523" min="488" max="488"/>
    <col width="17.26953125" customWidth="1" style="523" min="489" max="489"/>
    <col width="13.7265625" customWidth="1" style="523" min="490" max="490"/>
    <col width="15.26953125" customWidth="1" style="523" min="491" max="491"/>
    <col width="13.7265625" customWidth="1" style="523" min="492" max="492"/>
    <col width="15.54296875" customWidth="1" style="523" min="493" max="493"/>
    <col width="14.54296875" customWidth="1" style="523" min="494" max="494"/>
    <col width="13.7265625" customWidth="1" style="523" min="495" max="495"/>
    <col width="15.1796875" customWidth="1" style="523" min="496" max="496"/>
    <col width="16" customWidth="1" style="523" min="497" max="497"/>
    <col width="19" customWidth="1" style="523" min="498" max="498"/>
    <col width="11.81640625" customWidth="1" style="523" min="499" max="500"/>
    <col width="8.81640625" customWidth="1" style="523" min="501" max="743"/>
    <col width="18.7265625" bestFit="1" customWidth="1" style="523" min="744" max="744"/>
    <col width="17.26953125" customWidth="1" style="523" min="745" max="745"/>
    <col width="13.7265625" customWidth="1" style="523" min="746" max="746"/>
    <col width="15.26953125" customWidth="1" style="523" min="747" max="747"/>
    <col width="13.7265625" customWidth="1" style="523" min="748" max="748"/>
    <col width="15.54296875" customWidth="1" style="523" min="749" max="749"/>
    <col width="14.54296875" customWidth="1" style="523" min="750" max="750"/>
    <col width="13.7265625" customWidth="1" style="523" min="751" max="751"/>
    <col width="15.1796875" customWidth="1" style="523" min="752" max="752"/>
    <col width="16" customWidth="1" style="523" min="753" max="753"/>
    <col width="19" customWidth="1" style="523" min="754" max="754"/>
    <col width="11.81640625" customWidth="1" style="523" min="755" max="756"/>
    <col width="8.81640625" customWidth="1" style="523" min="757" max="999"/>
    <col width="18.7265625" bestFit="1" customWidth="1" style="523" min="1000" max="1000"/>
    <col width="17.26953125" customWidth="1" style="523" min="1001" max="1001"/>
    <col width="13.7265625" customWidth="1" style="523" min="1002" max="1002"/>
    <col width="15.26953125" customWidth="1" style="523" min="1003" max="1003"/>
    <col width="13.7265625" customWidth="1" style="523" min="1004" max="1004"/>
    <col width="15.54296875" customWidth="1" style="523" min="1005" max="1005"/>
    <col width="14.54296875" customWidth="1" style="523" min="1006" max="1006"/>
    <col width="13.7265625" customWidth="1" style="523" min="1007" max="1007"/>
    <col width="15.1796875" customWidth="1" style="523" min="1008" max="1008"/>
    <col width="16" customWidth="1" style="523" min="1009" max="1009"/>
    <col width="19" customWidth="1" style="523" min="1010" max="1010"/>
    <col width="11.81640625" customWidth="1" style="523" min="1011" max="1012"/>
    <col width="8.81640625" customWidth="1" style="523" min="1013" max="1255"/>
    <col width="18.7265625" bestFit="1" customWidth="1" style="523" min="1256" max="1256"/>
    <col width="17.26953125" customWidth="1" style="523" min="1257" max="1257"/>
    <col width="13.7265625" customWidth="1" style="523" min="1258" max="1258"/>
    <col width="15.26953125" customWidth="1" style="523" min="1259" max="1259"/>
    <col width="13.7265625" customWidth="1" style="523" min="1260" max="1260"/>
    <col width="15.54296875" customWidth="1" style="523" min="1261" max="1261"/>
    <col width="14.54296875" customWidth="1" style="523" min="1262" max="1262"/>
    <col width="13.7265625" customWidth="1" style="523" min="1263" max="1263"/>
    <col width="15.1796875" customWidth="1" style="523" min="1264" max="1264"/>
    <col width="16" customWidth="1" style="523" min="1265" max="1265"/>
    <col width="19" customWidth="1" style="523" min="1266" max="1266"/>
    <col width="11.81640625" customWidth="1" style="523" min="1267" max="1268"/>
    <col width="8.81640625" customWidth="1" style="523" min="1269" max="1511"/>
    <col width="18.7265625" bestFit="1" customWidth="1" style="523" min="1512" max="1512"/>
    <col width="17.26953125" customWidth="1" style="523" min="1513" max="1513"/>
    <col width="13.7265625" customWidth="1" style="523" min="1514" max="1514"/>
    <col width="15.26953125" customWidth="1" style="523" min="1515" max="1515"/>
    <col width="13.7265625" customWidth="1" style="523" min="1516" max="1516"/>
    <col width="15.54296875" customWidth="1" style="523" min="1517" max="1517"/>
    <col width="14.54296875" customWidth="1" style="523" min="1518" max="1518"/>
    <col width="13.7265625" customWidth="1" style="523" min="1519" max="1519"/>
    <col width="15.1796875" customWidth="1" style="523" min="1520" max="1520"/>
    <col width="16" customWidth="1" style="523" min="1521" max="1521"/>
    <col width="19" customWidth="1" style="523" min="1522" max="1522"/>
    <col width="11.81640625" customWidth="1" style="523" min="1523" max="1524"/>
    <col width="8.81640625" customWidth="1" style="523" min="1525" max="1767"/>
    <col width="18.7265625" bestFit="1" customWidth="1" style="523" min="1768" max="1768"/>
    <col width="17.26953125" customWidth="1" style="523" min="1769" max="1769"/>
    <col width="13.7265625" customWidth="1" style="523" min="1770" max="1770"/>
    <col width="15.26953125" customWidth="1" style="523" min="1771" max="1771"/>
    <col width="13.7265625" customWidth="1" style="523" min="1772" max="1772"/>
    <col width="15.54296875" customWidth="1" style="523" min="1773" max="1773"/>
    <col width="14.54296875" customWidth="1" style="523" min="1774" max="1774"/>
    <col width="13.7265625" customWidth="1" style="523" min="1775" max="1775"/>
    <col width="15.1796875" customWidth="1" style="523" min="1776" max="1776"/>
    <col width="16" customWidth="1" style="523" min="1777" max="1777"/>
    <col width="19" customWidth="1" style="523" min="1778" max="1778"/>
    <col width="11.81640625" customWidth="1" style="523" min="1779" max="1780"/>
    <col width="8.81640625" customWidth="1" style="523" min="1781" max="2023"/>
    <col width="18.7265625" bestFit="1" customWidth="1" style="523" min="2024" max="2024"/>
    <col width="17.26953125" customWidth="1" style="523" min="2025" max="2025"/>
    <col width="13.7265625" customWidth="1" style="523" min="2026" max="2026"/>
    <col width="15.26953125" customWidth="1" style="523" min="2027" max="2027"/>
    <col width="13.7265625" customWidth="1" style="523" min="2028" max="2028"/>
    <col width="15.54296875" customWidth="1" style="523" min="2029" max="2029"/>
    <col width="14.54296875" customWidth="1" style="523" min="2030" max="2030"/>
    <col width="13.7265625" customWidth="1" style="523" min="2031" max="2031"/>
    <col width="15.1796875" customWidth="1" style="523" min="2032" max="2032"/>
    <col width="16" customWidth="1" style="523" min="2033" max="2033"/>
    <col width="19" customWidth="1" style="523" min="2034" max="2034"/>
    <col width="11.81640625" customWidth="1" style="523" min="2035" max="2036"/>
    <col width="8.81640625" customWidth="1" style="523" min="2037" max="2279"/>
    <col width="18.7265625" bestFit="1" customWidth="1" style="523" min="2280" max="2280"/>
    <col width="17.26953125" customWidth="1" style="523" min="2281" max="2281"/>
    <col width="13.7265625" customWidth="1" style="523" min="2282" max="2282"/>
    <col width="15.26953125" customWidth="1" style="523" min="2283" max="2283"/>
    <col width="13.7265625" customWidth="1" style="523" min="2284" max="2284"/>
    <col width="15.54296875" customWidth="1" style="523" min="2285" max="2285"/>
    <col width="14.54296875" customWidth="1" style="523" min="2286" max="2286"/>
    <col width="13.7265625" customWidth="1" style="523" min="2287" max="2287"/>
    <col width="15.1796875" customWidth="1" style="523" min="2288" max="2288"/>
    <col width="16" customWidth="1" style="523" min="2289" max="2289"/>
    <col width="19" customWidth="1" style="523" min="2290" max="2290"/>
    <col width="11.81640625" customWidth="1" style="523" min="2291" max="2292"/>
    <col width="8.81640625" customWidth="1" style="523" min="2293" max="2535"/>
    <col width="18.7265625" bestFit="1" customWidth="1" style="523" min="2536" max="2536"/>
    <col width="17.26953125" customWidth="1" style="523" min="2537" max="2537"/>
    <col width="13.7265625" customWidth="1" style="523" min="2538" max="2538"/>
    <col width="15.26953125" customWidth="1" style="523" min="2539" max="2539"/>
    <col width="13.7265625" customWidth="1" style="523" min="2540" max="2540"/>
    <col width="15.54296875" customWidth="1" style="523" min="2541" max="2541"/>
    <col width="14.54296875" customWidth="1" style="523" min="2542" max="2542"/>
    <col width="13.7265625" customWidth="1" style="523" min="2543" max="2543"/>
    <col width="15.1796875" customWidth="1" style="523" min="2544" max="2544"/>
    <col width="16" customWidth="1" style="523" min="2545" max="2545"/>
    <col width="19" customWidth="1" style="523" min="2546" max="2546"/>
    <col width="11.81640625" customWidth="1" style="523" min="2547" max="2548"/>
    <col width="8.81640625" customWidth="1" style="523" min="2549" max="2791"/>
    <col width="18.7265625" bestFit="1" customWidth="1" style="523" min="2792" max="2792"/>
    <col width="17.26953125" customWidth="1" style="523" min="2793" max="2793"/>
    <col width="13.7265625" customWidth="1" style="523" min="2794" max="2794"/>
    <col width="15.26953125" customWidth="1" style="523" min="2795" max="2795"/>
    <col width="13.7265625" customWidth="1" style="523" min="2796" max="2796"/>
    <col width="15.54296875" customWidth="1" style="523" min="2797" max="2797"/>
    <col width="14.54296875" customWidth="1" style="523" min="2798" max="2798"/>
    <col width="13.7265625" customWidth="1" style="523" min="2799" max="2799"/>
    <col width="15.1796875" customWidth="1" style="523" min="2800" max="2800"/>
    <col width="16" customWidth="1" style="523" min="2801" max="2801"/>
    <col width="19" customWidth="1" style="523" min="2802" max="2802"/>
    <col width="11.81640625" customWidth="1" style="523" min="2803" max="2804"/>
    <col width="8.81640625" customWidth="1" style="523" min="2805" max="3047"/>
    <col width="18.7265625" bestFit="1" customWidth="1" style="523" min="3048" max="3048"/>
    <col width="17.26953125" customWidth="1" style="523" min="3049" max="3049"/>
    <col width="13.7265625" customWidth="1" style="523" min="3050" max="3050"/>
    <col width="15.26953125" customWidth="1" style="523" min="3051" max="3051"/>
    <col width="13.7265625" customWidth="1" style="523" min="3052" max="3052"/>
    <col width="15.54296875" customWidth="1" style="523" min="3053" max="3053"/>
    <col width="14.54296875" customWidth="1" style="523" min="3054" max="3054"/>
    <col width="13.7265625" customWidth="1" style="523" min="3055" max="3055"/>
    <col width="15.1796875" customWidth="1" style="523" min="3056" max="3056"/>
    <col width="16" customWidth="1" style="523" min="3057" max="3057"/>
    <col width="19" customWidth="1" style="523" min="3058" max="3058"/>
    <col width="11.81640625" customWidth="1" style="523" min="3059" max="3060"/>
    <col width="8.81640625" customWidth="1" style="523" min="3061" max="3303"/>
    <col width="18.7265625" bestFit="1" customWidth="1" style="523" min="3304" max="3304"/>
    <col width="17.26953125" customWidth="1" style="523" min="3305" max="3305"/>
    <col width="13.7265625" customWidth="1" style="523" min="3306" max="3306"/>
    <col width="15.26953125" customWidth="1" style="523" min="3307" max="3307"/>
    <col width="13.7265625" customWidth="1" style="523" min="3308" max="3308"/>
    <col width="15.54296875" customWidth="1" style="523" min="3309" max="3309"/>
    <col width="14.54296875" customWidth="1" style="523" min="3310" max="3310"/>
    <col width="13.7265625" customWidth="1" style="523" min="3311" max="3311"/>
    <col width="15.1796875" customWidth="1" style="523" min="3312" max="3312"/>
    <col width="16" customWidth="1" style="523" min="3313" max="3313"/>
    <col width="19" customWidth="1" style="523" min="3314" max="3314"/>
    <col width="11.81640625" customWidth="1" style="523" min="3315" max="3316"/>
    <col width="8.81640625" customWidth="1" style="523" min="3317" max="3559"/>
    <col width="18.7265625" bestFit="1" customWidth="1" style="523" min="3560" max="3560"/>
    <col width="17.26953125" customWidth="1" style="523" min="3561" max="3561"/>
    <col width="13.7265625" customWidth="1" style="523" min="3562" max="3562"/>
    <col width="15.26953125" customWidth="1" style="523" min="3563" max="3563"/>
    <col width="13.7265625" customWidth="1" style="523" min="3564" max="3564"/>
    <col width="15.54296875" customWidth="1" style="523" min="3565" max="3565"/>
    <col width="14.54296875" customWidth="1" style="523" min="3566" max="3566"/>
    <col width="13.7265625" customWidth="1" style="523" min="3567" max="3567"/>
    <col width="15.1796875" customWidth="1" style="523" min="3568" max="3568"/>
    <col width="16" customWidth="1" style="523" min="3569" max="3569"/>
    <col width="19" customWidth="1" style="523" min="3570" max="3570"/>
    <col width="11.81640625" customWidth="1" style="523" min="3571" max="3572"/>
    <col width="8.81640625" customWidth="1" style="523" min="3573" max="3815"/>
    <col width="18.7265625" bestFit="1" customWidth="1" style="523" min="3816" max="3816"/>
    <col width="17.26953125" customWidth="1" style="523" min="3817" max="3817"/>
    <col width="13.7265625" customWidth="1" style="523" min="3818" max="3818"/>
    <col width="15.26953125" customWidth="1" style="523" min="3819" max="3819"/>
    <col width="13.7265625" customWidth="1" style="523" min="3820" max="3820"/>
    <col width="15.54296875" customWidth="1" style="523" min="3821" max="3821"/>
    <col width="14.54296875" customWidth="1" style="523" min="3822" max="3822"/>
    <col width="13.7265625" customWidth="1" style="523" min="3823" max="3823"/>
    <col width="15.1796875" customWidth="1" style="523" min="3824" max="3824"/>
    <col width="16" customWidth="1" style="523" min="3825" max="3825"/>
    <col width="19" customWidth="1" style="523" min="3826" max="3826"/>
    <col width="11.81640625" customWidth="1" style="523" min="3827" max="3828"/>
    <col width="8.81640625" customWidth="1" style="523" min="3829" max="4071"/>
    <col width="18.7265625" bestFit="1" customWidth="1" style="523" min="4072" max="4072"/>
    <col width="17.26953125" customWidth="1" style="523" min="4073" max="4073"/>
    <col width="13.7265625" customWidth="1" style="523" min="4074" max="4074"/>
    <col width="15.26953125" customWidth="1" style="523" min="4075" max="4075"/>
    <col width="13.7265625" customWidth="1" style="523" min="4076" max="4076"/>
    <col width="15.54296875" customWidth="1" style="523" min="4077" max="4077"/>
    <col width="14.54296875" customWidth="1" style="523" min="4078" max="4078"/>
    <col width="13.7265625" customWidth="1" style="523" min="4079" max="4079"/>
    <col width="15.1796875" customWidth="1" style="523" min="4080" max="4080"/>
    <col width="16" customWidth="1" style="523" min="4081" max="4081"/>
    <col width="19" customWidth="1" style="523" min="4082" max="4082"/>
    <col width="11.81640625" customWidth="1" style="523" min="4083" max="4084"/>
    <col width="8.81640625" customWidth="1" style="523" min="4085" max="4327"/>
    <col width="18.7265625" bestFit="1" customWidth="1" style="523" min="4328" max="4328"/>
    <col width="17.26953125" customWidth="1" style="523" min="4329" max="4329"/>
    <col width="13.7265625" customWidth="1" style="523" min="4330" max="4330"/>
    <col width="15.26953125" customWidth="1" style="523" min="4331" max="4331"/>
    <col width="13.7265625" customWidth="1" style="523" min="4332" max="4332"/>
    <col width="15.54296875" customWidth="1" style="523" min="4333" max="4333"/>
    <col width="14.54296875" customWidth="1" style="523" min="4334" max="4334"/>
    <col width="13.7265625" customWidth="1" style="523" min="4335" max="4335"/>
    <col width="15.1796875" customWidth="1" style="523" min="4336" max="4336"/>
    <col width="16" customWidth="1" style="523" min="4337" max="4337"/>
    <col width="19" customWidth="1" style="523" min="4338" max="4338"/>
    <col width="11.81640625" customWidth="1" style="523" min="4339" max="4340"/>
    <col width="8.81640625" customWidth="1" style="523" min="4341" max="4583"/>
    <col width="18.7265625" bestFit="1" customWidth="1" style="523" min="4584" max="4584"/>
    <col width="17.26953125" customWidth="1" style="523" min="4585" max="4585"/>
    <col width="13.7265625" customWidth="1" style="523" min="4586" max="4586"/>
    <col width="15.26953125" customWidth="1" style="523" min="4587" max="4587"/>
    <col width="13.7265625" customWidth="1" style="523" min="4588" max="4588"/>
    <col width="15.54296875" customWidth="1" style="523" min="4589" max="4589"/>
    <col width="14.54296875" customWidth="1" style="523" min="4590" max="4590"/>
    <col width="13.7265625" customWidth="1" style="523" min="4591" max="4591"/>
    <col width="15.1796875" customWidth="1" style="523" min="4592" max="4592"/>
    <col width="16" customWidth="1" style="523" min="4593" max="4593"/>
    <col width="19" customWidth="1" style="523" min="4594" max="4594"/>
    <col width="11.81640625" customWidth="1" style="523" min="4595" max="4596"/>
    <col width="8.81640625" customWidth="1" style="523" min="4597" max="4839"/>
    <col width="18.7265625" bestFit="1" customWidth="1" style="523" min="4840" max="4840"/>
    <col width="17.26953125" customWidth="1" style="523" min="4841" max="4841"/>
    <col width="13.7265625" customWidth="1" style="523" min="4842" max="4842"/>
    <col width="15.26953125" customWidth="1" style="523" min="4843" max="4843"/>
    <col width="13.7265625" customWidth="1" style="523" min="4844" max="4844"/>
    <col width="15.54296875" customWidth="1" style="523" min="4845" max="4845"/>
    <col width="14.54296875" customWidth="1" style="523" min="4846" max="4846"/>
    <col width="13.7265625" customWidth="1" style="523" min="4847" max="4847"/>
    <col width="15.1796875" customWidth="1" style="523" min="4848" max="4848"/>
    <col width="16" customWidth="1" style="523" min="4849" max="4849"/>
    <col width="19" customWidth="1" style="523" min="4850" max="4850"/>
    <col width="11.81640625" customWidth="1" style="523" min="4851" max="4852"/>
    <col width="8.81640625" customWidth="1" style="523" min="4853" max="5095"/>
    <col width="18.7265625" bestFit="1" customWidth="1" style="523" min="5096" max="5096"/>
    <col width="17.26953125" customWidth="1" style="523" min="5097" max="5097"/>
    <col width="13.7265625" customWidth="1" style="523" min="5098" max="5098"/>
    <col width="15.26953125" customWidth="1" style="523" min="5099" max="5099"/>
    <col width="13.7265625" customWidth="1" style="523" min="5100" max="5100"/>
    <col width="15.54296875" customWidth="1" style="523" min="5101" max="5101"/>
    <col width="14.54296875" customWidth="1" style="523" min="5102" max="5102"/>
    <col width="13.7265625" customWidth="1" style="523" min="5103" max="5103"/>
    <col width="15.1796875" customWidth="1" style="523" min="5104" max="5104"/>
    <col width="16" customWidth="1" style="523" min="5105" max="5105"/>
    <col width="19" customWidth="1" style="523" min="5106" max="5106"/>
    <col width="11.81640625" customWidth="1" style="523" min="5107" max="5108"/>
    <col width="8.81640625" customWidth="1" style="523" min="5109" max="5351"/>
    <col width="18.7265625" bestFit="1" customWidth="1" style="523" min="5352" max="5352"/>
    <col width="17.26953125" customWidth="1" style="523" min="5353" max="5353"/>
    <col width="13.7265625" customWidth="1" style="523" min="5354" max="5354"/>
    <col width="15.26953125" customWidth="1" style="523" min="5355" max="5355"/>
    <col width="13.7265625" customWidth="1" style="523" min="5356" max="5356"/>
    <col width="15.54296875" customWidth="1" style="523" min="5357" max="5357"/>
    <col width="14.54296875" customWidth="1" style="523" min="5358" max="5358"/>
    <col width="13.7265625" customWidth="1" style="523" min="5359" max="5359"/>
    <col width="15.1796875" customWidth="1" style="523" min="5360" max="5360"/>
    <col width="16" customWidth="1" style="523" min="5361" max="5361"/>
    <col width="19" customWidth="1" style="523" min="5362" max="5362"/>
    <col width="11.81640625" customWidth="1" style="523" min="5363" max="5364"/>
    <col width="8.81640625" customWidth="1" style="523" min="5365" max="5607"/>
    <col width="18.7265625" bestFit="1" customWidth="1" style="523" min="5608" max="5608"/>
    <col width="17.26953125" customWidth="1" style="523" min="5609" max="5609"/>
    <col width="13.7265625" customWidth="1" style="523" min="5610" max="5610"/>
    <col width="15.26953125" customWidth="1" style="523" min="5611" max="5611"/>
    <col width="13.7265625" customWidth="1" style="523" min="5612" max="5612"/>
    <col width="15.54296875" customWidth="1" style="523" min="5613" max="5613"/>
    <col width="14.54296875" customWidth="1" style="523" min="5614" max="5614"/>
    <col width="13.7265625" customWidth="1" style="523" min="5615" max="5615"/>
    <col width="15.1796875" customWidth="1" style="523" min="5616" max="5616"/>
    <col width="16" customWidth="1" style="523" min="5617" max="5617"/>
    <col width="19" customWidth="1" style="523" min="5618" max="5618"/>
    <col width="11.81640625" customWidth="1" style="523" min="5619" max="5620"/>
    <col width="8.81640625" customWidth="1" style="523" min="5621" max="5863"/>
    <col width="18.7265625" bestFit="1" customWidth="1" style="523" min="5864" max="5864"/>
    <col width="17.26953125" customWidth="1" style="523" min="5865" max="5865"/>
    <col width="13.7265625" customWidth="1" style="523" min="5866" max="5866"/>
    <col width="15.26953125" customWidth="1" style="523" min="5867" max="5867"/>
    <col width="13.7265625" customWidth="1" style="523" min="5868" max="5868"/>
    <col width="15.54296875" customWidth="1" style="523" min="5869" max="5869"/>
    <col width="14.54296875" customWidth="1" style="523" min="5870" max="5870"/>
    <col width="13.7265625" customWidth="1" style="523" min="5871" max="5871"/>
    <col width="15.1796875" customWidth="1" style="523" min="5872" max="5872"/>
    <col width="16" customWidth="1" style="523" min="5873" max="5873"/>
    <col width="19" customWidth="1" style="523" min="5874" max="5874"/>
    <col width="11.81640625" customWidth="1" style="523" min="5875" max="5876"/>
    <col width="8.81640625" customWidth="1" style="523" min="5877" max="6119"/>
    <col width="18.7265625" bestFit="1" customWidth="1" style="523" min="6120" max="6120"/>
    <col width="17.26953125" customWidth="1" style="523" min="6121" max="6121"/>
    <col width="13.7265625" customWidth="1" style="523" min="6122" max="6122"/>
    <col width="15.26953125" customWidth="1" style="523" min="6123" max="6123"/>
    <col width="13.7265625" customWidth="1" style="523" min="6124" max="6124"/>
    <col width="15.54296875" customWidth="1" style="523" min="6125" max="6125"/>
    <col width="14.54296875" customWidth="1" style="523" min="6126" max="6126"/>
    <col width="13.7265625" customWidth="1" style="523" min="6127" max="6127"/>
    <col width="15.1796875" customWidth="1" style="523" min="6128" max="6128"/>
    <col width="16" customWidth="1" style="523" min="6129" max="6129"/>
    <col width="19" customWidth="1" style="523" min="6130" max="6130"/>
    <col width="11.81640625" customWidth="1" style="523" min="6131" max="6132"/>
    <col width="8.81640625" customWidth="1" style="523" min="6133" max="6375"/>
    <col width="18.7265625" bestFit="1" customWidth="1" style="523" min="6376" max="6376"/>
    <col width="17.26953125" customWidth="1" style="523" min="6377" max="6377"/>
    <col width="13.7265625" customWidth="1" style="523" min="6378" max="6378"/>
    <col width="15.26953125" customWidth="1" style="523" min="6379" max="6379"/>
    <col width="13.7265625" customWidth="1" style="523" min="6380" max="6380"/>
    <col width="15.54296875" customWidth="1" style="523" min="6381" max="6381"/>
    <col width="14.54296875" customWidth="1" style="523" min="6382" max="6382"/>
    <col width="13.7265625" customWidth="1" style="523" min="6383" max="6383"/>
    <col width="15.1796875" customWidth="1" style="523" min="6384" max="6384"/>
    <col width="16" customWidth="1" style="523" min="6385" max="6385"/>
    <col width="19" customWidth="1" style="523" min="6386" max="6386"/>
    <col width="11.81640625" customWidth="1" style="523" min="6387" max="6388"/>
    <col width="8.81640625" customWidth="1" style="523" min="6389" max="6631"/>
    <col width="18.7265625" bestFit="1" customWidth="1" style="523" min="6632" max="6632"/>
    <col width="17.26953125" customWidth="1" style="523" min="6633" max="6633"/>
    <col width="13.7265625" customWidth="1" style="523" min="6634" max="6634"/>
    <col width="15.26953125" customWidth="1" style="523" min="6635" max="6635"/>
    <col width="13.7265625" customWidth="1" style="523" min="6636" max="6636"/>
    <col width="15.54296875" customWidth="1" style="523" min="6637" max="6637"/>
    <col width="14.54296875" customWidth="1" style="523" min="6638" max="6638"/>
    <col width="13.7265625" customWidth="1" style="523" min="6639" max="6639"/>
    <col width="15.1796875" customWidth="1" style="523" min="6640" max="6640"/>
    <col width="16" customWidth="1" style="523" min="6641" max="6641"/>
    <col width="19" customWidth="1" style="523" min="6642" max="6642"/>
    <col width="11.81640625" customWidth="1" style="523" min="6643" max="6644"/>
    <col width="8.81640625" customWidth="1" style="523" min="6645" max="6887"/>
    <col width="18.7265625" bestFit="1" customWidth="1" style="523" min="6888" max="6888"/>
    <col width="17.26953125" customWidth="1" style="523" min="6889" max="6889"/>
    <col width="13.7265625" customWidth="1" style="523" min="6890" max="6890"/>
    <col width="15.26953125" customWidth="1" style="523" min="6891" max="6891"/>
    <col width="13.7265625" customWidth="1" style="523" min="6892" max="6892"/>
    <col width="15.54296875" customWidth="1" style="523" min="6893" max="6893"/>
    <col width="14.54296875" customWidth="1" style="523" min="6894" max="6894"/>
    <col width="13.7265625" customWidth="1" style="523" min="6895" max="6895"/>
    <col width="15.1796875" customWidth="1" style="523" min="6896" max="6896"/>
    <col width="16" customWidth="1" style="523" min="6897" max="6897"/>
    <col width="19" customWidth="1" style="523" min="6898" max="6898"/>
    <col width="11.81640625" customWidth="1" style="523" min="6899" max="6900"/>
    <col width="8.81640625" customWidth="1" style="523" min="6901" max="7143"/>
    <col width="18.7265625" bestFit="1" customWidth="1" style="523" min="7144" max="7144"/>
    <col width="17.26953125" customWidth="1" style="523" min="7145" max="7145"/>
    <col width="13.7265625" customWidth="1" style="523" min="7146" max="7146"/>
    <col width="15.26953125" customWidth="1" style="523" min="7147" max="7147"/>
    <col width="13.7265625" customWidth="1" style="523" min="7148" max="7148"/>
    <col width="15.54296875" customWidth="1" style="523" min="7149" max="7149"/>
    <col width="14.54296875" customWidth="1" style="523" min="7150" max="7150"/>
    <col width="13.7265625" customWidth="1" style="523" min="7151" max="7151"/>
    <col width="15.1796875" customWidth="1" style="523" min="7152" max="7152"/>
    <col width="16" customWidth="1" style="523" min="7153" max="7153"/>
    <col width="19" customWidth="1" style="523" min="7154" max="7154"/>
    <col width="11.81640625" customWidth="1" style="523" min="7155" max="7156"/>
    <col width="8.81640625" customWidth="1" style="523" min="7157" max="7399"/>
    <col width="18.7265625" bestFit="1" customWidth="1" style="523" min="7400" max="7400"/>
    <col width="17.26953125" customWidth="1" style="523" min="7401" max="7401"/>
    <col width="13.7265625" customWidth="1" style="523" min="7402" max="7402"/>
    <col width="15.26953125" customWidth="1" style="523" min="7403" max="7403"/>
    <col width="13.7265625" customWidth="1" style="523" min="7404" max="7404"/>
    <col width="15.54296875" customWidth="1" style="523" min="7405" max="7405"/>
    <col width="14.54296875" customWidth="1" style="523" min="7406" max="7406"/>
    <col width="13.7265625" customWidth="1" style="523" min="7407" max="7407"/>
    <col width="15.1796875" customWidth="1" style="523" min="7408" max="7408"/>
    <col width="16" customWidth="1" style="523" min="7409" max="7409"/>
    <col width="19" customWidth="1" style="523" min="7410" max="7410"/>
    <col width="11.81640625" customWidth="1" style="523" min="7411" max="7412"/>
    <col width="8.81640625" customWidth="1" style="523" min="7413" max="7655"/>
    <col width="18.7265625" bestFit="1" customWidth="1" style="523" min="7656" max="7656"/>
    <col width="17.26953125" customWidth="1" style="523" min="7657" max="7657"/>
    <col width="13.7265625" customWidth="1" style="523" min="7658" max="7658"/>
    <col width="15.26953125" customWidth="1" style="523" min="7659" max="7659"/>
    <col width="13.7265625" customWidth="1" style="523" min="7660" max="7660"/>
    <col width="15.54296875" customWidth="1" style="523" min="7661" max="7661"/>
    <col width="14.54296875" customWidth="1" style="523" min="7662" max="7662"/>
    <col width="13.7265625" customWidth="1" style="523" min="7663" max="7663"/>
    <col width="15.1796875" customWidth="1" style="523" min="7664" max="7664"/>
    <col width="16" customWidth="1" style="523" min="7665" max="7665"/>
    <col width="19" customWidth="1" style="523" min="7666" max="7666"/>
    <col width="11.81640625" customWidth="1" style="523" min="7667" max="7668"/>
    <col width="8.81640625" customWidth="1" style="523" min="7669" max="7911"/>
    <col width="18.7265625" bestFit="1" customWidth="1" style="523" min="7912" max="7912"/>
    <col width="17.26953125" customWidth="1" style="523" min="7913" max="7913"/>
    <col width="13.7265625" customWidth="1" style="523" min="7914" max="7914"/>
    <col width="15.26953125" customWidth="1" style="523" min="7915" max="7915"/>
    <col width="13.7265625" customWidth="1" style="523" min="7916" max="7916"/>
    <col width="15.54296875" customWidth="1" style="523" min="7917" max="7917"/>
    <col width="14.54296875" customWidth="1" style="523" min="7918" max="7918"/>
    <col width="13.7265625" customWidth="1" style="523" min="7919" max="7919"/>
    <col width="15.1796875" customWidth="1" style="523" min="7920" max="7920"/>
    <col width="16" customWidth="1" style="523" min="7921" max="7921"/>
    <col width="19" customWidth="1" style="523" min="7922" max="7922"/>
    <col width="11.81640625" customWidth="1" style="523" min="7923" max="7924"/>
    <col width="8.81640625" customWidth="1" style="523" min="7925" max="8167"/>
    <col width="18.7265625" bestFit="1" customWidth="1" style="523" min="8168" max="8168"/>
    <col width="17.26953125" customWidth="1" style="523" min="8169" max="8169"/>
    <col width="13.7265625" customWidth="1" style="523" min="8170" max="8170"/>
    <col width="15.26953125" customWidth="1" style="523" min="8171" max="8171"/>
    <col width="13.7265625" customWidth="1" style="523" min="8172" max="8172"/>
    <col width="15.54296875" customWidth="1" style="523" min="8173" max="8173"/>
    <col width="14.54296875" customWidth="1" style="523" min="8174" max="8174"/>
    <col width="13.7265625" customWidth="1" style="523" min="8175" max="8175"/>
    <col width="15.1796875" customWidth="1" style="523" min="8176" max="8176"/>
    <col width="16" customWidth="1" style="523" min="8177" max="8177"/>
    <col width="19" customWidth="1" style="523" min="8178" max="8178"/>
    <col width="11.81640625" customWidth="1" style="523" min="8179" max="8180"/>
    <col width="8.81640625" customWidth="1" style="523" min="8181" max="8423"/>
    <col width="18.7265625" bestFit="1" customWidth="1" style="523" min="8424" max="8424"/>
    <col width="17.26953125" customWidth="1" style="523" min="8425" max="8425"/>
    <col width="13.7265625" customWidth="1" style="523" min="8426" max="8426"/>
    <col width="15.26953125" customWidth="1" style="523" min="8427" max="8427"/>
    <col width="13.7265625" customWidth="1" style="523" min="8428" max="8428"/>
    <col width="15.54296875" customWidth="1" style="523" min="8429" max="8429"/>
    <col width="14.54296875" customWidth="1" style="523" min="8430" max="8430"/>
    <col width="13.7265625" customWidth="1" style="523" min="8431" max="8431"/>
    <col width="15.1796875" customWidth="1" style="523" min="8432" max="8432"/>
    <col width="16" customWidth="1" style="523" min="8433" max="8433"/>
    <col width="19" customWidth="1" style="523" min="8434" max="8434"/>
    <col width="11.81640625" customWidth="1" style="523" min="8435" max="8436"/>
    <col width="8.81640625" customWidth="1" style="523" min="8437" max="8679"/>
    <col width="18.7265625" bestFit="1" customWidth="1" style="523" min="8680" max="8680"/>
    <col width="17.26953125" customWidth="1" style="523" min="8681" max="8681"/>
    <col width="13.7265625" customWidth="1" style="523" min="8682" max="8682"/>
    <col width="15.26953125" customWidth="1" style="523" min="8683" max="8683"/>
    <col width="13.7265625" customWidth="1" style="523" min="8684" max="8684"/>
    <col width="15.54296875" customWidth="1" style="523" min="8685" max="8685"/>
    <col width="14.54296875" customWidth="1" style="523" min="8686" max="8686"/>
    <col width="13.7265625" customWidth="1" style="523" min="8687" max="8687"/>
    <col width="15.1796875" customWidth="1" style="523" min="8688" max="8688"/>
    <col width="16" customWidth="1" style="523" min="8689" max="8689"/>
    <col width="19" customWidth="1" style="523" min="8690" max="8690"/>
    <col width="11.81640625" customWidth="1" style="523" min="8691" max="8692"/>
    <col width="8.81640625" customWidth="1" style="523" min="8693" max="8935"/>
    <col width="18.7265625" bestFit="1" customWidth="1" style="523" min="8936" max="8936"/>
    <col width="17.26953125" customWidth="1" style="523" min="8937" max="8937"/>
    <col width="13.7265625" customWidth="1" style="523" min="8938" max="8938"/>
    <col width="15.26953125" customWidth="1" style="523" min="8939" max="8939"/>
    <col width="13.7265625" customWidth="1" style="523" min="8940" max="8940"/>
    <col width="15.54296875" customWidth="1" style="523" min="8941" max="8941"/>
    <col width="14.54296875" customWidth="1" style="523" min="8942" max="8942"/>
    <col width="13.7265625" customWidth="1" style="523" min="8943" max="8943"/>
    <col width="15.1796875" customWidth="1" style="523" min="8944" max="8944"/>
    <col width="16" customWidth="1" style="523" min="8945" max="8945"/>
    <col width="19" customWidth="1" style="523" min="8946" max="8946"/>
    <col width="11.81640625" customWidth="1" style="523" min="8947" max="8948"/>
    <col width="8.81640625" customWidth="1" style="523" min="8949" max="9191"/>
    <col width="18.7265625" bestFit="1" customWidth="1" style="523" min="9192" max="9192"/>
    <col width="17.26953125" customWidth="1" style="523" min="9193" max="9193"/>
    <col width="13.7265625" customWidth="1" style="523" min="9194" max="9194"/>
    <col width="15.26953125" customWidth="1" style="523" min="9195" max="9195"/>
    <col width="13.7265625" customWidth="1" style="523" min="9196" max="9196"/>
    <col width="15.54296875" customWidth="1" style="523" min="9197" max="9197"/>
    <col width="14.54296875" customWidth="1" style="523" min="9198" max="9198"/>
    <col width="13.7265625" customWidth="1" style="523" min="9199" max="9199"/>
    <col width="15.1796875" customWidth="1" style="523" min="9200" max="9200"/>
    <col width="16" customWidth="1" style="523" min="9201" max="9201"/>
    <col width="19" customWidth="1" style="523" min="9202" max="9202"/>
    <col width="11.81640625" customWidth="1" style="523" min="9203" max="9204"/>
    <col width="8.81640625" customWidth="1" style="523" min="9205" max="9447"/>
    <col width="18.7265625" bestFit="1" customWidth="1" style="523" min="9448" max="9448"/>
    <col width="17.26953125" customWidth="1" style="523" min="9449" max="9449"/>
    <col width="13.7265625" customWidth="1" style="523" min="9450" max="9450"/>
    <col width="15.26953125" customWidth="1" style="523" min="9451" max="9451"/>
    <col width="13.7265625" customWidth="1" style="523" min="9452" max="9452"/>
    <col width="15.54296875" customWidth="1" style="523" min="9453" max="9453"/>
    <col width="14.54296875" customWidth="1" style="523" min="9454" max="9454"/>
    <col width="13.7265625" customWidth="1" style="523" min="9455" max="9455"/>
    <col width="15.1796875" customWidth="1" style="523" min="9456" max="9456"/>
    <col width="16" customWidth="1" style="523" min="9457" max="9457"/>
    <col width="19" customWidth="1" style="523" min="9458" max="9458"/>
    <col width="11.81640625" customWidth="1" style="523" min="9459" max="9460"/>
    <col width="8.81640625" customWidth="1" style="523" min="9461" max="9703"/>
    <col width="18.7265625" bestFit="1" customWidth="1" style="523" min="9704" max="9704"/>
    <col width="17.26953125" customWidth="1" style="523" min="9705" max="9705"/>
    <col width="13.7265625" customWidth="1" style="523" min="9706" max="9706"/>
    <col width="15.26953125" customWidth="1" style="523" min="9707" max="9707"/>
    <col width="13.7265625" customWidth="1" style="523" min="9708" max="9708"/>
    <col width="15.54296875" customWidth="1" style="523" min="9709" max="9709"/>
    <col width="14.54296875" customWidth="1" style="523" min="9710" max="9710"/>
    <col width="13.7265625" customWidth="1" style="523" min="9711" max="9711"/>
    <col width="15.1796875" customWidth="1" style="523" min="9712" max="9712"/>
    <col width="16" customWidth="1" style="523" min="9713" max="9713"/>
    <col width="19" customWidth="1" style="523" min="9714" max="9714"/>
    <col width="11.81640625" customWidth="1" style="523" min="9715" max="9716"/>
    <col width="8.81640625" customWidth="1" style="523" min="9717" max="9959"/>
    <col width="18.7265625" bestFit="1" customWidth="1" style="523" min="9960" max="9960"/>
    <col width="17.26953125" customWidth="1" style="523" min="9961" max="9961"/>
    <col width="13.7265625" customWidth="1" style="523" min="9962" max="9962"/>
    <col width="15.26953125" customWidth="1" style="523" min="9963" max="9963"/>
    <col width="13.7265625" customWidth="1" style="523" min="9964" max="9964"/>
    <col width="15.54296875" customWidth="1" style="523" min="9965" max="9965"/>
    <col width="14.54296875" customWidth="1" style="523" min="9966" max="9966"/>
    <col width="13.7265625" customWidth="1" style="523" min="9967" max="9967"/>
    <col width="15.1796875" customWidth="1" style="523" min="9968" max="9968"/>
    <col width="16" customWidth="1" style="523" min="9969" max="9969"/>
    <col width="19" customWidth="1" style="523" min="9970" max="9970"/>
    <col width="11.81640625" customWidth="1" style="523" min="9971" max="9972"/>
    <col width="8.81640625" customWidth="1" style="523" min="9973" max="10215"/>
    <col width="18.7265625" bestFit="1" customWidth="1" style="523" min="10216" max="10216"/>
    <col width="17.26953125" customWidth="1" style="523" min="10217" max="10217"/>
    <col width="13.7265625" customWidth="1" style="523" min="10218" max="10218"/>
    <col width="15.26953125" customWidth="1" style="523" min="10219" max="10219"/>
    <col width="13.7265625" customWidth="1" style="523" min="10220" max="10220"/>
    <col width="15.54296875" customWidth="1" style="523" min="10221" max="10221"/>
    <col width="14.54296875" customWidth="1" style="523" min="10222" max="10222"/>
    <col width="13.7265625" customWidth="1" style="523" min="10223" max="10223"/>
    <col width="15.1796875" customWidth="1" style="523" min="10224" max="10224"/>
    <col width="16" customWidth="1" style="523" min="10225" max="10225"/>
    <col width="19" customWidth="1" style="523" min="10226" max="10226"/>
    <col width="11.81640625" customWidth="1" style="523" min="10227" max="10228"/>
    <col width="8.81640625" customWidth="1" style="523" min="10229" max="10471"/>
    <col width="18.7265625" bestFit="1" customWidth="1" style="523" min="10472" max="10472"/>
    <col width="17.26953125" customWidth="1" style="523" min="10473" max="10473"/>
    <col width="13.7265625" customWidth="1" style="523" min="10474" max="10474"/>
    <col width="15.26953125" customWidth="1" style="523" min="10475" max="10475"/>
    <col width="13.7265625" customWidth="1" style="523" min="10476" max="10476"/>
    <col width="15.54296875" customWidth="1" style="523" min="10477" max="10477"/>
    <col width="14.54296875" customWidth="1" style="523" min="10478" max="10478"/>
    <col width="13.7265625" customWidth="1" style="523" min="10479" max="10479"/>
    <col width="15.1796875" customWidth="1" style="523" min="10480" max="10480"/>
    <col width="16" customWidth="1" style="523" min="10481" max="10481"/>
    <col width="19" customWidth="1" style="523" min="10482" max="10482"/>
    <col width="11.81640625" customWidth="1" style="523" min="10483" max="10484"/>
    <col width="8.81640625" customWidth="1" style="523" min="10485" max="10727"/>
    <col width="18.7265625" bestFit="1" customWidth="1" style="523" min="10728" max="10728"/>
    <col width="17.26953125" customWidth="1" style="523" min="10729" max="10729"/>
    <col width="13.7265625" customWidth="1" style="523" min="10730" max="10730"/>
    <col width="15.26953125" customWidth="1" style="523" min="10731" max="10731"/>
    <col width="13.7265625" customWidth="1" style="523" min="10732" max="10732"/>
    <col width="15.54296875" customWidth="1" style="523" min="10733" max="10733"/>
    <col width="14.54296875" customWidth="1" style="523" min="10734" max="10734"/>
    <col width="13.7265625" customWidth="1" style="523" min="10735" max="10735"/>
    <col width="15.1796875" customWidth="1" style="523" min="10736" max="10736"/>
    <col width="16" customWidth="1" style="523" min="10737" max="10737"/>
    <col width="19" customWidth="1" style="523" min="10738" max="10738"/>
    <col width="11.81640625" customWidth="1" style="523" min="10739" max="10740"/>
    <col width="8.81640625" customWidth="1" style="523" min="10741" max="10983"/>
    <col width="18.7265625" bestFit="1" customWidth="1" style="523" min="10984" max="10984"/>
    <col width="17.26953125" customWidth="1" style="523" min="10985" max="10985"/>
    <col width="13.7265625" customWidth="1" style="523" min="10986" max="10986"/>
    <col width="15.26953125" customWidth="1" style="523" min="10987" max="10987"/>
    <col width="13.7265625" customWidth="1" style="523" min="10988" max="10988"/>
    <col width="15.54296875" customWidth="1" style="523" min="10989" max="10989"/>
    <col width="14.54296875" customWidth="1" style="523" min="10990" max="10990"/>
    <col width="13.7265625" customWidth="1" style="523" min="10991" max="10991"/>
    <col width="15.1796875" customWidth="1" style="523" min="10992" max="10992"/>
    <col width="16" customWidth="1" style="523" min="10993" max="10993"/>
    <col width="19" customWidth="1" style="523" min="10994" max="10994"/>
    <col width="11.81640625" customWidth="1" style="523" min="10995" max="10996"/>
    <col width="8.81640625" customWidth="1" style="523" min="10997" max="11239"/>
    <col width="18.7265625" bestFit="1" customWidth="1" style="523" min="11240" max="11240"/>
    <col width="17.26953125" customWidth="1" style="523" min="11241" max="11241"/>
    <col width="13.7265625" customWidth="1" style="523" min="11242" max="11242"/>
    <col width="15.26953125" customWidth="1" style="523" min="11243" max="11243"/>
    <col width="13.7265625" customWidth="1" style="523" min="11244" max="11244"/>
    <col width="15.54296875" customWidth="1" style="523" min="11245" max="11245"/>
    <col width="14.54296875" customWidth="1" style="523" min="11246" max="11246"/>
    <col width="13.7265625" customWidth="1" style="523" min="11247" max="11247"/>
    <col width="15.1796875" customWidth="1" style="523" min="11248" max="11248"/>
    <col width="16" customWidth="1" style="523" min="11249" max="11249"/>
    <col width="19" customWidth="1" style="523" min="11250" max="11250"/>
    <col width="11.81640625" customWidth="1" style="523" min="11251" max="11252"/>
    <col width="8.81640625" customWidth="1" style="523" min="11253" max="11495"/>
    <col width="18.7265625" bestFit="1" customWidth="1" style="523" min="11496" max="11496"/>
    <col width="17.26953125" customWidth="1" style="523" min="11497" max="11497"/>
    <col width="13.7265625" customWidth="1" style="523" min="11498" max="11498"/>
    <col width="15.26953125" customWidth="1" style="523" min="11499" max="11499"/>
    <col width="13.7265625" customWidth="1" style="523" min="11500" max="11500"/>
    <col width="15.54296875" customWidth="1" style="523" min="11501" max="11501"/>
    <col width="14.54296875" customWidth="1" style="523" min="11502" max="11502"/>
    <col width="13.7265625" customWidth="1" style="523" min="11503" max="11503"/>
    <col width="15.1796875" customWidth="1" style="523" min="11504" max="11504"/>
    <col width="16" customWidth="1" style="523" min="11505" max="11505"/>
    <col width="19" customWidth="1" style="523" min="11506" max="11506"/>
    <col width="11.81640625" customWidth="1" style="523" min="11507" max="11508"/>
    <col width="8.81640625" customWidth="1" style="523" min="11509" max="11751"/>
    <col width="18.7265625" bestFit="1" customWidth="1" style="523" min="11752" max="11752"/>
    <col width="17.26953125" customWidth="1" style="523" min="11753" max="11753"/>
    <col width="13.7265625" customWidth="1" style="523" min="11754" max="11754"/>
    <col width="15.26953125" customWidth="1" style="523" min="11755" max="11755"/>
    <col width="13.7265625" customWidth="1" style="523" min="11756" max="11756"/>
    <col width="15.54296875" customWidth="1" style="523" min="11757" max="11757"/>
    <col width="14.54296875" customWidth="1" style="523" min="11758" max="11758"/>
    <col width="13.7265625" customWidth="1" style="523" min="11759" max="11759"/>
    <col width="15.1796875" customWidth="1" style="523" min="11760" max="11760"/>
    <col width="16" customWidth="1" style="523" min="11761" max="11761"/>
    <col width="19" customWidth="1" style="523" min="11762" max="11762"/>
    <col width="11.81640625" customWidth="1" style="523" min="11763" max="11764"/>
    <col width="8.81640625" customWidth="1" style="523" min="11765" max="12007"/>
    <col width="18.7265625" bestFit="1" customWidth="1" style="523" min="12008" max="12008"/>
    <col width="17.26953125" customWidth="1" style="523" min="12009" max="12009"/>
    <col width="13.7265625" customWidth="1" style="523" min="12010" max="12010"/>
    <col width="15.26953125" customWidth="1" style="523" min="12011" max="12011"/>
    <col width="13.7265625" customWidth="1" style="523" min="12012" max="12012"/>
    <col width="15.54296875" customWidth="1" style="523" min="12013" max="12013"/>
    <col width="14.54296875" customWidth="1" style="523" min="12014" max="12014"/>
    <col width="13.7265625" customWidth="1" style="523" min="12015" max="12015"/>
    <col width="15.1796875" customWidth="1" style="523" min="12016" max="12016"/>
    <col width="16" customWidth="1" style="523" min="12017" max="12017"/>
    <col width="19" customWidth="1" style="523" min="12018" max="12018"/>
    <col width="11.81640625" customWidth="1" style="523" min="12019" max="12020"/>
    <col width="8.81640625" customWidth="1" style="523" min="12021" max="12263"/>
    <col width="18.7265625" bestFit="1" customWidth="1" style="523" min="12264" max="12264"/>
    <col width="17.26953125" customWidth="1" style="523" min="12265" max="12265"/>
    <col width="13.7265625" customWidth="1" style="523" min="12266" max="12266"/>
    <col width="15.26953125" customWidth="1" style="523" min="12267" max="12267"/>
    <col width="13.7265625" customWidth="1" style="523" min="12268" max="12268"/>
    <col width="15.54296875" customWidth="1" style="523" min="12269" max="12269"/>
    <col width="14.54296875" customWidth="1" style="523" min="12270" max="12270"/>
    <col width="13.7265625" customWidth="1" style="523" min="12271" max="12271"/>
    <col width="15.1796875" customWidth="1" style="523" min="12272" max="12272"/>
    <col width="16" customWidth="1" style="523" min="12273" max="12273"/>
    <col width="19" customWidth="1" style="523" min="12274" max="12274"/>
    <col width="11.81640625" customWidth="1" style="523" min="12275" max="12276"/>
    <col width="8.81640625" customWidth="1" style="523" min="12277" max="12519"/>
    <col width="18.7265625" bestFit="1" customWidth="1" style="523" min="12520" max="12520"/>
    <col width="17.26953125" customWidth="1" style="523" min="12521" max="12521"/>
    <col width="13.7265625" customWidth="1" style="523" min="12522" max="12522"/>
    <col width="15.26953125" customWidth="1" style="523" min="12523" max="12523"/>
    <col width="13.7265625" customWidth="1" style="523" min="12524" max="12524"/>
    <col width="15.54296875" customWidth="1" style="523" min="12525" max="12525"/>
    <col width="14.54296875" customWidth="1" style="523" min="12526" max="12526"/>
    <col width="13.7265625" customWidth="1" style="523" min="12527" max="12527"/>
    <col width="15.1796875" customWidth="1" style="523" min="12528" max="12528"/>
    <col width="16" customWidth="1" style="523" min="12529" max="12529"/>
    <col width="19" customWidth="1" style="523" min="12530" max="12530"/>
    <col width="11.81640625" customWidth="1" style="523" min="12531" max="12532"/>
    <col width="8.81640625" customWidth="1" style="523" min="12533" max="12775"/>
    <col width="18.7265625" bestFit="1" customWidth="1" style="523" min="12776" max="12776"/>
    <col width="17.26953125" customWidth="1" style="523" min="12777" max="12777"/>
    <col width="13.7265625" customWidth="1" style="523" min="12778" max="12778"/>
    <col width="15.26953125" customWidth="1" style="523" min="12779" max="12779"/>
    <col width="13.7265625" customWidth="1" style="523" min="12780" max="12780"/>
    <col width="15.54296875" customWidth="1" style="523" min="12781" max="12781"/>
    <col width="14.54296875" customWidth="1" style="523" min="12782" max="12782"/>
    <col width="13.7265625" customWidth="1" style="523" min="12783" max="12783"/>
    <col width="15.1796875" customWidth="1" style="523" min="12784" max="12784"/>
    <col width="16" customWidth="1" style="523" min="12785" max="12785"/>
    <col width="19" customWidth="1" style="523" min="12786" max="12786"/>
    <col width="11.81640625" customWidth="1" style="523" min="12787" max="12788"/>
    <col width="8.81640625" customWidth="1" style="523" min="12789" max="13031"/>
    <col width="18.7265625" bestFit="1" customWidth="1" style="523" min="13032" max="13032"/>
    <col width="17.26953125" customWidth="1" style="523" min="13033" max="13033"/>
    <col width="13.7265625" customWidth="1" style="523" min="13034" max="13034"/>
    <col width="15.26953125" customWidth="1" style="523" min="13035" max="13035"/>
    <col width="13.7265625" customWidth="1" style="523" min="13036" max="13036"/>
    <col width="15.54296875" customWidth="1" style="523" min="13037" max="13037"/>
    <col width="14.54296875" customWidth="1" style="523" min="13038" max="13038"/>
    <col width="13.7265625" customWidth="1" style="523" min="13039" max="13039"/>
    <col width="15.1796875" customWidth="1" style="523" min="13040" max="13040"/>
    <col width="16" customWidth="1" style="523" min="13041" max="13041"/>
    <col width="19" customWidth="1" style="523" min="13042" max="13042"/>
    <col width="11.81640625" customWidth="1" style="523" min="13043" max="13044"/>
    <col width="8.81640625" customWidth="1" style="523" min="13045" max="13287"/>
    <col width="18.7265625" bestFit="1" customWidth="1" style="523" min="13288" max="13288"/>
    <col width="17.26953125" customWidth="1" style="523" min="13289" max="13289"/>
    <col width="13.7265625" customWidth="1" style="523" min="13290" max="13290"/>
    <col width="15.26953125" customWidth="1" style="523" min="13291" max="13291"/>
    <col width="13.7265625" customWidth="1" style="523" min="13292" max="13292"/>
    <col width="15.54296875" customWidth="1" style="523" min="13293" max="13293"/>
    <col width="14.54296875" customWidth="1" style="523" min="13294" max="13294"/>
    <col width="13.7265625" customWidth="1" style="523" min="13295" max="13295"/>
    <col width="15.1796875" customWidth="1" style="523" min="13296" max="13296"/>
    <col width="16" customWidth="1" style="523" min="13297" max="13297"/>
    <col width="19" customWidth="1" style="523" min="13298" max="13298"/>
    <col width="11.81640625" customWidth="1" style="523" min="13299" max="13300"/>
    <col width="8.81640625" customWidth="1" style="523" min="13301" max="13543"/>
    <col width="18.7265625" bestFit="1" customWidth="1" style="523" min="13544" max="13544"/>
    <col width="17.26953125" customWidth="1" style="523" min="13545" max="13545"/>
    <col width="13.7265625" customWidth="1" style="523" min="13546" max="13546"/>
    <col width="15.26953125" customWidth="1" style="523" min="13547" max="13547"/>
    <col width="13.7265625" customWidth="1" style="523" min="13548" max="13548"/>
    <col width="15.54296875" customWidth="1" style="523" min="13549" max="13549"/>
    <col width="14.54296875" customWidth="1" style="523" min="13550" max="13550"/>
    <col width="13.7265625" customWidth="1" style="523" min="13551" max="13551"/>
    <col width="15.1796875" customWidth="1" style="523" min="13552" max="13552"/>
    <col width="16" customWidth="1" style="523" min="13553" max="13553"/>
    <col width="19" customWidth="1" style="523" min="13554" max="13554"/>
    <col width="11.81640625" customWidth="1" style="523" min="13555" max="13556"/>
    <col width="8.81640625" customWidth="1" style="523" min="13557" max="13799"/>
    <col width="18.7265625" bestFit="1" customWidth="1" style="523" min="13800" max="13800"/>
    <col width="17.26953125" customWidth="1" style="523" min="13801" max="13801"/>
    <col width="13.7265625" customWidth="1" style="523" min="13802" max="13802"/>
    <col width="15.26953125" customWidth="1" style="523" min="13803" max="13803"/>
    <col width="13.7265625" customWidth="1" style="523" min="13804" max="13804"/>
    <col width="15.54296875" customWidth="1" style="523" min="13805" max="13805"/>
    <col width="14.54296875" customWidth="1" style="523" min="13806" max="13806"/>
    <col width="13.7265625" customWidth="1" style="523" min="13807" max="13807"/>
    <col width="15.1796875" customWidth="1" style="523" min="13808" max="13808"/>
    <col width="16" customWidth="1" style="523" min="13809" max="13809"/>
    <col width="19" customWidth="1" style="523" min="13810" max="13810"/>
    <col width="11.81640625" customWidth="1" style="523" min="13811" max="13812"/>
    <col width="8.81640625" customWidth="1" style="523" min="13813" max="14055"/>
    <col width="18.7265625" bestFit="1" customWidth="1" style="523" min="14056" max="14056"/>
    <col width="17.26953125" customWidth="1" style="523" min="14057" max="14057"/>
    <col width="13.7265625" customWidth="1" style="523" min="14058" max="14058"/>
    <col width="15.26953125" customWidth="1" style="523" min="14059" max="14059"/>
    <col width="13.7265625" customWidth="1" style="523" min="14060" max="14060"/>
    <col width="15.54296875" customWidth="1" style="523" min="14061" max="14061"/>
    <col width="14.54296875" customWidth="1" style="523" min="14062" max="14062"/>
    <col width="13.7265625" customWidth="1" style="523" min="14063" max="14063"/>
    <col width="15.1796875" customWidth="1" style="523" min="14064" max="14064"/>
    <col width="16" customWidth="1" style="523" min="14065" max="14065"/>
    <col width="19" customWidth="1" style="523" min="14066" max="14066"/>
    <col width="11.81640625" customWidth="1" style="523" min="14067" max="14068"/>
    <col width="8.81640625" customWidth="1" style="523" min="14069" max="14311"/>
    <col width="18.7265625" bestFit="1" customWidth="1" style="523" min="14312" max="14312"/>
    <col width="17.26953125" customWidth="1" style="523" min="14313" max="14313"/>
    <col width="13.7265625" customWidth="1" style="523" min="14314" max="14314"/>
    <col width="15.26953125" customWidth="1" style="523" min="14315" max="14315"/>
    <col width="13.7265625" customWidth="1" style="523" min="14316" max="14316"/>
    <col width="15.54296875" customWidth="1" style="523" min="14317" max="14317"/>
    <col width="14.54296875" customWidth="1" style="523" min="14318" max="14318"/>
    <col width="13.7265625" customWidth="1" style="523" min="14319" max="14319"/>
    <col width="15.1796875" customWidth="1" style="523" min="14320" max="14320"/>
    <col width="16" customWidth="1" style="523" min="14321" max="14321"/>
    <col width="19" customWidth="1" style="523" min="14322" max="14322"/>
    <col width="11.81640625" customWidth="1" style="523" min="14323" max="14324"/>
    <col width="8.81640625" customWidth="1" style="523" min="14325" max="14567"/>
    <col width="18.7265625" bestFit="1" customWidth="1" style="523" min="14568" max="14568"/>
    <col width="17.26953125" customWidth="1" style="523" min="14569" max="14569"/>
    <col width="13.7265625" customWidth="1" style="523" min="14570" max="14570"/>
    <col width="15.26953125" customWidth="1" style="523" min="14571" max="14571"/>
    <col width="13.7265625" customWidth="1" style="523" min="14572" max="14572"/>
    <col width="15.54296875" customWidth="1" style="523" min="14573" max="14573"/>
    <col width="14.54296875" customWidth="1" style="523" min="14574" max="14574"/>
    <col width="13.7265625" customWidth="1" style="523" min="14575" max="14575"/>
    <col width="15.1796875" customWidth="1" style="523" min="14576" max="14576"/>
    <col width="16" customWidth="1" style="523" min="14577" max="14577"/>
    <col width="19" customWidth="1" style="523" min="14578" max="14578"/>
    <col width="11.81640625" customWidth="1" style="523" min="14579" max="14580"/>
    <col width="8.81640625" customWidth="1" style="523" min="14581" max="14823"/>
    <col width="18.7265625" bestFit="1" customWidth="1" style="523" min="14824" max="14824"/>
    <col width="17.26953125" customWidth="1" style="523" min="14825" max="14825"/>
    <col width="13.7265625" customWidth="1" style="523" min="14826" max="14826"/>
    <col width="15.26953125" customWidth="1" style="523" min="14827" max="14827"/>
    <col width="13.7265625" customWidth="1" style="523" min="14828" max="14828"/>
    <col width="15.54296875" customWidth="1" style="523" min="14829" max="14829"/>
    <col width="14.54296875" customWidth="1" style="523" min="14830" max="14830"/>
    <col width="13.7265625" customWidth="1" style="523" min="14831" max="14831"/>
    <col width="15.1796875" customWidth="1" style="523" min="14832" max="14832"/>
    <col width="16" customWidth="1" style="523" min="14833" max="14833"/>
    <col width="19" customWidth="1" style="523" min="14834" max="14834"/>
    <col width="11.81640625" customWidth="1" style="523" min="14835" max="14836"/>
    <col width="8.81640625" customWidth="1" style="523" min="14837" max="15079"/>
    <col width="18.7265625" bestFit="1" customWidth="1" style="523" min="15080" max="15080"/>
    <col width="17.26953125" customWidth="1" style="523" min="15081" max="15081"/>
    <col width="13.7265625" customWidth="1" style="523" min="15082" max="15082"/>
    <col width="15.26953125" customWidth="1" style="523" min="15083" max="15083"/>
    <col width="13.7265625" customWidth="1" style="523" min="15084" max="15084"/>
    <col width="15.54296875" customWidth="1" style="523" min="15085" max="15085"/>
    <col width="14.54296875" customWidth="1" style="523" min="15086" max="15086"/>
    <col width="13.7265625" customWidth="1" style="523" min="15087" max="15087"/>
    <col width="15.1796875" customWidth="1" style="523" min="15088" max="15088"/>
    <col width="16" customWidth="1" style="523" min="15089" max="15089"/>
    <col width="19" customWidth="1" style="523" min="15090" max="15090"/>
    <col width="11.81640625" customWidth="1" style="523" min="15091" max="15092"/>
    <col width="8.81640625" customWidth="1" style="523" min="15093" max="15335"/>
    <col width="18.7265625" bestFit="1" customWidth="1" style="523" min="15336" max="15336"/>
    <col width="17.26953125" customWidth="1" style="523" min="15337" max="15337"/>
    <col width="13.7265625" customWidth="1" style="523" min="15338" max="15338"/>
    <col width="15.26953125" customWidth="1" style="523" min="15339" max="15339"/>
    <col width="13.7265625" customWidth="1" style="523" min="15340" max="15340"/>
    <col width="15.54296875" customWidth="1" style="523" min="15341" max="15341"/>
    <col width="14.54296875" customWidth="1" style="523" min="15342" max="15342"/>
    <col width="13.7265625" customWidth="1" style="523" min="15343" max="15343"/>
    <col width="15.1796875" customWidth="1" style="523" min="15344" max="15344"/>
    <col width="16" customWidth="1" style="523" min="15345" max="15345"/>
    <col width="19" customWidth="1" style="523" min="15346" max="15346"/>
    <col width="11.81640625" customWidth="1" style="523" min="15347" max="15348"/>
    <col width="8.81640625" customWidth="1" style="523" min="15349" max="15591"/>
    <col width="18.7265625" bestFit="1" customWidth="1" style="523" min="15592" max="15592"/>
    <col width="17.26953125" customWidth="1" style="523" min="15593" max="15593"/>
    <col width="13.7265625" customWidth="1" style="523" min="15594" max="15594"/>
    <col width="15.26953125" customWidth="1" style="523" min="15595" max="15595"/>
    <col width="13.7265625" customWidth="1" style="523" min="15596" max="15596"/>
    <col width="15.54296875" customWidth="1" style="523" min="15597" max="15597"/>
    <col width="14.54296875" customWidth="1" style="523" min="15598" max="15598"/>
    <col width="13.7265625" customWidth="1" style="523" min="15599" max="15599"/>
    <col width="15.1796875" customWidth="1" style="523" min="15600" max="15600"/>
    <col width="16" customWidth="1" style="523" min="15601" max="15601"/>
    <col width="19" customWidth="1" style="523" min="15602" max="15602"/>
    <col width="11.81640625" customWidth="1" style="523" min="15603" max="15604"/>
    <col width="8.81640625" customWidth="1" style="523" min="15605" max="15847"/>
    <col width="18.7265625" bestFit="1" customWidth="1" style="523" min="15848" max="15848"/>
    <col width="17.26953125" customWidth="1" style="523" min="15849" max="15849"/>
    <col width="13.7265625" customWidth="1" style="523" min="15850" max="15850"/>
    <col width="15.26953125" customWidth="1" style="523" min="15851" max="15851"/>
    <col width="13.7265625" customWidth="1" style="523" min="15852" max="15852"/>
    <col width="15.54296875" customWidth="1" style="523" min="15853" max="15853"/>
    <col width="14.54296875" customWidth="1" style="523" min="15854" max="15854"/>
    <col width="13.7265625" customWidth="1" style="523" min="15855" max="15855"/>
    <col width="15.1796875" customWidth="1" style="523" min="15856" max="15856"/>
    <col width="16" customWidth="1" style="523" min="15857" max="15857"/>
    <col width="19" customWidth="1" style="523" min="15858" max="15858"/>
    <col width="11.81640625" customWidth="1" style="523" min="15859" max="15860"/>
    <col width="8.81640625" customWidth="1" style="523" min="15861" max="16103"/>
    <col width="18.7265625" bestFit="1" customWidth="1" style="523" min="16104" max="16104"/>
    <col width="17.26953125" customWidth="1" style="523" min="16105" max="16105"/>
    <col width="13.7265625" customWidth="1" style="523" min="16106" max="16106"/>
    <col width="15.26953125" customWidth="1" style="523" min="16107" max="16107"/>
    <col width="13.7265625" customWidth="1" style="523" min="16108" max="16108"/>
    <col width="15.54296875" customWidth="1" style="523" min="16109" max="16109"/>
    <col width="14.54296875" customWidth="1" style="523" min="16110" max="16110"/>
    <col width="13.7265625" customWidth="1" style="523" min="16111" max="16111"/>
    <col width="15.1796875" customWidth="1" style="523" min="16112" max="16112"/>
    <col width="16" customWidth="1" style="523" min="16113" max="16113"/>
    <col width="19" customWidth="1" style="523" min="16114" max="16114"/>
    <col width="11.81640625" customWidth="1" style="523" min="16115" max="16116"/>
    <col width="8.81640625" customWidth="1" style="523" min="16117" max="16384"/>
  </cols>
  <sheetData>
    <row r="1" ht="25" customFormat="1" customHeight="1" s="29">
      <c r="J1" s="31" t="n"/>
      <c r="L1" s="31" t="n"/>
      <c r="N1" s="31" t="n"/>
    </row>
    <row r="2" ht="25" customHeight="1" s="524">
      <c r="A2" s="33" t="n"/>
      <c r="B2" s="34" t="inlineStr">
        <is>
          <t>Ogrodniczy Informator Cenowy</t>
        </is>
      </c>
      <c r="C2" s="34" t="n"/>
      <c r="D2" s="34" t="n"/>
      <c r="E2" s="34" t="n"/>
      <c r="F2" s="34" t="n"/>
      <c r="G2" s="34" t="n"/>
      <c r="H2" s="34" t="n"/>
      <c r="I2" s="34" t="n"/>
      <c r="J2" s="36" t="n"/>
      <c r="K2" s="34" t="n"/>
      <c r="L2" s="36" t="n"/>
      <c r="M2" s="34" t="n"/>
      <c r="N2" s="36" t="n"/>
      <c r="O2" s="34" t="n"/>
    </row>
    <row r="3" ht="25" customHeight="1" s="524" thickBot="1">
      <c r="B3" s="37" t="inlineStr">
        <is>
          <t>Instytut Ekonomiki Rolnictwa i Gospodarki Żywnościowej  Państwowy Instytut Badawczy</t>
        </is>
      </c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</row>
    <row r="4" ht="25" customHeight="1" s="524" thickTop="1">
      <c r="B4" s="495" t="inlineStr">
        <is>
          <t xml:space="preserve">00-950 Warszawa, ul.Świętokrzyska 20, P.O. Box  984 </t>
        </is>
      </c>
      <c r="C4" s="495" t="n"/>
      <c r="D4" s="495" t="n"/>
      <c r="E4" s="495" t="n"/>
      <c r="F4" s="495" t="n"/>
      <c r="G4" s="495" t="n"/>
      <c r="H4" s="495" t="n"/>
      <c r="I4" s="495" t="n"/>
      <c r="J4" s="50" t="n"/>
      <c r="K4" s="495" t="n"/>
      <c r="L4" s="50" t="n"/>
      <c r="M4" s="495" t="n"/>
      <c r="N4" s="50" t="n"/>
      <c r="O4" s="495" t="n"/>
    </row>
    <row r="5" ht="20.15" customHeight="1" s="524">
      <c r="A5" s="264" t="n"/>
      <c r="B5" s="264" t="inlineStr">
        <is>
          <t>tel.  (22) 505 44 32, e-mail: Tomasz.Smolenski@ierigz.waw.pl</t>
        </is>
      </c>
      <c r="C5" s="265" t="n"/>
      <c r="D5" s="265" t="n"/>
      <c r="E5" s="265" t="n"/>
      <c r="F5" s="265" t="n"/>
      <c r="G5" s="265" t="n"/>
      <c r="H5" s="265" t="n"/>
      <c r="I5" s="265" t="n"/>
      <c r="K5" s="265" t="n"/>
      <c r="M5" s="265" t="n"/>
      <c r="O5" s="265" t="n"/>
    </row>
    <row r="6" ht="15.5" customHeight="1" s="524">
      <c r="A6" s="523" t="n"/>
      <c r="J6" s="265" t="n"/>
      <c r="L6" s="265" t="n"/>
      <c r="N6" s="265" t="n"/>
    </row>
    <row r="7" ht="40" customFormat="1" customHeight="1" s="523">
      <c r="A7" s="523" t="n"/>
      <c r="B7" s="267" t="inlineStr">
        <is>
          <t>Ceny skupu netto warzyw i owoców w spółdzielniach ogrodniczych zbierane 24 VIII 2026 r.</t>
        </is>
      </c>
      <c r="C7" s="267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</row>
    <row r="8" ht="42.75" customFormat="1" customHeight="1" s="526">
      <c r="A8" s="526" t="n"/>
      <c r="B8" s="311" t="inlineStr">
        <is>
          <t>Województwo</t>
        </is>
      </c>
      <c r="C8" s="312" t="inlineStr">
        <is>
          <t>Buraki ćwikłowe</t>
        </is>
      </c>
      <c r="D8" s="312" t="inlineStr">
        <is>
          <t xml:space="preserve">Cebula </t>
        </is>
      </c>
      <c r="E8" s="312" t="inlineStr">
        <is>
          <t>Kaputa wczesna/a</t>
        </is>
      </c>
      <c r="F8" s="312" t="inlineStr">
        <is>
          <t>Kapusta włoska</t>
        </is>
      </c>
      <c r="G8" s="312" t="inlineStr">
        <is>
          <t>Kapusta pekińska</t>
        </is>
      </c>
      <c r="H8" s="312" t="inlineStr">
        <is>
          <t>Fasola szparagowa</t>
        </is>
      </c>
      <c r="I8" s="312" t="inlineStr">
        <is>
          <t>Kiszona kapusta</t>
        </is>
      </c>
      <c r="J8" s="312" t="inlineStr">
        <is>
          <t>Ogórki kiszone</t>
        </is>
      </c>
      <c r="K8" s="312" t="inlineStr">
        <is>
          <t>Sałata masłowa</t>
        </is>
      </c>
      <c r="L8" s="312" t="inlineStr">
        <is>
          <t>Kalafiory/a</t>
        </is>
      </c>
      <c r="M8" s="312" t="inlineStr">
        <is>
          <t>Brokuły/a</t>
        </is>
      </c>
      <c r="N8" s="312" t="inlineStr">
        <is>
          <t>Kalarepa/a</t>
        </is>
      </c>
      <c r="O8" s="312" t="inlineStr">
        <is>
          <t>Cukinia</t>
        </is>
      </c>
    </row>
    <row r="9" ht="20.25" customFormat="1" customHeight="1" s="526">
      <c r="B9" s="313" t="inlineStr">
        <is>
          <t>kujawsko-pomorskie</t>
        </is>
      </c>
      <c r="C9" s="314" t="inlineStr">
        <is>
          <t>0,42-0,51</t>
        </is>
      </c>
      <c r="D9" s="314" t="inlineStr">
        <is>
          <t>0,44-0,49</t>
        </is>
      </c>
      <c r="E9" s="314" t="inlineStr">
        <is>
          <t>1,15-1,20</t>
        </is>
      </c>
      <c r="F9" s="315" t="inlineStr">
        <is>
          <t>2,00-2,15</t>
        </is>
      </c>
      <c r="G9" s="314" t="inlineStr">
        <is>
          <t>1,75-1,95</t>
        </is>
      </c>
      <c r="H9" s="314" t="inlineStr">
        <is>
          <t>6,75-7,65</t>
        </is>
      </c>
      <c r="I9" s="315" t="n"/>
      <c r="J9" s="314" t="inlineStr">
        <is>
          <t>6,98-7,66</t>
        </is>
      </c>
      <c r="K9" s="315" t="inlineStr">
        <is>
          <t>1,40-1,55</t>
        </is>
      </c>
      <c r="L9" s="314" t="inlineStr">
        <is>
          <t>2,45-2,87</t>
        </is>
      </c>
      <c r="M9" s="315" t="n"/>
      <c r="N9" s="314" t="inlineStr">
        <is>
          <t>1,15-1,56</t>
        </is>
      </c>
      <c r="O9" s="315" t="inlineStr">
        <is>
          <t>1,00-1,25</t>
        </is>
      </c>
    </row>
    <row r="10" ht="19.5" customFormat="1" customHeight="1" s="526">
      <c r="B10" s="313" t="inlineStr">
        <is>
          <t>lubelskie</t>
        </is>
      </c>
      <c r="C10" s="316" t="inlineStr">
        <is>
          <t>0,41-0,47</t>
        </is>
      </c>
      <c r="D10" s="316" t="inlineStr">
        <is>
          <t>0,51-0,60</t>
        </is>
      </c>
      <c r="E10" s="314" t="inlineStr">
        <is>
          <t>1,15-1,25</t>
        </is>
      </c>
      <c r="F10" s="314" t="inlineStr">
        <is>
          <t>1,95-2,10</t>
        </is>
      </c>
      <c r="G10" s="314" t="n"/>
      <c r="H10" s="314" t="n"/>
      <c r="I10" s="314" t="inlineStr">
        <is>
          <t>6,89-7,45</t>
        </is>
      </c>
      <c r="J10" s="314" t="n"/>
      <c r="K10" s="314" t="n"/>
      <c r="L10" s="314" t="inlineStr">
        <is>
          <t>2,66-3,10</t>
        </is>
      </c>
      <c r="M10" s="314" t="inlineStr">
        <is>
          <t>2,35-2,65</t>
        </is>
      </c>
      <c r="N10" s="314" t="n"/>
      <c r="O10" s="314" t="n"/>
    </row>
    <row r="11" ht="19.5" customFormat="1" customHeight="1" s="19">
      <c r="B11" s="313" t="inlineStr">
        <is>
          <t>lubelskie</t>
        </is>
      </c>
      <c r="C11" s="316" t="inlineStr">
        <is>
          <t>0,46-0,53</t>
        </is>
      </c>
      <c r="D11" s="316" t="inlineStr">
        <is>
          <t>0,57-0,68</t>
        </is>
      </c>
      <c r="E11" s="314" t="n"/>
      <c r="F11" s="314" t="n"/>
      <c r="G11" s="314" t="inlineStr">
        <is>
          <t>1,85-1,99</t>
        </is>
      </c>
      <c r="H11" s="314" t="inlineStr">
        <is>
          <t>6,25-6,89</t>
        </is>
      </c>
      <c r="I11" s="314" t="n"/>
      <c r="J11" s="314" t="inlineStr">
        <is>
          <t>6,89-7,55</t>
        </is>
      </c>
      <c r="K11" s="314" t="n"/>
      <c r="L11" s="314" t="n"/>
      <c r="M11" s="314" t="n"/>
      <c r="N11" s="314" t="n"/>
      <c r="O11" s="314" t="n"/>
    </row>
    <row r="12" ht="18" customFormat="1" customHeight="1" s="526">
      <c r="B12" s="313" t="inlineStr">
        <is>
          <t>łódzkie</t>
        </is>
      </c>
      <c r="C12" s="316" t="inlineStr">
        <is>
          <t>0,46-0,53</t>
        </is>
      </c>
      <c r="D12" s="316" t="inlineStr">
        <is>
          <t>0,46-0,54</t>
        </is>
      </c>
      <c r="E12" s="314" t="n"/>
      <c r="F12" s="314" t="inlineStr">
        <is>
          <t>2,20-2,30</t>
        </is>
      </c>
      <c r="G12" s="314" t="n"/>
      <c r="H12" s="314" t="n"/>
      <c r="I12" s="314" t="inlineStr">
        <is>
          <t>6,35-7,38</t>
        </is>
      </c>
      <c r="J12" s="314" t="n"/>
      <c r="K12" s="314" t="n"/>
      <c r="L12" s="314" t="inlineStr">
        <is>
          <t>2,98-3,45</t>
        </is>
      </c>
      <c r="M12" s="314" t="inlineStr">
        <is>
          <t>2,15-2,72</t>
        </is>
      </c>
      <c r="N12" s="314" t="inlineStr">
        <is>
          <t>1,37-1,45</t>
        </is>
      </c>
      <c r="O12" s="314" t="inlineStr">
        <is>
          <t>1,.27-1,38</t>
        </is>
      </c>
    </row>
    <row r="13" ht="18" customFormat="1" customHeight="1" s="19">
      <c r="B13" s="313" t="inlineStr">
        <is>
          <t>łódzkie</t>
        </is>
      </c>
      <c r="C13" s="316" t="inlineStr">
        <is>
          <t>0,47-0,58</t>
        </is>
      </c>
      <c r="D13" s="316" t="inlineStr">
        <is>
          <t>0,51-0,55</t>
        </is>
      </c>
      <c r="E13" s="314" t="n"/>
      <c r="F13" s="314" t="n"/>
      <c r="G13" s="314" t="inlineStr">
        <is>
          <t>1,76-2,10</t>
        </is>
      </c>
      <c r="H13" s="314" t="inlineStr">
        <is>
          <t>6,25-6,77</t>
        </is>
      </c>
      <c r="I13" s="314" t="inlineStr">
        <is>
          <t>6,22-7,45</t>
        </is>
      </c>
      <c r="J13" s="314" t="inlineStr">
        <is>
          <t>7,68-7,95</t>
        </is>
      </c>
      <c r="K13" s="314" t="inlineStr">
        <is>
          <t>1,45-1,52</t>
        </is>
      </c>
      <c r="L13" s="314" t="inlineStr">
        <is>
          <t>2,75-3,58</t>
        </is>
      </c>
      <c r="M13" s="314" t="n"/>
      <c r="N13" s="314" t="n"/>
      <c r="O13" s="314" t="n"/>
    </row>
    <row r="14" ht="18" customFormat="1" customHeight="1" s="526">
      <c r="B14" s="313" t="inlineStr">
        <is>
          <t>małopol.</t>
        </is>
      </c>
      <c r="C14" s="316" t="inlineStr">
        <is>
          <t>0,44-0,52</t>
        </is>
      </c>
      <c r="D14" s="316" t="inlineStr">
        <is>
          <t>0,49-0,57</t>
        </is>
      </c>
      <c r="E14" s="316" t="inlineStr">
        <is>
          <t>1,00-1,10</t>
        </is>
      </c>
      <c r="F14" s="316" t="inlineStr">
        <is>
          <t>1,96-2,23</t>
        </is>
      </c>
      <c r="G14" s="316" t="n"/>
      <c r="H14" s="316" t="n"/>
      <c r="I14" s="316" t="inlineStr">
        <is>
          <t>5,89-6,75</t>
        </is>
      </c>
      <c r="J14" s="316" t="inlineStr">
        <is>
          <t>6,98-7,36</t>
        </is>
      </c>
      <c r="K14" s="316" t="n"/>
      <c r="L14" s="316" t="inlineStr">
        <is>
          <t>2,56-3,10</t>
        </is>
      </c>
      <c r="M14" s="316" t="n"/>
      <c r="N14" s="316" t="inlineStr">
        <is>
          <t>1,37-1,40</t>
        </is>
      </c>
      <c r="O14" s="316" t="inlineStr">
        <is>
          <t>1,15-1,33</t>
        </is>
      </c>
    </row>
    <row r="15" ht="18" customFormat="1" customHeight="1" s="526">
      <c r="B15" s="313" t="inlineStr">
        <is>
          <t>małopol.</t>
        </is>
      </c>
      <c r="C15" s="316" t="inlineStr">
        <is>
          <t>0,41-0,46</t>
        </is>
      </c>
      <c r="D15" s="317" t="inlineStr">
        <is>
          <t>0,51-0,63</t>
        </is>
      </c>
      <c r="E15" s="318" t="n"/>
      <c r="F15" s="318" t="n"/>
      <c r="G15" s="314" t="n"/>
      <c r="H15" s="314" t="n"/>
      <c r="I15" s="318" t="inlineStr">
        <is>
          <t>6,21-6,88</t>
        </is>
      </c>
      <c r="J15" s="314" t="inlineStr">
        <is>
          <t>6,80-7,44</t>
        </is>
      </c>
      <c r="K15" s="318" t="inlineStr">
        <is>
          <t>1,46-1,55</t>
        </is>
      </c>
      <c r="L15" s="314" t="n"/>
      <c r="M15" s="318" t="inlineStr">
        <is>
          <t>2,23-2,69</t>
        </is>
      </c>
      <c r="N15" s="314" t="n"/>
      <c r="O15" s="318" t="n"/>
    </row>
    <row r="16" ht="18" customFormat="1" customHeight="1" s="526">
      <c r="B16" s="313" t="inlineStr">
        <is>
          <t>małopol.</t>
        </is>
      </c>
      <c r="C16" s="316" t="inlineStr">
        <is>
          <t>0,45-0,48</t>
        </is>
      </c>
      <c r="D16" s="317" t="inlineStr">
        <is>
          <t>0,53-0,57</t>
        </is>
      </c>
      <c r="E16" s="314" t="n"/>
      <c r="F16" s="319" t="n"/>
      <c r="G16" s="314" t="n"/>
      <c r="H16" s="314" t="inlineStr">
        <is>
          <t>6,82-7,41</t>
        </is>
      </c>
      <c r="I16" s="319" t="inlineStr">
        <is>
          <t>6,44-7,65</t>
        </is>
      </c>
      <c r="J16" s="314" t="n"/>
      <c r="K16" s="319" t="n"/>
      <c r="L16" s="314" t="n"/>
      <c r="M16" s="319" t="n"/>
      <c r="N16" s="314" t="n"/>
      <c r="O16" s="319" t="n"/>
    </row>
    <row r="17" ht="18" customFormat="1" customHeight="1" s="19">
      <c r="B17" s="313" t="inlineStr">
        <is>
          <t>małopol.</t>
        </is>
      </c>
      <c r="C17" s="316" t="inlineStr">
        <is>
          <t>0,46-0,50</t>
        </is>
      </c>
      <c r="D17" s="317" t="inlineStr">
        <is>
          <t>0,45-0,67</t>
        </is>
      </c>
      <c r="E17" s="314" t="inlineStr">
        <is>
          <t>1,10-1,13</t>
        </is>
      </c>
      <c r="F17" s="314" t="inlineStr">
        <is>
          <t>1,98-2,45</t>
        </is>
      </c>
      <c r="G17" s="316" t="inlineStr">
        <is>
          <t>1,85-1,93</t>
        </is>
      </c>
      <c r="H17" s="316" t="n"/>
      <c r="I17" s="314" t="n"/>
      <c r="J17" s="316" t="inlineStr">
        <is>
          <t>6,87-7,54</t>
        </is>
      </c>
      <c r="K17" s="314" t="inlineStr">
        <is>
          <t>1,43-1,56</t>
        </is>
      </c>
      <c r="L17" s="316" t="inlineStr">
        <is>
          <t>2,89-3,25</t>
        </is>
      </c>
      <c r="M17" s="314" t="n"/>
      <c r="N17" s="316" t="inlineStr">
        <is>
          <t>1,20-1,60</t>
        </is>
      </c>
      <c r="O17" s="314" t="inlineStr">
        <is>
          <t>1,24-1,36</t>
        </is>
      </c>
    </row>
    <row r="18" ht="18" customFormat="1" customHeight="1" s="19">
      <c r="B18" s="313" t="inlineStr">
        <is>
          <t>mazowiec.</t>
        </is>
      </c>
      <c r="C18" s="316" t="inlineStr">
        <is>
          <t>0,43-0,53</t>
        </is>
      </c>
      <c r="D18" s="316" t="inlineStr">
        <is>
          <t>0,52-0,58</t>
        </is>
      </c>
      <c r="E18" s="316" t="n"/>
      <c r="F18" s="316" t="inlineStr">
        <is>
          <t>2,00-2,25</t>
        </is>
      </c>
      <c r="G18" s="314" t="inlineStr">
        <is>
          <t>1,77-1,94</t>
        </is>
      </c>
      <c r="H18" s="314" t="inlineStr">
        <is>
          <t>6,45-7,35</t>
        </is>
      </c>
      <c r="I18" s="316" t="inlineStr">
        <is>
          <t>6,99-7,45</t>
        </is>
      </c>
      <c r="J18" s="314" t="n"/>
      <c r="K18" s="316" t="n"/>
      <c r="L18" s="314" t="inlineStr">
        <is>
          <t>3,35-3,87</t>
        </is>
      </c>
      <c r="M18" s="316" t="inlineStr">
        <is>
          <t>2,15-2,68</t>
        </is>
      </c>
      <c r="N18" s="314" t="n"/>
      <c r="O18" s="316" t="n"/>
    </row>
    <row r="19" ht="18" customFormat="1" customHeight="1" s="526">
      <c r="B19" s="313" t="inlineStr">
        <is>
          <t>podkarp.</t>
        </is>
      </c>
      <c r="C19" s="316" t="inlineStr">
        <is>
          <t>0,40-0,46</t>
        </is>
      </c>
      <c r="D19" s="316" t="inlineStr">
        <is>
          <t>0,51-0,57</t>
        </is>
      </c>
      <c r="E19" s="316" t="inlineStr">
        <is>
          <t>1,15-1,25</t>
        </is>
      </c>
      <c r="F19" s="316" t="n"/>
      <c r="G19" s="314" t="n"/>
      <c r="H19" s="314" t="n"/>
      <c r="I19" s="316" t="inlineStr">
        <is>
          <t>6,80-7,33</t>
        </is>
      </c>
      <c r="J19" s="314" t="inlineStr">
        <is>
          <t>6,66-7,54</t>
        </is>
      </c>
      <c r="K19" s="316" t="n"/>
      <c r="L19" s="314" t="n"/>
      <c r="M19" s="316" t="n"/>
      <c r="N19" s="314" t="n"/>
      <c r="O19" s="316" t="n"/>
    </row>
    <row r="20" ht="18" customFormat="1" customHeight="1" s="19">
      <c r="B20" s="320" t="inlineStr">
        <is>
          <t>podkarp.</t>
        </is>
      </c>
      <c r="C20" s="316" t="inlineStr">
        <is>
          <t>0,42-0,46</t>
        </is>
      </c>
      <c r="D20" s="321" t="inlineStr">
        <is>
          <t>0,46-0,52</t>
        </is>
      </c>
      <c r="E20" s="314" t="n"/>
      <c r="F20" s="314" t="n"/>
      <c r="G20" s="314" t="n"/>
      <c r="H20" s="314" t="inlineStr">
        <is>
          <t>6,38-6,90</t>
        </is>
      </c>
      <c r="I20" s="314" t="n"/>
      <c r="J20" s="314" t="inlineStr">
        <is>
          <t>6,56-7,13</t>
        </is>
      </c>
      <c r="K20" s="314" t="n"/>
      <c r="L20" s="314" t="inlineStr">
        <is>
          <t>2,98-3,45</t>
        </is>
      </c>
      <c r="M20" s="314" t="n"/>
      <c r="N20" s="314" t="n"/>
      <c r="O20" s="314" t="n"/>
    </row>
    <row r="21" ht="18" customFormat="1" customHeight="1" s="526">
      <c r="B21" s="322" t="inlineStr">
        <is>
          <t>Cena średnia</t>
        </is>
      </c>
      <c r="C21" s="310" t="inlineStr">
        <is>
          <t>0,40-0,58</t>
        </is>
      </c>
      <c r="D21" s="310" t="inlineStr">
        <is>
          <t>0,44-0,68</t>
        </is>
      </c>
      <c r="E21" s="310" t="inlineStr">
        <is>
          <t>1,00-1,25</t>
        </is>
      </c>
      <c r="F21" s="310" t="inlineStr">
        <is>
          <t>1,95-2,45</t>
        </is>
      </c>
      <c r="G21" s="310" t="inlineStr">
        <is>
          <t>1,75-2,10</t>
        </is>
      </c>
      <c r="H21" s="310" t="inlineStr">
        <is>
          <t>6,25-7,65</t>
        </is>
      </c>
      <c r="I21" s="310" t="inlineStr">
        <is>
          <t>5,89-7,65</t>
        </is>
      </c>
      <c r="J21" s="310" t="inlineStr">
        <is>
          <t>6,56-7,95</t>
        </is>
      </c>
      <c r="K21" s="310" t="inlineStr">
        <is>
          <t>1,40-1,56</t>
        </is>
      </c>
      <c r="L21" s="310" t="inlineStr">
        <is>
          <t>2,45-3,87</t>
        </is>
      </c>
      <c r="M21" s="310" t="inlineStr">
        <is>
          <t>2,15-2,72</t>
        </is>
      </c>
      <c r="N21" s="310" t="inlineStr">
        <is>
          <t>1,15-1,60</t>
        </is>
      </c>
      <c r="O21" s="310" t="inlineStr">
        <is>
          <t>1,00-1,38</t>
        </is>
      </c>
    </row>
    <row r="22" ht="18" customFormat="1" customHeight="1" s="526">
      <c r="B22" s="322" t="inlineStr">
        <is>
          <t>tydzień temu</t>
        </is>
      </c>
      <c r="C22" s="323" t="inlineStr">
        <is>
          <t>0,41-0,60</t>
        </is>
      </c>
      <c r="D22" s="323" t="inlineStr">
        <is>
          <t>0,46-0,69</t>
        </is>
      </c>
      <c r="E22" s="324" t="inlineStr">
        <is>
          <t>1,10-1,35</t>
        </is>
      </c>
      <c r="F22" s="324" t="inlineStr">
        <is>
          <t>2,00-2,60</t>
        </is>
      </c>
      <c r="G22" s="324" t="inlineStr">
        <is>
          <t>1,80-2,52</t>
        </is>
      </c>
      <c r="H22" s="324" t="inlineStr">
        <is>
          <t>5,89-7,68</t>
        </is>
      </c>
      <c r="I22" s="324" t="inlineStr">
        <is>
          <t>6,25-7,95</t>
        </is>
      </c>
      <c r="J22" s="324" t="inlineStr">
        <is>
          <t>6,56-7,95</t>
        </is>
      </c>
      <c r="K22" s="324" t="inlineStr">
        <is>
          <t>1,40-1,56</t>
        </is>
      </c>
      <c r="L22" s="324" t="inlineStr">
        <is>
          <t>2,55-3,66</t>
        </is>
      </c>
      <c r="M22" s="324" t="inlineStr">
        <is>
          <t>2,25-2,60</t>
        </is>
      </c>
      <c r="N22" s="324" t="inlineStr">
        <is>
          <t>1,10-1,65</t>
        </is>
      </c>
      <c r="O22" s="324" t="inlineStr">
        <is>
          <t>1,10-1,58</t>
        </is>
      </c>
    </row>
    <row r="23" ht="19.5" customFormat="1" customHeight="1" s="526">
      <c r="B23" s="325" t="inlineStr">
        <is>
          <t>rok temu</t>
        </is>
      </c>
      <c r="C23" s="326" t="inlineStr">
        <is>
          <t>0,56-0,78</t>
        </is>
      </c>
      <c r="D23" s="326" t="inlineStr">
        <is>
          <t>0,65-0,78</t>
        </is>
      </c>
      <c r="E23" s="327" t="inlineStr">
        <is>
          <t>1,22-1,54</t>
        </is>
      </c>
      <c r="F23" s="327" t="inlineStr">
        <is>
          <t>2,15-2,53</t>
        </is>
      </c>
      <c r="G23" s="327" t="inlineStr">
        <is>
          <t>1,85-2,30</t>
        </is>
      </c>
      <c r="H23" s="327" t="inlineStr">
        <is>
          <t>6,58-7,89</t>
        </is>
      </c>
      <c r="I23" s="327" t="inlineStr">
        <is>
          <t>6,45-7,85</t>
        </is>
      </c>
      <c r="J23" s="327" t="inlineStr">
        <is>
          <t>6,89-8,55</t>
        </is>
      </c>
      <c r="K23" s="327" t="inlineStr">
        <is>
          <t>1,56-1,80</t>
        </is>
      </c>
      <c r="L23" s="327" t="inlineStr">
        <is>
          <t>2,89-3,99</t>
        </is>
      </c>
      <c r="M23" s="327" t="inlineStr">
        <is>
          <t>2,25-2,89</t>
        </is>
      </c>
      <c r="N23" s="327" t="inlineStr">
        <is>
          <t>1,35-1,87</t>
        </is>
      </c>
      <c r="O23" s="327" t="inlineStr">
        <is>
          <t>1,09-1,45</t>
        </is>
      </c>
    </row>
    <row r="24" ht="18" customFormat="1" customHeight="1" s="526">
      <c r="A24" s="266" t="n"/>
      <c r="B24" s="328" t="n"/>
      <c r="C24" s="297" t="n"/>
      <c r="D24" s="297" t="n"/>
      <c r="E24" s="297" t="n"/>
      <c r="F24" s="297" t="n"/>
      <c r="G24" s="297" t="n"/>
      <c r="H24" s="297" t="n"/>
      <c r="I24" s="297" t="n"/>
      <c r="J24" s="297" t="n"/>
      <c r="K24" s="297" t="n"/>
      <c r="L24" s="297" t="n"/>
      <c r="M24" s="297" t="n"/>
      <c r="N24" s="297" t="n"/>
      <c r="O24" s="297" t="n"/>
    </row>
    <row r="25" ht="40" customFormat="1" customHeight="1" s="526">
      <c r="B25" s="530" t="inlineStr">
        <is>
          <t>Województwo</t>
        </is>
      </c>
      <c r="C25" s="531" t="inlineStr">
        <is>
          <t>Marchew  (myta)</t>
        </is>
      </c>
      <c r="D25" s="531" t="inlineStr">
        <is>
          <t>Pieczarki</t>
        </is>
      </c>
      <c r="E25" s="531" t="inlineStr">
        <is>
          <t>Pietruszka</t>
        </is>
      </c>
      <c r="F25" s="531" t="inlineStr">
        <is>
          <t>Pory</t>
        </is>
      </c>
      <c r="G25" s="531" t="inlineStr">
        <is>
          <t>Czosnek/a</t>
        </is>
      </c>
      <c r="H25" s="531" t="inlineStr">
        <is>
          <t>Rzodkiewka/b</t>
        </is>
      </c>
      <c r="I25" s="531" t="inlineStr">
        <is>
          <t>Selery</t>
        </is>
      </c>
      <c r="J25" s="531" t="inlineStr">
        <is>
          <t>Pomidory</t>
        </is>
      </c>
      <c r="K25" s="531" t="inlineStr">
        <is>
          <t>Ogórki</t>
        </is>
      </c>
      <c r="L25" s="531" t="inlineStr">
        <is>
          <t>Sałata masłowa</t>
        </is>
      </c>
    </row>
    <row r="26" ht="18" customFormat="1" customHeight="1" s="526">
      <c r="B26" s="313" t="inlineStr">
        <is>
          <t>kujawsko-pomorskie</t>
        </is>
      </c>
      <c r="C26" s="532" t="inlineStr">
        <is>
          <t>1,89-2,37</t>
        </is>
      </c>
      <c r="D26" s="532" t="inlineStr">
        <is>
          <t>6,35-7,35</t>
        </is>
      </c>
      <c r="E26" s="532" t="inlineStr">
        <is>
          <t>1,65-1,98</t>
        </is>
      </c>
      <c r="F26" s="532" t="inlineStr">
        <is>
          <t>1,75-1,89</t>
        </is>
      </c>
      <c r="G26" s="532" t="inlineStr">
        <is>
          <t>1,25-1,45</t>
        </is>
      </c>
      <c r="H26" s="532" t="inlineStr">
        <is>
          <t>1,75-2,15</t>
        </is>
      </c>
      <c r="I26" s="532" t="inlineStr">
        <is>
          <t>0,75-0,96</t>
        </is>
      </c>
      <c r="J26" s="532" t="inlineStr">
        <is>
          <t>1,55-1,98</t>
        </is>
      </c>
      <c r="K26" s="532" t="inlineStr">
        <is>
          <t>1,55-1,89</t>
        </is>
      </c>
      <c r="L26" s="532" t="inlineStr">
        <is>
          <t>1,75-1,90</t>
        </is>
      </c>
    </row>
    <row r="27" ht="18" customFormat="1" customHeight="1" s="19">
      <c r="B27" s="313" t="inlineStr">
        <is>
          <t>lubelskie</t>
        </is>
      </c>
      <c r="C27" s="532" t="inlineStr">
        <is>
          <t>2,10-2,45</t>
        </is>
      </c>
      <c r="D27" s="532" t="inlineStr">
        <is>
          <t>5,78-6,98</t>
        </is>
      </c>
      <c r="E27" s="532" t="inlineStr">
        <is>
          <t>1,75-2,15</t>
        </is>
      </c>
      <c r="F27" s="532" t="inlineStr">
        <is>
          <t>1,89-2,45</t>
        </is>
      </c>
      <c r="G27" s="532" t="inlineStr">
        <is>
          <t>1,35-1,40</t>
        </is>
      </c>
      <c r="H27" s="532" t="n"/>
      <c r="I27" s="532" t="inlineStr">
        <is>
          <t>0,84-0,93</t>
        </is>
      </c>
      <c r="J27" s="532" t="inlineStr">
        <is>
          <t>1,65-2,56</t>
        </is>
      </c>
      <c r="K27" s="532" t="inlineStr">
        <is>
          <t>1,66-1,78</t>
        </is>
      </c>
      <c r="L27" s="532" t="inlineStr">
        <is>
          <t>1,65-1,77</t>
        </is>
      </c>
    </row>
    <row r="28" ht="18" customFormat="1" customHeight="1" s="526">
      <c r="B28" s="313" t="inlineStr">
        <is>
          <t>małopol.</t>
        </is>
      </c>
      <c r="C28" s="533" t="inlineStr">
        <is>
          <t>2,00-2,21</t>
        </is>
      </c>
      <c r="D28" s="533" t="inlineStr">
        <is>
          <t>7,45-8,00</t>
        </is>
      </c>
      <c r="E28" s="533" t="inlineStr">
        <is>
          <t>2,20-2,45</t>
        </is>
      </c>
      <c r="F28" s="533" t="inlineStr">
        <is>
          <t>2,20-2,38</t>
        </is>
      </c>
      <c r="G28" s="533" t="n"/>
      <c r="H28" s="533" t="inlineStr">
        <is>
          <t>1,96-2,45</t>
        </is>
      </c>
      <c r="I28" s="533" t="inlineStr">
        <is>
          <t>0,82-0,97</t>
        </is>
      </c>
      <c r="J28" s="533" t="n"/>
      <c r="K28" s="533" t="inlineStr">
        <is>
          <t>1,45-1,68</t>
        </is>
      </c>
      <c r="L28" s="533" t="n"/>
    </row>
    <row r="29" ht="18" customFormat="1" customHeight="1" s="526">
      <c r="B29" s="313" t="inlineStr">
        <is>
          <t>małopol.</t>
        </is>
      </c>
      <c r="C29" s="533" t="inlineStr">
        <is>
          <t>1,95-2,45</t>
        </is>
      </c>
      <c r="D29" s="534" t="inlineStr">
        <is>
          <t>6,70-7,35</t>
        </is>
      </c>
      <c r="E29" s="533" t="inlineStr">
        <is>
          <t>2,35-2,89</t>
        </is>
      </c>
      <c r="F29" s="533" t="inlineStr">
        <is>
          <t>2,44-2,89</t>
        </is>
      </c>
      <c r="G29" s="533" t="inlineStr">
        <is>
          <t>1,45--1,68</t>
        </is>
      </c>
      <c r="H29" s="533" t="n"/>
      <c r="I29" s="533" t="inlineStr">
        <is>
          <t>0,84-0,93</t>
        </is>
      </c>
      <c r="J29" s="533" t="inlineStr">
        <is>
          <t>2,15-2,65</t>
        </is>
      </c>
      <c r="K29" s="533" t="inlineStr">
        <is>
          <t>2,25-2,68</t>
        </is>
      </c>
      <c r="L29" s="533" t="inlineStr">
        <is>
          <t>1,80-2,10</t>
        </is>
      </c>
    </row>
    <row r="30" ht="18" customFormat="1" customHeight="1" s="19">
      <c r="B30" s="313" t="inlineStr">
        <is>
          <t>mazowiec.</t>
        </is>
      </c>
      <c r="C30" s="532" t="inlineStr">
        <is>
          <t>2,10-2,56</t>
        </is>
      </c>
      <c r="D30" s="533" t="inlineStr">
        <is>
          <t>7,15-7,45</t>
        </is>
      </c>
      <c r="E30" s="535" t="inlineStr">
        <is>
          <t>2,20-2,40</t>
        </is>
      </c>
      <c r="F30" s="532" t="inlineStr">
        <is>
          <t>1,80-2,14</t>
        </is>
      </c>
      <c r="G30" s="532" t="inlineStr">
        <is>
          <t>1,14-1,38</t>
        </is>
      </c>
      <c r="H30" s="532" t="inlineStr">
        <is>
          <t>2,25-2,78</t>
        </is>
      </c>
      <c r="I30" s="532" t="inlineStr">
        <is>
          <t>0,83-0,94</t>
        </is>
      </c>
      <c r="J30" s="532" t="inlineStr">
        <is>
          <t>2,25-2,45</t>
        </is>
      </c>
      <c r="K30" s="532" t="inlineStr">
        <is>
          <t>2,35-2,84</t>
        </is>
      </c>
      <c r="L30" s="532" t="n"/>
    </row>
    <row r="31" ht="18" customFormat="1" customHeight="1" s="19">
      <c r="B31" s="313" t="inlineStr">
        <is>
          <t>mazowiec.</t>
        </is>
      </c>
      <c r="C31" s="532" t="inlineStr">
        <is>
          <t>2,15-2,60</t>
        </is>
      </c>
      <c r="D31" s="532" t="inlineStr">
        <is>
          <t>6,85-7,99</t>
        </is>
      </c>
      <c r="E31" s="535" t="inlineStr">
        <is>
          <t>2,31-2,69</t>
        </is>
      </c>
      <c r="F31" s="532" t="inlineStr">
        <is>
          <t>2,54-2,66</t>
        </is>
      </c>
      <c r="G31" s="532" t="inlineStr">
        <is>
          <t>1,30-1,40</t>
        </is>
      </c>
      <c r="H31" s="532" t="inlineStr">
        <is>
          <t>2,40-2,89</t>
        </is>
      </c>
      <c r="I31" s="532" t="inlineStr">
        <is>
          <t>0,92-1,10</t>
        </is>
      </c>
      <c r="J31" s="532" t="n"/>
      <c r="K31" s="532" t="n"/>
      <c r="L31" s="532" t="inlineStr">
        <is>
          <t>1,95-2,35</t>
        </is>
      </c>
    </row>
    <row r="32" ht="18" customFormat="1" customHeight="1" s="526">
      <c r="B32" s="313" t="inlineStr">
        <is>
          <t>podkarp.</t>
        </is>
      </c>
      <c r="C32" s="533" t="inlineStr">
        <is>
          <t>2,10-2,38</t>
        </is>
      </c>
      <c r="D32" s="533" t="inlineStr">
        <is>
          <t>6,55-7,35</t>
        </is>
      </c>
      <c r="E32" s="533" t="inlineStr">
        <is>
          <t>2,34-2,78</t>
        </is>
      </c>
      <c r="F32" s="533" t="inlineStr">
        <is>
          <t>2,44-2,78</t>
        </is>
      </c>
      <c r="G32" s="533" t="n"/>
      <c r="H32" s="533" t="n"/>
      <c r="I32" s="533" t="n"/>
      <c r="J32" s="533" t="inlineStr">
        <is>
          <t>2,46-2,68</t>
        </is>
      </c>
      <c r="K32" s="533" t="inlineStr">
        <is>
          <t>2,56-2,80</t>
        </is>
      </c>
      <c r="L32" s="533" t="n"/>
    </row>
    <row r="33" ht="18" customFormat="1" customHeight="1" s="19">
      <c r="B33" s="320" t="inlineStr">
        <is>
          <t>podkarp.</t>
        </is>
      </c>
      <c r="C33" s="532" t="inlineStr">
        <is>
          <t>2,00-2,35</t>
        </is>
      </c>
      <c r="D33" s="532" t="inlineStr">
        <is>
          <t>6,25-7,80</t>
        </is>
      </c>
      <c r="E33" s="535" t="inlineStr">
        <is>
          <t>2,17-2,90</t>
        </is>
      </c>
      <c r="F33" s="532" t="inlineStr">
        <is>
          <t>2,35-2,88</t>
        </is>
      </c>
      <c r="G33" s="532" t="inlineStr">
        <is>
          <t>1,25-1,38</t>
        </is>
      </c>
      <c r="H33" s="532" t="inlineStr">
        <is>
          <t>2,35-2,68</t>
        </is>
      </c>
      <c r="I33" s="532" t="inlineStr">
        <is>
          <t>0,78-0,93</t>
        </is>
      </c>
      <c r="J33" s="532" t="n"/>
      <c r="K33" s="532" t="n"/>
      <c r="L33" s="532" t="n"/>
    </row>
    <row r="34" ht="18" customFormat="1" customHeight="1" s="526">
      <c r="B34" s="536" t="inlineStr">
        <is>
          <t>Cena średnia</t>
        </is>
      </c>
      <c r="C34" s="537" t="inlineStr">
        <is>
          <t>1,89-2,60</t>
        </is>
      </c>
      <c r="D34" s="538" t="inlineStr">
        <is>
          <t>5,78-8,00</t>
        </is>
      </c>
      <c r="E34" s="538" t="inlineStr">
        <is>
          <t>1,65-2,90</t>
        </is>
      </c>
      <c r="F34" s="538" t="inlineStr">
        <is>
          <t>1,75-2,89</t>
        </is>
      </c>
      <c r="G34" s="538" t="inlineStr">
        <is>
          <t>1,14-1,68</t>
        </is>
      </c>
      <c r="H34" s="538" t="inlineStr">
        <is>
          <t>1,75-2,89</t>
        </is>
      </c>
      <c r="I34" s="538" t="inlineStr">
        <is>
          <t>0,75-1,10</t>
        </is>
      </c>
      <c r="J34" s="538" t="inlineStr">
        <is>
          <t>1,55-2,68</t>
        </is>
      </c>
      <c r="K34" s="538" t="inlineStr">
        <is>
          <t>1,45-2,84</t>
        </is>
      </c>
      <c r="L34" s="538" t="inlineStr">
        <is>
          <t>1,65-2,35</t>
        </is>
      </c>
    </row>
    <row r="35" ht="18" customFormat="1" customHeight="1" s="20">
      <c r="B35" s="536" t="inlineStr">
        <is>
          <t>tydzień temu</t>
        </is>
      </c>
      <c r="C35" s="537" t="inlineStr">
        <is>
          <t>1,78-2,68</t>
        </is>
      </c>
      <c r="D35" s="538" t="inlineStr">
        <is>
          <t>6,31-7,96</t>
        </is>
      </c>
      <c r="E35" s="538" t="inlineStr">
        <is>
          <t>1,85-2,99</t>
        </is>
      </c>
      <c r="F35" s="538" t="inlineStr">
        <is>
          <t>2,35-2,99</t>
        </is>
      </c>
      <c r="G35" s="538" t="inlineStr">
        <is>
          <t>1,12-1,57</t>
        </is>
      </c>
      <c r="H35" s="538" t="inlineStr">
        <is>
          <t>1,88-2,66</t>
        </is>
      </c>
      <c r="I35" s="538" t="inlineStr">
        <is>
          <t>0,65-0,97</t>
        </is>
      </c>
      <c r="J35" s="538" t="inlineStr">
        <is>
          <t>1,45-2,60</t>
        </is>
      </c>
      <c r="K35" s="538" t="inlineStr">
        <is>
          <t>1,64-2,87</t>
        </is>
      </c>
      <c r="L35" s="538" t="inlineStr">
        <is>
          <t>1,58-1,97</t>
        </is>
      </c>
    </row>
    <row r="36" ht="18" customFormat="1" customHeight="1" s="526">
      <c r="B36" s="325" t="inlineStr">
        <is>
          <t>rok temu</t>
        </is>
      </c>
      <c r="C36" s="326" t="inlineStr">
        <is>
          <t>1,85-2,78</t>
        </is>
      </c>
      <c r="D36" s="539" t="inlineStr">
        <is>
          <t>6,35-8,45</t>
        </is>
      </c>
      <c r="E36" s="539" t="inlineStr">
        <is>
          <t>1,85-3,15</t>
        </is>
      </c>
      <c r="F36" s="307" t="inlineStr">
        <is>
          <t>2,78-3,15</t>
        </is>
      </c>
      <c r="G36" s="539" t="inlineStr">
        <is>
          <t>1,25-1,75</t>
        </is>
      </c>
      <c r="H36" s="307" t="inlineStr">
        <is>
          <t>1,75-2,88</t>
        </is>
      </c>
      <c r="I36" s="539" t="inlineStr">
        <is>
          <t>0,85-1,15</t>
        </is>
      </c>
      <c r="J36" s="539" t="inlineStr">
        <is>
          <t>1,77-2,54</t>
        </is>
      </c>
      <c r="K36" s="307" t="inlineStr">
        <is>
          <t>1,75-2,69</t>
        </is>
      </c>
      <c r="L36" s="539" t="inlineStr">
        <is>
          <t>1,45-1,97</t>
        </is>
      </c>
    </row>
    <row r="37" ht="18" customFormat="1" customHeight="1" s="526">
      <c r="B37" s="266" t="inlineStr">
        <is>
          <t>a/sztuka,b/peczek</t>
        </is>
      </c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</row>
    <row r="38" ht="18" customHeight="1" s="524"/>
    <row r="39" ht="18" customHeight="1" s="524"/>
    <row r="40" ht="18" customHeight="1" s="524"/>
    <row r="41" ht="18" customHeight="1" s="524"/>
    <row r="42" ht="18" customHeight="1" s="524"/>
    <row r="43" ht="18" customHeight="1" s="524"/>
  </sheetData>
  <printOptions horizontalCentered="1" verticalCentered="1"/>
  <pageMargins left="0.07874015748031496" right="0.07874015748031496" top="0.8267716535433072" bottom="1.023622047244094" header="0.5118110236220472" footer="0.5118110236220472"/>
  <pageSetup orientation="landscape" paperSize="9" scale="6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C23"/>
  <sheetViews>
    <sheetView showGridLines="0" zoomScaleNormal="100" workbookViewId="0">
      <selection activeCell="I6" sqref="I6"/>
    </sheetView>
  </sheetViews>
  <sheetFormatPr baseColWidth="8" defaultRowHeight="12.5"/>
  <cols>
    <col width="10.7265625" customWidth="1" style="524" min="1" max="1"/>
    <col width="20.7265625" customWidth="1" style="524" min="2" max="6"/>
    <col width="17.54296875" customWidth="1" style="524" min="7" max="7"/>
    <col width="11.26953125" bestFit="1" customWidth="1" style="524" min="8" max="8"/>
    <col width="10.7265625" customWidth="1" style="524" min="9" max="18"/>
    <col width="21" customWidth="1" style="524" min="249" max="249"/>
    <col width="16.453125" customWidth="1" style="524" min="250" max="250"/>
    <col width="17.54296875" customWidth="1" style="524" min="251" max="251"/>
    <col width="13.1796875" customWidth="1" style="524" min="252" max="252"/>
    <col width="11.26953125" customWidth="1" style="524" min="253" max="253"/>
    <col width="13.7265625" customWidth="1" style="524" min="254" max="254"/>
    <col width="21" customWidth="1" style="524" min="505" max="505"/>
    <col width="16.453125" customWidth="1" style="524" min="506" max="506"/>
    <col width="17.54296875" customWidth="1" style="524" min="507" max="507"/>
    <col width="13.1796875" customWidth="1" style="524" min="508" max="508"/>
    <col width="11.26953125" customWidth="1" style="524" min="509" max="509"/>
    <col width="13.7265625" customWidth="1" style="524" min="510" max="510"/>
    <col width="21" customWidth="1" style="524" min="761" max="761"/>
    <col width="16.453125" customWidth="1" style="524" min="762" max="762"/>
    <col width="17.54296875" customWidth="1" style="524" min="763" max="763"/>
    <col width="13.1796875" customWidth="1" style="524" min="764" max="764"/>
    <col width="11.26953125" customWidth="1" style="524" min="765" max="765"/>
    <col width="13.7265625" customWidth="1" style="524" min="766" max="766"/>
    <col width="21" customWidth="1" style="524" min="1017" max="1017"/>
    <col width="16.453125" customWidth="1" style="524" min="1018" max="1018"/>
    <col width="17.54296875" customWidth="1" style="524" min="1019" max="1019"/>
    <col width="13.1796875" customWidth="1" style="524" min="1020" max="1020"/>
    <col width="11.26953125" customWidth="1" style="524" min="1021" max="1021"/>
    <col width="13.7265625" customWidth="1" style="524" min="1022" max="1022"/>
    <col width="21" customWidth="1" style="524" min="1273" max="1273"/>
    <col width="16.453125" customWidth="1" style="524" min="1274" max="1274"/>
    <col width="17.54296875" customWidth="1" style="524" min="1275" max="1275"/>
    <col width="13.1796875" customWidth="1" style="524" min="1276" max="1276"/>
    <col width="11.26953125" customWidth="1" style="524" min="1277" max="1277"/>
    <col width="13.7265625" customWidth="1" style="524" min="1278" max="1278"/>
    <col width="21" customWidth="1" style="524" min="1529" max="1529"/>
    <col width="16.453125" customWidth="1" style="524" min="1530" max="1530"/>
    <col width="17.54296875" customWidth="1" style="524" min="1531" max="1531"/>
    <col width="13.1796875" customWidth="1" style="524" min="1532" max="1532"/>
    <col width="11.26953125" customWidth="1" style="524" min="1533" max="1533"/>
    <col width="13.7265625" customWidth="1" style="524" min="1534" max="1534"/>
    <col width="21" customWidth="1" style="524" min="1785" max="1785"/>
    <col width="16.453125" customWidth="1" style="524" min="1786" max="1786"/>
    <col width="17.54296875" customWidth="1" style="524" min="1787" max="1787"/>
    <col width="13.1796875" customWidth="1" style="524" min="1788" max="1788"/>
    <col width="11.26953125" customWidth="1" style="524" min="1789" max="1789"/>
    <col width="13.7265625" customWidth="1" style="524" min="1790" max="1790"/>
    <col width="21" customWidth="1" style="524" min="2041" max="2041"/>
    <col width="16.453125" customWidth="1" style="524" min="2042" max="2042"/>
    <col width="17.54296875" customWidth="1" style="524" min="2043" max="2043"/>
    <col width="13.1796875" customWidth="1" style="524" min="2044" max="2044"/>
    <col width="11.26953125" customWidth="1" style="524" min="2045" max="2045"/>
    <col width="13.7265625" customWidth="1" style="524" min="2046" max="2046"/>
    <col width="21" customWidth="1" style="524" min="2297" max="2297"/>
    <col width="16.453125" customWidth="1" style="524" min="2298" max="2298"/>
    <col width="17.54296875" customWidth="1" style="524" min="2299" max="2299"/>
    <col width="13.1796875" customWidth="1" style="524" min="2300" max="2300"/>
    <col width="11.26953125" customWidth="1" style="524" min="2301" max="2301"/>
    <col width="13.7265625" customWidth="1" style="524" min="2302" max="2302"/>
    <col width="21" customWidth="1" style="524" min="2553" max="2553"/>
    <col width="16.453125" customWidth="1" style="524" min="2554" max="2554"/>
    <col width="17.54296875" customWidth="1" style="524" min="2555" max="2555"/>
    <col width="13.1796875" customWidth="1" style="524" min="2556" max="2556"/>
    <col width="11.26953125" customWidth="1" style="524" min="2557" max="2557"/>
    <col width="13.7265625" customWidth="1" style="524" min="2558" max="2558"/>
    <col width="21" customWidth="1" style="524" min="2809" max="2809"/>
    <col width="16.453125" customWidth="1" style="524" min="2810" max="2810"/>
    <col width="17.54296875" customWidth="1" style="524" min="2811" max="2811"/>
    <col width="13.1796875" customWidth="1" style="524" min="2812" max="2812"/>
    <col width="11.26953125" customWidth="1" style="524" min="2813" max="2813"/>
    <col width="13.7265625" customWidth="1" style="524" min="2814" max="2814"/>
    <col width="21" customWidth="1" style="524" min="3065" max="3065"/>
    <col width="16.453125" customWidth="1" style="524" min="3066" max="3066"/>
    <col width="17.54296875" customWidth="1" style="524" min="3067" max="3067"/>
    <col width="13.1796875" customWidth="1" style="524" min="3068" max="3068"/>
    <col width="11.26953125" customWidth="1" style="524" min="3069" max="3069"/>
    <col width="13.7265625" customWidth="1" style="524" min="3070" max="3070"/>
    <col width="21" customWidth="1" style="524" min="3321" max="3321"/>
    <col width="16.453125" customWidth="1" style="524" min="3322" max="3322"/>
    <col width="17.54296875" customWidth="1" style="524" min="3323" max="3323"/>
    <col width="13.1796875" customWidth="1" style="524" min="3324" max="3324"/>
    <col width="11.26953125" customWidth="1" style="524" min="3325" max="3325"/>
    <col width="13.7265625" customWidth="1" style="524" min="3326" max="3326"/>
    <col width="21" customWidth="1" style="524" min="3577" max="3577"/>
    <col width="16.453125" customWidth="1" style="524" min="3578" max="3578"/>
    <col width="17.54296875" customWidth="1" style="524" min="3579" max="3579"/>
    <col width="13.1796875" customWidth="1" style="524" min="3580" max="3580"/>
    <col width="11.26953125" customWidth="1" style="524" min="3581" max="3581"/>
    <col width="13.7265625" customWidth="1" style="524" min="3582" max="3582"/>
    <col width="21" customWidth="1" style="524" min="3833" max="3833"/>
    <col width="16.453125" customWidth="1" style="524" min="3834" max="3834"/>
    <col width="17.54296875" customWidth="1" style="524" min="3835" max="3835"/>
    <col width="13.1796875" customWidth="1" style="524" min="3836" max="3836"/>
    <col width="11.26953125" customWidth="1" style="524" min="3837" max="3837"/>
    <col width="13.7265625" customWidth="1" style="524" min="3838" max="3838"/>
    <col width="21" customWidth="1" style="524" min="4089" max="4089"/>
    <col width="16.453125" customWidth="1" style="524" min="4090" max="4090"/>
    <col width="17.54296875" customWidth="1" style="524" min="4091" max="4091"/>
    <col width="13.1796875" customWidth="1" style="524" min="4092" max="4092"/>
    <col width="11.26953125" customWidth="1" style="524" min="4093" max="4093"/>
    <col width="13.7265625" customWidth="1" style="524" min="4094" max="4094"/>
    <col width="21" customWidth="1" style="524" min="4345" max="4345"/>
    <col width="16.453125" customWidth="1" style="524" min="4346" max="4346"/>
    <col width="17.54296875" customWidth="1" style="524" min="4347" max="4347"/>
    <col width="13.1796875" customWidth="1" style="524" min="4348" max="4348"/>
    <col width="11.26953125" customWidth="1" style="524" min="4349" max="4349"/>
    <col width="13.7265625" customWidth="1" style="524" min="4350" max="4350"/>
    <col width="21" customWidth="1" style="524" min="4601" max="4601"/>
    <col width="16.453125" customWidth="1" style="524" min="4602" max="4602"/>
    <col width="17.54296875" customWidth="1" style="524" min="4603" max="4603"/>
    <col width="13.1796875" customWidth="1" style="524" min="4604" max="4604"/>
    <col width="11.26953125" customWidth="1" style="524" min="4605" max="4605"/>
    <col width="13.7265625" customWidth="1" style="524" min="4606" max="4606"/>
    <col width="21" customWidth="1" style="524" min="4857" max="4857"/>
    <col width="16.453125" customWidth="1" style="524" min="4858" max="4858"/>
    <col width="17.54296875" customWidth="1" style="524" min="4859" max="4859"/>
    <col width="13.1796875" customWidth="1" style="524" min="4860" max="4860"/>
    <col width="11.26953125" customWidth="1" style="524" min="4861" max="4861"/>
    <col width="13.7265625" customWidth="1" style="524" min="4862" max="4862"/>
    <col width="21" customWidth="1" style="524" min="5113" max="5113"/>
    <col width="16.453125" customWidth="1" style="524" min="5114" max="5114"/>
    <col width="17.54296875" customWidth="1" style="524" min="5115" max="5115"/>
    <col width="13.1796875" customWidth="1" style="524" min="5116" max="5116"/>
    <col width="11.26953125" customWidth="1" style="524" min="5117" max="5117"/>
    <col width="13.7265625" customWidth="1" style="524" min="5118" max="5118"/>
    <col width="21" customWidth="1" style="524" min="5369" max="5369"/>
    <col width="16.453125" customWidth="1" style="524" min="5370" max="5370"/>
    <col width="17.54296875" customWidth="1" style="524" min="5371" max="5371"/>
    <col width="13.1796875" customWidth="1" style="524" min="5372" max="5372"/>
    <col width="11.26953125" customWidth="1" style="524" min="5373" max="5373"/>
    <col width="13.7265625" customWidth="1" style="524" min="5374" max="5374"/>
    <col width="21" customWidth="1" style="524" min="5625" max="5625"/>
    <col width="16.453125" customWidth="1" style="524" min="5626" max="5626"/>
    <col width="17.54296875" customWidth="1" style="524" min="5627" max="5627"/>
    <col width="13.1796875" customWidth="1" style="524" min="5628" max="5628"/>
    <col width="11.26953125" customWidth="1" style="524" min="5629" max="5629"/>
    <col width="13.7265625" customWidth="1" style="524" min="5630" max="5630"/>
    <col width="21" customWidth="1" style="524" min="5881" max="5881"/>
    <col width="16.453125" customWidth="1" style="524" min="5882" max="5882"/>
    <col width="17.54296875" customWidth="1" style="524" min="5883" max="5883"/>
    <col width="13.1796875" customWidth="1" style="524" min="5884" max="5884"/>
    <col width="11.26953125" customWidth="1" style="524" min="5885" max="5885"/>
    <col width="13.7265625" customWidth="1" style="524" min="5886" max="5886"/>
    <col width="21" customWidth="1" style="524" min="6137" max="6137"/>
    <col width="16.453125" customWidth="1" style="524" min="6138" max="6138"/>
    <col width="17.54296875" customWidth="1" style="524" min="6139" max="6139"/>
    <col width="13.1796875" customWidth="1" style="524" min="6140" max="6140"/>
    <col width="11.26953125" customWidth="1" style="524" min="6141" max="6141"/>
    <col width="13.7265625" customWidth="1" style="524" min="6142" max="6142"/>
    <col width="21" customWidth="1" style="524" min="6393" max="6393"/>
    <col width="16.453125" customWidth="1" style="524" min="6394" max="6394"/>
    <col width="17.54296875" customWidth="1" style="524" min="6395" max="6395"/>
    <col width="13.1796875" customWidth="1" style="524" min="6396" max="6396"/>
    <col width="11.26953125" customWidth="1" style="524" min="6397" max="6397"/>
    <col width="13.7265625" customWidth="1" style="524" min="6398" max="6398"/>
    <col width="21" customWidth="1" style="524" min="6649" max="6649"/>
    <col width="16.453125" customWidth="1" style="524" min="6650" max="6650"/>
    <col width="17.54296875" customWidth="1" style="524" min="6651" max="6651"/>
    <col width="13.1796875" customWidth="1" style="524" min="6652" max="6652"/>
    <col width="11.26953125" customWidth="1" style="524" min="6653" max="6653"/>
    <col width="13.7265625" customWidth="1" style="524" min="6654" max="6654"/>
    <col width="21" customWidth="1" style="524" min="6905" max="6905"/>
    <col width="16.453125" customWidth="1" style="524" min="6906" max="6906"/>
    <col width="17.54296875" customWidth="1" style="524" min="6907" max="6907"/>
    <col width="13.1796875" customWidth="1" style="524" min="6908" max="6908"/>
    <col width="11.26953125" customWidth="1" style="524" min="6909" max="6909"/>
    <col width="13.7265625" customWidth="1" style="524" min="6910" max="6910"/>
    <col width="21" customWidth="1" style="524" min="7161" max="7161"/>
    <col width="16.453125" customWidth="1" style="524" min="7162" max="7162"/>
    <col width="17.54296875" customWidth="1" style="524" min="7163" max="7163"/>
    <col width="13.1796875" customWidth="1" style="524" min="7164" max="7164"/>
    <col width="11.26953125" customWidth="1" style="524" min="7165" max="7165"/>
    <col width="13.7265625" customWidth="1" style="524" min="7166" max="7166"/>
    <col width="21" customWidth="1" style="524" min="7417" max="7417"/>
    <col width="16.453125" customWidth="1" style="524" min="7418" max="7418"/>
    <col width="17.54296875" customWidth="1" style="524" min="7419" max="7419"/>
    <col width="13.1796875" customWidth="1" style="524" min="7420" max="7420"/>
    <col width="11.26953125" customWidth="1" style="524" min="7421" max="7421"/>
    <col width="13.7265625" customWidth="1" style="524" min="7422" max="7422"/>
    <col width="21" customWidth="1" style="524" min="7673" max="7673"/>
    <col width="16.453125" customWidth="1" style="524" min="7674" max="7674"/>
    <col width="17.54296875" customWidth="1" style="524" min="7675" max="7675"/>
    <col width="13.1796875" customWidth="1" style="524" min="7676" max="7676"/>
    <col width="11.26953125" customWidth="1" style="524" min="7677" max="7677"/>
    <col width="13.7265625" customWidth="1" style="524" min="7678" max="7678"/>
    <col width="21" customWidth="1" style="524" min="7929" max="7929"/>
    <col width="16.453125" customWidth="1" style="524" min="7930" max="7930"/>
    <col width="17.54296875" customWidth="1" style="524" min="7931" max="7931"/>
    <col width="13.1796875" customWidth="1" style="524" min="7932" max="7932"/>
    <col width="11.26953125" customWidth="1" style="524" min="7933" max="7933"/>
    <col width="13.7265625" customWidth="1" style="524" min="7934" max="7934"/>
    <col width="21" customWidth="1" style="524" min="8185" max="8185"/>
    <col width="16.453125" customWidth="1" style="524" min="8186" max="8186"/>
    <col width="17.54296875" customWidth="1" style="524" min="8187" max="8187"/>
    <col width="13.1796875" customWidth="1" style="524" min="8188" max="8188"/>
    <col width="11.26953125" customWidth="1" style="524" min="8189" max="8189"/>
    <col width="13.7265625" customWidth="1" style="524" min="8190" max="8190"/>
    <col width="21" customWidth="1" style="524" min="8441" max="8441"/>
    <col width="16.453125" customWidth="1" style="524" min="8442" max="8442"/>
    <col width="17.54296875" customWidth="1" style="524" min="8443" max="8443"/>
    <col width="13.1796875" customWidth="1" style="524" min="8444" max="8444"/>
    <col width="11.26953125" customWidth="1" style="524" min="8445" max="8445"/>
    <col width="13.7265625" customWidth="1" style="524" min="8446" max="8446"/>
    <col width="21" customWidth="1" style="524" min="8697" max="8697"/>
    <col width="16.453125" customWidth="1" style="524" min="8698" max="8698"/>
    <col width="17.54296875" customWidth="1" style="524" min="8699" max="8699"/>
    <col width="13.1796875" customWidth="1" style="524" min="8700" max="8700"/>
    <col width="11.26953125" customWidth="1" style="524" min="8701" max="8701"/>
    <col width="13.7265625" customWidth="1" style="524" min="8702" max="8702"/>
    <col width="21" customWidth="1" style="524" min="8953" max="8953"/>
    <col width="16.453125" customWidth="1" style="524" min="8954" max="8954"/>
    <col width="17.54296875" customWidth="1" style="524" min="8955" max="8955"/>
    <col width="13.1796875" customWidth="1" style="524" min="8956" max="8956"/>
    <col width="11.26953125" customWidth="1" style="524" min="8957" max="8957"/>
    <col width="13.7265625" customWidth="1" style="524" min="8958" max="8958"/>
    <col width="21" customWidth="1" style="524" min="9209" max="9209"/>
    <col width="16.453125" customWidth="1" style="524" min="9210" max="9210"/>
    <col width="17.54296875" customWidth="1" style="524" min="9211" max="9211"/>
    <col width="13.1796875" customWidth="1" style="524" min="9212" max="9212"/>
    <col width="11.26953125" customWidth="1" style="524" min="9213" max="9213"/>
    <col width="13.7265625" customWidth="1" style="524" min="9214" max="9214"/>
    <col width="21" customWidth="1" style="524" min="9465" max="9465"/>
    <col width="16.453125" customWidth="1" style="524" min="9466" max="9466"/>
    <col width="17.54296875" customWidth="1" style="524" min="9467" max="9467"/>
    <col width="13.1796875" customWidth="1" style="524" min="9468" max="9468"/>
    <col width="11.26953125" customWidth="1" style="524" min="9469" max="9469"/>
    <col width="13.7265625" customWidth="1" style="524" min="9470" max="9470"/>
    <col width="21" customWidth="1" style="524" min="9721" max="9721"/>
    <col width="16.453125" customWidth="1" style="524" min="9722" max="9722"/>
    <col width="17.54296875" customWidth="1" style="524" min="9723" max="9723"/>
    <col width="13.1796875" customWidth="1" style="524" min="9724" max="9724"/>
    <col width="11.26953125" customWidth="1" style="524" min="9725" max="9725"/>
    <col width="13.7265625" customWidth="1" style="524" min="9726" max="9726"/>
    <col width="21" customWidth="1" style="524" min="9977" max="9977"/>
    <col width="16.453125" customWidth="1" style="524" min="9978" max="9978"/>
    <col width="17.54296875" customWidth="1" style="524" min="9979" max="9979"/>
    <col width="13.1796875" customWidth="1" style="524" min="9980" max="9980"/>
    <col width="11.26953125" customWidth="1" style="524" min="9981" max="9981"/>
    <col width="13.7265625" customWidth="1" style="524" min="9982" max="9982"/>
    <col width="21" customWidth="1" style="524" min="10233" max="10233"/>
    <col width="16.453125" customWidth="1" style="524" min="10234" max="10234"/>
    <col width="17.54296875" customWidth="1" style="524" min="10235" max="10235"/>
    <col width="13.1796875" customWidth="1" style="524" min="10236" max="10236"/>
    <col width="11.26953125" customWidth="1" style="524" min="10237" max="10237"/>
    <col width="13.7265625" customWidth="1" style="524" min="10238" max="10238"/>
    <col width="21" customWidth="1" style="524" min="10489" max="10489"/>
    <col width="16.453125" customWidth="1" style="524" min="10490" max="10490"/>
    <col width="17.54296875" customWidth="1" style="524" min="10491" max="10491"/>
    <col width="13.1796875" customWidth="1" style="524" min="10492" max="10492"/>
    <col width="11.26953125" customWidth="1" style="524" min="10493" max="10493"/>
    <col width="13.7265625" customWidth="1" style="524" min="10494" max="10494"/>
    <col width="21" customWidth="1" style="524" min="10745" max="10745"/>
    <col width="16.453125" customWidth="1" style="524" min="10746" max="10746"/>
    <col width="17.54296875" customWidth="1" style="524" min="10747" max="10747"/>
    <col width="13.1796875" customWidth="1" style="524" min="10748" max="10748"/>
    <col width="11.26953125" customWidth="1" style="524" min="10749" max="10749"/>
    <col width="13.7265625" customWidth="1" style="524" min="10750" max="10750"/>
    <col width="21" customWidth="1" style="524" min="11001" max="11001"/>
    <col width="16.453125" customWidth="1" style="524" min="11002" max="11002"/>
    <col width="17.54296875" customWidth="1" style="524" min="11003" max="11003"/>
    <col width="13.1796875" customWidth="1" style="524" min="11004" max="11004"/>
    <col width="11.26953125" customWidth="1" style="524" min="11005" max="11005"/>
    <col width="13.7265625" customWidth="1" style="524" min="11006" max="11006"/>
    <col width="21" customWidth="1" style="524" min="11257" max="11257"/>
    <col width="16.453125" customWidth="1" style="524" min="11258" max="11258"/>
    <col width="17.54296875" customWidth="1" style="524" min="11259" max="11259"/>
    <col width="13.1796875" customWidth="1" style="524" min="11260" max="11260"/>
    <col width="11.26953125" customWidth="1" style="524" min="11261" max="11261"/>
    <col width="13.7265625" customWidth="1" style="524" min="11262" max="11262"/>
    <col width="21" customWidth="1" style="524" min="11513" max="11513"/>
    <col width="16.453125" customWidth="1" style="524" min="11514" max="11514"/>
    <col width="17.54296875" customWidth="1" style="524" min="11515" max="11515"/>
    <col width="13.1796875" customWidth="1" style="524" min="11516" max="11516"/>
    <col width="11.26953125" customWidth="1" style="524" min="11517" max="11517"/>
    <col width="13.7265625" customWidth="1" style="524" min="11518" max="11518"/>
    <col width="21" customWidth="1" style="524" min="11769" max="11769"/>
    <col width="16.453125" customWidth="1" style="524" min="11770" max="11770"/>
    <col width="17.54296875" customWidth="1" style="524" min="11771" max="11771"/>
    <col width="13.1796875" customWidth="1" style="524" min="11772" max="11772"/>
    <col width="11.26953125" customWidth="1" style="524" min="11773" max="11773"/>
    <col width="13.7265625" customWidth="1" style="524" min="11774" max="11774"/>
    <col width="21" customWidth="1" style="524" min="12025" max="12025"/>
    <col width="16.453125" customWidth="1" style="524" min="12026" max="12026"/>
    <col width="17.54296875" customWidth="1" style="524" min="12027" max="12027"/>
    <col width="13.1796875" customWidth="1" style="524" min="12028" max="12028"/>
    <col width="11.26953125" customWidth="1" style="524" min="12029" max="12029"/>
    <col width="13.7265625" customWidth="1" style="524" min="12030" max="12030"/>
    <col width="21" customWidth="1" style="524" min="12281" max="12281"/>
    <col width="16.453125" customWidth="1" style="524" min="12282" max="12282"/>
    <col width="17.54296875" customWidth="1" style="524" min="12283" max="12283"/>
    <col width="13.1796875" customWidth="1" style="524" min="12284" max="12284"/>
    <col width="11.26953125" customWidth="1" style="524" min="12285" max="12285"/>
    <col width="13.7265625" customWidth="1" style="524" min="12286" max="12286"/>
    <col width="21" customWidth="1" style="524" min="12537" max="12537"/>
    <col width="16.453125" customWidth="1" style="524" min="12538" max="12538"/>
    <col width="17.54296875" customWidth="1" style="524" min="12539" max="12539"/>
    <col width="13.1796875" customWidth="1" style="524" min="12540" max="12540"/>
    <col width="11.26953125" customWidth="1" style="524" min="12541" max="12541"/>
    <col width="13.7265625" customWidth="1" style="524" min="12542" max="12542"/>
    <col width="21" customWidth="1" style="524" min="12793" max="12793"/>
    <col width="16.453125" customWidth="1" style="524" min="12794" max="12794"/>
    <col width="17.54296875" customWidth="1" style="524" min="12795" max="12795"/>
    <col width="13.1796875" customWidth="1" style="524" min="12796" max="12796"/>
    <col width="11.26953125" customWidth="1" style="524" min="12797" max="12797"/>
    <col width="13.7265625" customWidth="1" style="524" min="12798" max="12798"/>
    <col width="21" customWidth="1" style="524" min="13049" max="13049"/>
    <col width="16.453125" customWidth="1" style="524" min="13050" max="13050"/>
    <col width="17.54296875" customWidth="1" style="524" min="13051" max="13051"/>
    <col width="13.1796875" customWidth="1" style="524" min="13052" max="13052"/>
    <col width="11.26953125" customWidth="1" style="524" min="13053" max="13053"/>
    <col width="13.7265625" customWidth="1" style="524" min="13054" max="13054"/>
    <col width="21" customWidth="1" style="524" min="13305" max="13305"/>
    <col width="16.453125" customWidth="1" style="524" min="13306" max="13306"/>
    <col width="17.54296875" customWidth="1" style="524" min="13307" max="13307"/>
    <col width="13.1796875" customWidth="1" style="524" min="13308" max="13308"/>
    <col width="11.26953125" customWidth="1" style="524" min="13309" max="13309"/>
    <col width="13.7265625" customWidth="1" style="524" min="13310" max="13310"/>
    <col width="21" customWidth="1" style="524" min="13561" max="13561"/>
    <col width="16.453125" customWidth="1" style="524" min="13562" max="13562"/>
    <col width="17.54296875" customWidth="1" style="524" min="13563" max="13563"/>
    <col width="13.1796875" customWidth="1" style="524" min="13564" max="13564"/>
    <col width="11.26953125" customWidth="1" style="524" min="13565" max="13565"/>
    <col width="13.7265625" customWidth="1" style="524" min="13566" max="13566"/>
    <col width="21" customWidth="1" style="524" min="13817" max="13817"/>
    <col width="16.453125" customWidth="1" style="524" min="13818" max="13818"/>
    <col width="17.54296875" customWidth="1" style="524" min="13819" max="13819"/>
    <col width="13.1796875" customWidth="1" style="524" min="13820" max="13820"/>
    <col width="11.26953125" customWidth="1" style="524" min="13821" max="13821"/>
    <col width="13.7265625" customWidth="1" style="524" min="13822" max="13822"/>
    <col width="21" customWidth="1" style="524" min="14073" max="14073"/>
    <col width="16.453125" customWidth="1" style="524" min="14074" max="14074"/>
    <col width="17.54296875" customWidth="1" style="524" min="14075" max="14075"/>
    <col width="13.1796875" customWidth="1" style="524" min="14076" max="14076"/>
    <col width="11.26953125" customWidth="1" style="524" min="14077" max="14077"/>
    <col width="13.7265625" customWidth="1" style="524" min="14078" max="14078"/>
    <col width="21" customWidth="1" style="524" min="14329" max="14329"/>
    <col width="16.453125" customWidth="1" style="524" min="14330" max="14330"/>
    <col width="17.54296875" customWidth="1" style="524" min="14331" max="14331"/>
    <col width="13.1796875" customWidth="1" style="524" min="14332" max="14332"/>
    <col width="11.26953125" customWidth="1" style="524" min="14333" max="14333"/>
    <col width="13.7265625" customWidth="1" style="524" min="14334" max="14334"/>
    <col width="21" customWidth="1" style="524" min="14585" max="14585"/>
    <col width="16.453125" customWidth="1" style="524" min="14586" max="14586"/>
    <col width="17.54296875" customWidth="1" style="524" min="14587" max="14587"/>
    <col width="13.1796875" customWidth="1" style="524" min="14588" max="14588"/>
    <col width="11.26953125" customWidth="1" style="524" min="14589" max="14589"/>
    <col width="13.7265625" customWidth="1" style="524" min="14590" max="14590"/>
    <col width="21" customWidth="1" style="524" min="14841" max="14841"/>
    <col width="16.453125" customWidth="1" style="524" min="14842" max="14842"/>
    <col width="17.54296875" customWidth="1" style="524" min="14843" max="14843"/>
    <col width="13.1796875" customWidth="1" style="524" min="14844" max="14844"/>
    <col width="11.26953125" customWidth="1" style="524" min="14845" max="14845"/>
    <col width="13.7265625" customWidth="1" style="524" min="14846" max="14846"/>
    <col width="21" customWidth="1" style="524" min="15097" max="15097"/>
    <col width="16.453125" customWidth="1" style="524" min="15098" max="15098"/>
    <col width="17.54296875" customWidth="1" style="524" min="15099" max="15099"/>
    <col width="13.1796875" customWidth="1" style="524" min="15100" max="15100"/>
    <col width="11.26953125" customWidth="1" style="524" min="15101" max="15101"/>
    <col width="13.7265625" customWidth="1" style="524" min="15102" max="15102"/>
    <col width="21" customWidth="1" style="524" min="15353" max="15353"/>
    <col width="16.453125" customWidth="1" style="524" min="15354" max="15354"/>
    <col width="17.54296875" customWidth="1" style="524" min="15355" max="15355"/>
    <col width="13.1796875" customWidth="1" style="524" min="15356" max="15356"/>
    <col width="11.26953125" customWidth="1" style="524" min="15357" max="15357"/>
    <col width="13.7265625" customWidth="1" style="524" min="15358" max="15358"/>
    <col width="21" customWidth="1" style="524" min="15609" max="15609"/>
    <col width="16.453125" customWidth="1" style="524" min="15610" max="15610"/>
    <col width="17.54296875" customWidth="1" style="524" min="15611" max="15611"/>
    <col width="13.1796875" customWidth="1" style="524" min="15612" max="15612"/>
    <col width="11.26953125" customWidth="1" style="524" min="15613" max="15613"/>
    <col width="13.7265625" customWidth="1" style="524" min="15614" max="15614"/>
    <col width="21" customWidth="1" style="524" min="15865" max="15865"/>
    <col width="16.453125" customWidth="1" style="524" min="15866" max="15866"/>
    <col width="17.54296875" customWidth="1" style="524" min="15867" max="15867"/>
    <col width="13.1796875" customWidth="1" style="524" min="15868" max="15868"/>
    <col width="11.26953125" customWidth="1" style="524" min="15869" max="15869"/>
    <col width="13.7265625" customWidth="1" style="524" min="15870" max="15870"/>
    <col width="21" customWidth="1" style="524" min="16121" max="16121"/>
    <col width="16.453125" customWidth="1" style="524" min="16122" max="16122"/>
    <col width="17.54296875" customWidth="1" style="524" min="16123" max="16123"/>
    <col width="13.1796875" customWidth="1" style="524" min="16124" max="16124"/>
    <col width="11.26953125" customWidth="1" style="524" min="16125" max="16125"/>
    <col width="13.7265625" customWidth="1" style="524" min="16126" max="16126"/>
    <col width="9.1796875" customWidth="1" style="524" min="16377" max="16384"/>
  </cols>
  <sheetData>
    <row r="1" ht="25" customFormat="1" customHeight="1" s="29">
      <c r="B1" s="53" t="n"/>
      <c r="D1" s="30" t="n"/>
      <c r="H1" s="31" t="n"/>
    </row>
    <row r="2" ht="25" customHeight="1" s="524">
      <c r="A2" s="33" t="n"/>
      <c r="B2" s="34" t="inlineStr">
        <is>
          <t>Ogrodniczy Informator Cenowy</t>
        </is>
      </c>
      <c r="C2" s="35" t="n"/>
      <c r="D2" s="35" t="n"/>
      <c r="E2" s="35" t="n"/>
      <c r="F2" s="35" t="n"/>
      <c r="G2" s="35" t="n"/>
      <c r="H2" s="36" t="n"/>
      <c r="I2" s="36" t="n"/>
      <c r="J2" s="29" t="n"/>
      <c r="K2" s="36" t="n"/>
    </row>
    <row r="3" ht="25" customHeight="1" s="524" thickBot="1">
      <c r="B3" s="37" t="inlineStr">
        <is>
          <t>Instytut Ekonomiki Rolnictwa i Gospodarki Żywnościowej  Państwowy Instytut Badawczy</t>
        </is>
      </c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36" t="n"/>
      <c r="O3" s="29" t="n"/>
    </row>
    <row r="4" ht="25" customHeight="1" s="524" thickTop="1">
      <c r="B4" s="46" t="n"/>
      <c r="C4" s="47" t="n"/>
      <c r="D4" s="48" t="n"/>
      <c r="E4" s="92" t="n"/>
      <c r="F4" s="50" t="n"/>
      <c r="G4" s="93" t="n"/>
      <c r="H4" s="50" t="n"/>
      <c r="I4" s="29" t="n"/>
      <c r="J4" s="52" t="n"/>
      <c r="K4" s="36" t="n"/>
      <c r="N4" s="29" t="n"/>
    </row>
    <row r="5" ht="40" customFormat="1" customHeight="1" s="523">
      <c r="A5" s="523" t="n"/>
      <c r="B5" s="267" t="inlineStr">
        <is>
          <t>Ceny skupu netto  owoców w spółdzielniach ogrodniczych zbierane 24 VIII 2026 r.</t>
        </is>
      </c>
      <c r="C5" s="267" t="n"/>
      <c r="D5" s="267" t="n"/>
      <c r="E5" s="267" t="n"/>
      <c r="F5" s="267" t="n"/>
      <c r="G5" s="267" t="n"/>
      <c r="H5" s="267" t="n"/>
      <c r="I5" s="525" t="n"/>
    </row>
    <row r="6" ht="43.5" customHeight="1" s="524">
      <c r="B6" s="308" t="inlineStr">
        <is>
          <t>Województwo</t>
        </is>
      </c>
      <c r="C6" s="309" t="inlineStr">
        <is>
          <t>Jabłka  deserowe</t>
        </is>
      </c>
      <c r="D6" s="309" t="inlineStr">
        <is>
          <t>Jabłka przemysłowe</t>
        </is>
      </c>
      <c r="E6" s="309" t="inlineStr">
        <is>
          <t>Gruszki</t>
        </is>
      </c>
      <c r="F6" s="309" t="inlineStr">
        <is>
          <t>Wiśnie</t>
        </is>
      </c>
      <c r="G6" s="309" t="inlineStr">
        <is>
          <t>Maliny</t>
        </is>
      </c>
      <c r="H6" s="309" t="inlineStr">
        <is>
          <t>Borówki wysokie</t>
        </is>
      </c>
    </row>
    <row r="7" ht="20.15" customHeight="1" s="524">
      <c r="B7" s="303" t="inlineStr">
        <is>
          <t>kujawsko-pomorskie</t>
        </is>
      </c>
      <c r="C7" s="304" t="inlineStr">
        <is>
          <t>1,35-1,56</t>
        </is>
      </c>
      <c r="D7" s="304" t="n"/>
      <c r="E7" s="304" t="n"/>
      <c r="F7" s="304" t="n"/>
      <c r="G7" s="304" t="n"/>
      <c r="H7" s="304" t="n"/>
    </row>
    <row r="8" ht="20.15" customHeight="1" s="524">
      <c r="B8" s="303" t="inlineStr">
        <is>
          <t>lubelskie</t>
        </is>
      </c>
      <c r="C8" s="305" t="inlineStr">
        <is>
          <t>1,25-1,55</t>
        </is>
      </c>
      <c r="D8" s="305" t="inlineStr">
        <is>
          <t>0,50-0,75</t>
        </is>
      </c>
      <c r="E8" s="305" t="inlineStr">
        <is>
          <t>3,65-4,56</t>
        </is>
      </c>
      <c r="F8" s="305" t="n"/>
      <c r="G8" s="305" t="n"/>
      <c r="H8" s="305" t="inlineStr">
        <is>
          <t>7,56-7,98</t>
        </is>
      </c>
    </row>
    <row r="9" ht="20.15" customHeight="1" s="524">
      <c r="B9" s="303" t="inlineStr">
        <is>
          <t>łódzkie</t>
        </is>
      </c>
      <c r="C9" s="305" t="inlineStr">
        <is>
          <t>1,20-1,60</t>
        </is>
      </c>
      <c r="D9" s="305" t="n"/>
      <c r="E9" s="305" t="inlineStr">
        <is>
          <t>3,88-4,98</t>
        </is>
      </c>
      <c r="F9" s="305" t="inlineStr">
        <is>
          <t>7,89-8,66</t>
        </is>
      </c>
      <c r="G9" s="305" t="inlineStr">
        <is>
          <t>22,56-24,69</t>
        </is>
      </c>
      <c r="H9" s="305" t="inlineStr">
        <is>
          <t>6,75-7,66</t>
        </is>
      </c>
    </row>
    <row r="10" ht="20.15" customHeight="1" s="524">
      <c r="B10" s="303" t="inlineStr">
        <is>
          <t>łódzkie</t>
        </is>
      </c>
      <c r="C10" s="305" t="inlineStr">
        <is>
          <t>1,10-1,37</t>
        </is>
      </c>
      <c r="D10" s="305" t="inlineStr">
        <is>
          <t>0,56-0,65</t>
        </is>
      </c>
      <c r="E10" s="305" t="inlineStr">
        <is>
          <t>3,76-4,60</t>
        </is>
      </c>
      <c r="F10" s="305" t="n"/>
      <c r="G10" s="305" t="n"/>
      <c r="H10" s="305" t="n"/>
    </row>
    <row r="11" ht="20.15" customHeight="1" s="524">
      <c r="B11" s="303" t="inlineStr">
        <is>
          <t>łódzkie</t>
        </is>
      </c>
      <c r="C11" s="305" t="n"/>
      <c r="D11" s="305" t="n"/>
      <c r="E11" s="305" t="n"/>
      <c r="F11" s="305" t="n"/>
      <c r="G11" s="305" t="inlineStr">
        <is>
          <t>24,78-26,33</t>
        </is>
      </c>
      <c r="H11" s="305" t="inlineStr">
        <is>
          <t>6,56-8,45</t>
        </is>
      </c>
    </row>
    <row r="12" ht="20.15" customHeight="1" s="524">
      <c r="B12" s="303" t="inlineStr">
        <is>
          <t>małopolskie</t>
        </is>
      </c>
      <c r="C12" s="305" t="inlineStr">
        <is>
          <t>1,47-1,76</t>
        </is>
      </c>
      <c r="D12" s="305" t="n"/>
      <c r="E12" s="305" t="inlineStr">
        <is>
          <t>3,98-4,90</t>
        </is>
      </c>
      <c r="F12" s="305" t="n"/>
      <c r="G12" s="305" t="n"/>
      <c r="H12" s="305" t="n"/>
    </row>
    <row r="13" ht="20.15" customHeight="1" s="524">
      <c r="B13" s="303" t="inlineStr">
        <is>
          <t>małopolskie</t>
        </is>
      </c>
      <c r="C13" s="305" t="inlineStr">
        <is>
          <t>1,45-1,65</t>
        </is>
      </c>
      <c r="D13" s="305" t="n"/>
      <c r="E13" s="305" t="n"/>
      <c r="F13" s="305" t="n"/>
      <c r="G13" s="305" t="inlineStr">
        <is>
          <t>21,56-22,78</t>
        </is>
      </c>
      <c r="H13" s="305" t="inlineStr">
        <is>
          <t>8,56-11,25</t>
        </is>
      </c>
    </row>
    <row r="14" ht="20.15" customHeight="1" s="524">
      <c r="B14" s="303" t="inlineStr">
        <is>
          <t>małopolskie</t>
        </is>
      </c>
      <c r="C14" s="305" t="inlineStr">
        <is>
          <t>1,10-1,20</t>
        </is>
      </c>
      <c r="D14" s="305" t="inlineStr">
        <is>
          <t>0,64-0,70</t>
        </is>
      </c>
      <c r="E14" s="305" t="inlineStr">
        <is>
          <t>3,87-4,72</t>
        </is>
      </c>
      <c r="F14" s="305" t="inlineStr">
        <is>
          <t>7,45-8,33</t>
        </is>
      </c>
      <c r="G14" s="305" t="n"/>
      <c r="H14" s="305" t="n"/>
    </row>
    <row r="15" ht="20.15" customHeight="1" s="524">
      <c r="B15" s="303" t="inlineStr">
        <is>
          <t>małopolskie</t>
        </is>
      </c>
      <c r="C15" s="305" t="n"/>
      <c r="D15" s="305" t="n"/>
      <c r="E15" s="305" t="n"/>
      <c r="F15" s="305" t="n"/>
      <c r="G15" s="305" t="n"/>
      <c r="H15" s="305" t="n"/>
    </row>
    <row r="16" ht="20.15" customHeight="1" s="524">
      <c r="B16" s="303" t="inlineStr">
        <is>
          <t>małopolskie</t>
        </is>
      </c>
      <c r="C16" s="305" t="n"/>
      <c r="D16" s="305" t="inlineStr">
        <is>
          <t>0,52-0,63</t>
        </is>
      </c>
      <c r="E16" s="305" t="n"/>
      <c r="F16" s="305" t="n"/>
      <c r="G16" s="305" t="n"/>
      <c r="H16" s="305" t="inlineStr">
        <is>
          <t>8,40-9,35</t>
        </is>
      </c>
    </row>
    <row r="17" ht="20.15" customHeight="1" s="524">
      <c r="B17" s="306" t="inlineStr">
        <is>
          <t>mazowiec.</t>
        </is>
      </c>
      <c r="C17" s="305" t="inlineStr">
        <is>
          <t>1,35-1,54</t>
        </is>
      </c>
      <c r="D17" s="305" t="n"/>
      <c r="E17" s="305" t="inlineStr">
        <is>
          <t>3,98-4,70</t>
        </is>
      </c>
      <c r="F17" s="305" t="inlineStr">
        <is>
          <t>6,98-7,99</t>
        </is>
      </c>
      <c r="G17" s="305" t="inlineStr">
        <is>
          <t>21,65-24,68</t>
        </is>
      </c>
      <c r="H17" s="305" t="n"/>
    </row>
    <row r="18" ht="20.15" customHeight="1" s="524">
      <c r="B18" s="306" t="inlineStr">
        <is>
          <t>podkarp.</t>
        </is>
      </c>
      <c r="C18" s="305" t="inlineStr">
        <is>
          <t>1,35-1,45</t>
        </is>
      </c>
      <c r="D18" s="305" t="inlineStr">
        <is>
          <t>0,55-0,70</t>
        </is>
      </c>
      <c r="E18" s="305" t="n"/>
      <c r="F18" s="305" t="n"/>
      <c r="G18" s="305" t="n"/>
      <c r="H18" s="305" t="n"/>
    </row>
    <row r="19" ht="20.15" customHeight="1" s="524">
      <c r="B19" s="306" t="inlineStr">
        <is>
          <t>podkarp.</t>
        </is>
      </c>
      <c r="C19" s="305" t="n"/>
      <c r="D19" s="305" t="n"/>
      <c r="E19" s="305" t="inlineStr">
        <is>
          <t>3,65-4,76</t>
        </is>
      </c>
      <c r="F19" s="305" t="n"/>
      <c r="G19" s="305" t="n"/>
      <c r="H19" s="305" t="n"/>
    </row>
    <row r="20" ht="20.15" customHeight="1" s="524">
      <c r="B20" s="310" t="inlineStr">
        <is>
          <t>Cena średnia</t>
        </is>
      </c>
      <c r="C20" s="310" t="inlineStr">
        <is>
          <t>1,10-1,76</t>
        </is>
      </c>
      <c r="D20" s="310" t="inlineStr">
        <is>
          <t>0,50-0,75</t>
        </is>
      </c>
      <c r="E20" s="310" t="inlineStr">
        <is>
          <t>3,65-4,98</t>
        </is>
      </c>
      <c r="F20" s="310" t="inlineStr">
        <is>
          <t>6,98-8,66</t>
        </is>
      </c>
      <c r="G20" s="310" t="inlineStr">
        <is>
          <t>21,56--26,33</t>
        </is>
      </c>
      <c r="H20" s="310" t="inlineStr">
        <is>
          <t>6,56-11,25</t>
        </is>
      </c>
    </row>
    <row r="21" ht="20.15" customHeight="1" s="524">
      <c r="B21" s="310" t="inlineStr">
        <is>
          <t>tydzień temu</t>
        </is>
      </c>
      <c r="C21" s="310" t="inlineStr">
        <is>
          <t>1,15-1,75</t>
        </is>
      </c>
      <c r="D21" s="310" t="inlineStr">
        <is>
          <t>0,55-0,70</t>
        </is>
      </c>
      <c r="E21" s="310" t="inlineStr">
        <is>
          <t>3,56-4,98</t>
        </is>
      </c>
      <c r="F21" s="310" t="inlineStr">
        <is>
          <t>6,35-8,99</t>
        </is>
      </c>
      <c r="G21" s="310" t="inlineStr">
        <is>
          <t>20,45-26,89</t>
        </is>
      </c>
      <c r="H21" s="310" t="inlineStr">
        <is>
          <t>5,45-11,30</t>
        </is>
      </c>
    </row>
    <row r="22" ht="20.15" customHeight="1" s="524">
      <c r="B22" s="307" t="inlineStr">
        <is>
          <t>rok temu</t>
        </is>
      </c>
      <c r="C22" s="307" t="inlineStr">
        <is>
          <t>1,15-2,30</t>
        </is>
      </c>
      <c r="D22" s="307" t="inlineStr">
        <is>
          <t>0,60-0,79</t>
        </is>
      </c>
      <c r="E22" s="307" t="inlineStr">
        <is>
          <t>3,98-5,10</t>
        </is>
      </c>
      <c r="F22" s="307" t="inlineStr">
        <is>
          <t>7,98-8,77</t>
        </is>
      </c>
      <c r="G22" s="307" t="inlineStr">
        <is>
          <t>17,89-21,65</t>
        </is>
      </c>
      <c r="H22" s="307" t="inlineStr">
        <is>
          <t>8,98-12,45</t>
        </is>
      </c>
    </row>
    <row r="23" ht="20.15" customHeight="1" s="524">
      <c r="B23" s="148" t="inlineStr">
        <is>
          <t>s/"suchy" przemysł, */jabłka w kal. 65+ i do średniej nie wliczana jest odmiana Antonówka</t>
        </is>
      </c>
      <c r="C23" s="148" t="n"/>
      <c r="D23" s="148" t="n"/>
      <c r="E23" s="148" t="n"/>
    </row>
  </sheetData>
  <pageMargins left="0.7480314960629921" right="0.7480314960629921" top="0.984251968503937" bottom="0.984251968503937" header="0.5118110236220472" footer="0.5118110236220472"/>
  <pageSetup orientation="landscape" paperSize="9" scale="13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72"/>
  <sheetViews>
    <sheetView showGridLines="0" topLeftCell="A3" zoomScaleNormal="100" workbookViewId="0">
      <selection activeCell="B8" sqref="B8:AC39"/>
    </sheetView>
  </sheetViews>
  <sheetFormatPr baseColWidth="8" defaultRowHeight="14.5"/>
  <cols>
    <col width="9.1796875" customWidth="1" style="24" min="1" max="1"/>
    <col width="25.81640625" customWidth="1" style="24" min="2" max="2"/>
    <col hidden="1" width="26.453125" customWidth="1" style="24" min="3" max="3"/>
    <col hidden="1" width="27" customWidth="1" style="24" min="4" max="4"/>
    <col hidden="1" width="23.54296875" customWidth="1" style="24" min="5" max="5"/>
    <col hidden="1" width="18.81640625" customWidth="1" style="24" min="6" max="6"/>
    <col hidden="1" width="0.1796875" customWidth="1" style="24" min="7" max="7"/>
    <col hidden="1" width="19.81640625" customWidth="1" style="24" min="8" max="8"/>
    <col hidden="1" width="18.1796875" customWidth="1" style="24" min="9" max="9"/>
    <col hidden="1" width="24.54296875" customWidth="1" style="24" min="10" max="10"/>
    <col hidden="1" width="17.54296875" customWidth="1" style="24" min="11" max="11"/>
    <col hidden="1" width="26.81640625" customWidth="1" style="24" min="12" max="12"/>
    <col hidden="1" width="29" customWidth="1" style="24" min="13" max="13"/>
    <col hidden="1" width="28.453125" customWidth="1" style="24" min="14" max="14"/>
    <col width="31.1796875" customWidth="1" style="24" min="15" max="15"/>
    <col width="17.54296875" bestFit="1" customWidth="1" style="24" min="16" max="16"/>
    <col hidden="1" width="0.54296875" customWidth="1" style="24" min="17" max="17"/>
    <col hidden="1" width="46.81640625" customWidth="1" style="24" min="18" max="18"/>
    <col hidden="1" width="24.1796875" customWidth="1" style="24" min="19" max="19"/>
    <col hidden="1" width="40" customWidth="1" style="24" min="20" max="20"/>
    <col hidden="1" width="37.54296875" customWidth="1" style="24" min="21" max="21"/>
    <col hidden="1" width="33.453125" customWidth="1" style="24" min="22" max="22"/>
    <col hidden="1" width="39.453125" customWidth="1" style="24" min="23" max="23"/>
    <col hidden="1" width="30.1796875" customWidth="1" style="24" min="24" max="24"/>
    <col hidden="1" width="0.81640625" customWidth="1" style="24" min="25" max="25"/>
    <col width="23.453125" customWidth="1" style="24" min="26" max="26"/>
    <col width="30.1796875" customWidth="1" style="24" min="27" max="27"/>
    <col width="28.6328125" customWidth="1" style="24" min="28" max="28"/>
    <col width="17.7265625" bestFit="1" customWidth="1" style="24" min="29" max="29"/>
    <col width="8.7265625" customWidth="1" style="24" min="30" max="249"/>
    <col width="25.81640625" customWidth="1" style="24" min="250" max="250"/>
    <col hidden="1" style="24" min="251" max="262"/>
    <col width="26.54296875" customWidth="1" style="24" min="263" max="263"/>
    <col width="40.54296875" customWidth="1" style="24" min="264" max="264"/>
    <col hidden="1" style="24" min="265" max="273"/>
    <col width="23.54296875" bestFit="1" customWidth="1" style="24" min="274" max="275"/>
    <col width="23.54296875" customWidth="1" style="24" min="276" max="276"/>
    <col width="46.453125" bestFit="1" customWidth="1" style="24" min="277" max="277"/>
    <col width="8.7265625" customWidth="1" style="24" min="278" max="505"/>
    <col width="25.81640625" customWidth="1" style="24" min="506" max="506"/>
    <col hidden="1" style="24" min="507" max="518"/>
    <col width="26.54296875" customWidth="1" style="24" min="519" max="519"/>
    <col width="40.54296875" customWidth="1" style="24" min="520" max="520"/>
    <col hidden="1" style="24" min="521" max="529"/>
    <col width="23.54296875" bestFit="1" customWidth="1" style="24" min="530" max="531"/>
    <col width="23.54296875" customWidth="1" style="24" min="532" max="532"/>
    <col width="46.453125" bestFit="1" customWidth="1" style="24" min="533" max="533"/>
    <col width="8.7265625" customWidth="1" style="24" min="534" max="761"/>
    <col width="25.81640625" customWidth="1" style="24" min="762" max="762"/>
    <col hidden="1" style="24" min="763" max="774"/>
    <col width="26.54296875" customWidth="1" style="24" min="775" max="775"/>
    <col width="40.54296875" customWidth="1" style="24" min="776" max="776"/>
    <col hidden="1" style="24" min="777" max="785"/>
    <col width="23.54296875" bestFit="1" customWidth="1" style="24" min="786" max="787"/>
    <col width="23.54296875" customWidth="1" style="24" min="788" max="788"/>
    <col width="46.453125" bestFit="1" customWidth="1" style="24" min="789" max="789"/>
    <col width="8.7265625" customWidth="1" style="24" min="790" max="1017"/>
    <col width="25.81640625" customWidth="1" style="24" min="1018" max="1018"/>
    <col hidden="1" style="24" min="1019" max="1030"/>
    <col width="26.54296875" customWidth="1" style="24" min="1031" max="1031"/>
    <col width="40.54296875" customWidth="1" style="24" min="1032" max="1032"/>
    <col hidden="1" style="24" min="1033" max="1041"/>
    <col width="23.54296875" bestFit="1" customWidth="1" style="24" min="1042" max="1043"/>
    <col width="23.54296875" customWidth="1" style="24" min="1044" max="1044"/>
    <col width="46.453125" bestFit="1" customWidth="1" style="24" min="1045" max="1045"/>
    <col width="8.7265625" customWidth="1" style="24" min="1046" max="1273"/>
    <col width="25.81640625" customWidth="1" style="24" min="1274" max="1274"/>
    <col hidden="1" style="24" min="1275" max="1286"/>
    <col width="26.54296875" customWidth="1" style="24" min="1287" max="1287"/>
    <col width="40.54296875" customWidth="1" style="24" min="1288" max="1288"/>
    <col hidden="1" style="24" min="1289" max="1297"/>
    <col width="23.54296875" bestFit="1" customWidth="1" style="24" min="1298" max="1299"/>
    <col width="23.54296875" customWidth="1" style="24" min="1300" max="1300"/>
    <col width="46.453125" bestFit="1" customWidth="1" style="24" min="1301" max="1301"/>
    <col width="8.7265625" customWidth="1" style="24" min="1302" max="1529"/>
    <col width="25.81640625" customWidth="1" style="24" min="1530" max="1530"/>
    <col hidden="1" style="24" min="1531" max="1542"/>
    <col width="26.54296875" customWidth="1" style="24" min="1543" max="1543"/>
    <col width="40.54296875" customWidth="1" style="24" min="1544" max="1544"/>
    <col hidden="1" style="24" min="1545" max="1553"/>
    <col width="23.54296875" bestFit="1" customWidth="1" style="24" min="1554" max="1555"/>
    <col width="23.54296875" customWidth="1" style="24" min="1556" max="1556"/>
    <col width="46.453125" bestFit="1" customWidth="1" style="24" min="1557" max="1557"/>
    <col width="8.7265625" customWidth="1" style="24" min="1558" max="1785"/>
    <col width="25.81640625" customWidth="1" style="24" min="1786" max="1786"/>
    <col hidden="1" style="24" min="1787" max="1798"/>
    <col width="26.54296875" customWidth="1" style="24" min="1799" max="1799"/>
    <col width="40.54296875" customWidth="1" style="24" min="1800" max="1800"/>
    <col hidden="1" style="24" min="1801" max="1809"/>
    <col width="23.54296875" bestFit="1" customWidth="1" style="24" min="1810" max="1811"/>
    <col width="23.54296875" customWidth="1" style="24" min="1812" max="1812"/>
    <col width="46.453125" bestFit="1" customWidth="1" style="24" min="1813" max="1813"/>
    <col width="8.7265625" customWidth="1" style="24" min="1814" max="2041"/>
    <col width="25.81640625" customWidth="1" style="24" min="2042" max="2042"/>
    <col hidden="1" style="24" min="2043" max="2054"/>
    <col width="26.54296875" customWidth="1" style="24" min="2055" max="2055"/>
    <col width="40.54296875" customWidth="1" style="24" min="2056" max="2056"/>
    <col hidden="1" style="24" min="2057" max="2065"/>
    <col width="23.54296875" bestFit="1" customWidth="1" style="24" min="2066" max="2067"/>
    <col width="23.54296875" customWidth="1" style="24" min="2068" max="2068"/>
    <col width="46.453125" bestFit="1" customWidth="1" style="24" min="2069" max="2069"/>
    <col width="8.7265625" customWidth="1" style="24" min="2070" max="2297"/>
    <col width="25.81640625" customWidth="1" style="24" min="2298" max="2298"/>
    <col hidden="1" style="24" min="2299" max="2310"/>
    <col width="26.54296875" customWidth="1" style="24" min="2311" max="2311"/>
    <col width="40.54296875" customWidth="1" style="24" min="2312" max="2312"/>
    <col hidden="1" style="24" min="2313" max="2321"/>
    <col width="23.54296875" bestFit="1" customWidth="1" style="24" min="2322" max="2323"/>
    <col width="23.54296875" customWidth="1" style="24" min="2324" max="2324"/>
    <col width="46.453125" bestFit="1" customWidth="1" style="24" min="2325" max="2325"/>
    <col width="8.7265625" customWidth="1" style="24" min="2326" max="2553"/>
    <col width="25.81640625" customWidth="1" style="24" min="2554" max="2554"/>
    <col hidden="1" style="24" min="2555" max="2566"/>
    <col width="26.54296875" customWidth="1" style="24" min="2567" max="2567"/>
    <col width="40.54296875" customWidth="1" style="24" min="2568" max="2568"/>
    <col hidden="1" style="24" min="2569" max="2577"/>
    <col width="23.54296875" bestFit="1" customWidth="1" style="24" min="2578" max="2579"/>
    <col width="23.54296875" customWidth="1" style="24" min="2580" max="2580"/>
    <col width="46.453125" bestFit="1" customWidth="1" style="24" min="2581" max="2581"/>
    <col width="8.7265625" customWidth="1" style="24" min="2582" max="2809"/>
    <col width="25.81640625" customWidth="1" style="24" min="2810" max="2810"/>
    <col hidden="1" style="24" min="2811" max="2822"/>
    <col width="26.54296875" customWidth="1" style="24" min="2823" max="2823"/>
    <col width="40.54296875" customWidth="1" style="24" min="2824" max="2824"/>
    <col hidden="1" style="24" min="2825" max="2833"/>
    <col width="23.54296875" bestFit="1" customWidth="1" style="24" min="2834" max="2835"/>
    <col width="23.54296875" customWidth="1" style="24" min="2836" max="2836"/>
    <col width="46.453125" bestFit="1" customWidth="1" style="24" min="2837" max="2837"/>
    <col width="8.7265625" customWidth="1" style="24" min="2838" max="3065"/>
    <col width="25.81640625" customWidth="1" style="24" min="3066" max="3066"/>
    <col hidden="1" style="24" min="3067" max="3078"/>
    <col width="26.54296875" customWidth="1" style="24" min="3079" max="3079"/>
    <col width="40.54296875" customWidth="1" style="24" min="3080" max="3080"/>
    <col hidden="1" style="24" min="3081" max="3089"/>
    <col width="23.54296875" bestFit="1" customWidth="1" style="24" min="3090" max="3091"/>
    <col width="23.54296875" customWidth="1" style="24" min="3092" max="3092"/>
    <col width="46.453125" bestFit="1" customWidth="1" style="24" min="3093" max="3093"/>
    <col width="8.7265625" customWidth="1" style="24" min="3094" max="3321"/>
    <col width="25.81640625" customWidth="1" style="24" min="3322" max="3322"/>
    <col hidden="1" style="24" min="3323" max="3334"/>
    <col width="26.54296875" customWidth="1" style="24" min="3335" max="3335"/>
    <col width="40.54296875" customWidth="1" style="24" min="3336" max="3336"/>
    <col hidden="1" style="24" min="3337" max="3345"/>
    <col width="23.54296875" bestFit="1" customWidth="1" style="24" min="3346" max="3347"/>
    <col width="23.54296875" customWidth="1" style="24" min="3348" max="3348"/>
    <col width="46.453125" bestFit="1" customWidth="1" style="24" min="3349" max="3349"/>
    <col width="8.7265625" customWidth="1" style="24" min="3350" max="3577"/>
    <col width="25.81640625" customWidth="1" style="24" min="3578" max="3578"/>
    <col hidden="1" style="24" min="3579" max="3590"/>
    <col width="26.54296875" customWidth="1" style="24" min="3591" max="3591"/>
    <col width="40.54296875" customWidth="1" style="24" min="3592" max="3592"/>
    <col hidden="1" style="24" min="3593" max="3601"/>
    <col width="23.54296875" bestFit="1" customWidth="1" style="24" min="3602" max="3603"/>
    <col width="23.54296875" customWidth="1" style="24" min="3604" max="3604"/>
    <col width="46.453125" bestFit="1" customWidth="1" style="24" min="3605" max="3605"/>
    <col width="8.7265625" customWidth="1" style="24" min="3606" max="3833"/>
    <col width="25.81640625" customWidth="1" style="24" min="3834" max="3834"/>
    <col hidden="1" style="24" min="3835" max="3846"/>
    <col width="26.54296875" customWidth="1" style="24" min="3847" max="3847"/>
    <col width="40.54296875" customWidth="1" style="24" min="3848" max="3848"/>
    <col hidden="1" style="24" min="3849" max="3857"/>
    <col width="23.54296875" bestFit="1" customWidth="1" style="24" min="3858" max="3859"/>
    <col width="23.54296875" customWidth="1" style="24" min="3860" max="3860"/>
    <col width="46.453125" bestFit="1" customWidth="1" style="24" min="3861" max="3861"/>
    <col width="8.7265625" customWidth="1" style="24" min="3862" max="4089"/>
    <col width="25.81640625" customWidth="1" style="24" min="4090" max="4090"/>
    <col hidden="1" style="24" min="4091" max="4102"/>
    <col width="26.54296875" customWidth="1" style="24" min="4103" max="4103"/>
    <col width="40.54296875" customWidth="1" style="24" min="4104" max="4104"/>
    <col hidden="1" style="24" min="4105" max="4113"/>
    <col width="23.54296875" bestFit="1" customWidth="1" style="24" min="4114" max="4115"/>
    <col width="23.54296875" customWidth="1" style="24" min="4116" max="4116"/>
    <col width="46.453125" bestFit="1" customWidth="1" style="24" min="4117" max="4117"/>
    <col width="8.7265625" customWidth="1" style="24" min="4118" max="4345"/>
    <col width="25.81640625" customWidth="1" style="24" min="4346" max="4346"/>
    <col hidden="1" style="24" min="4347" max="4358"/>
    <col width="26.54296875" customWidth="1" style="24" min="4359" max="4359"/>
    <col width="40.54296875" customWidth="1" style="24" min="4360" max="4360"/>
    <col hidden="1" style="24" min="4361" max="4369"/>
    <col width="23.54296875" bestFit="1" customWidth="1" style="24" min="4370" max="4371"/>
    <col width="23.54296875" customWidth="1" style="24" min="4372" max="4372"/>
    <col width="46.453125" bestFit="1" customWidth="1" style="24" min="4373" max="4373"/>
    <col width="8.7265625" customWidth="1" style="24" min="4374" max="4601"/>
    <col width="25.81640625" customWidth="1" style="24" min="4602" max="4602"/>
    <col hidden="1" style="24" min="4603" max="4614"/>
    <col width="26.54296875" customWidth="1" style="24" min="4615" max="4615"/>
    <col width="40.54296875" customWidth="1" style="24" min="4616" max="4616"/>
    <col hidden="1" style="24" min="4617" max="4625"/>
    <col width="23.54296875" bestFit="1" customWidth="1" style="24" min="4626" max="4627"/>
    <col width="23.54296875" customWidth="1" style="24" min="4628" max="4628"/>
    <col width="46.453125" bestFit="1" customWidth="1" style="24" min="4629" max="4629"/>
    <col width="8.7265625" customWidth="1" style="24" min="4630" max="4857"/>
    <col width="25.81640625" customWidth="1" style="24" min="4858" max="4858"/>
    <col hidden="1" style="24" min="4859" max="4870"/>
    <col width="26.54296875" customWidth="1" style="24" min="4871" max="4871"/>
    <col width="40.54296875" customWidth="1" style="24" min="4872" max="4872"/>
    <col hidden="1" style="24" min="4873" max="4881"/>
    <col width="23.54296875" bestFit="1" customWidth="1" style="24" min="4882" max="4883"/>
    <col width="23.54296875" customWidth="1" style="24" min="4884" max="4884"/>
    <col width="46.453125" bestFit="1" customWidth="1" style="24" min="4885" max="4885"/>
    <col width="8.7265625" customWidth="1" style="24" min="4886" max="5113"/>
    <col width="25.81640625" customWidth="1" style="24" min="5114" max="5114"/>
    <col hidden="1" style="24" min="5115" max="5126"/>
    <col width="26.54296875" customWidth="1" style="24" min="5127" max="5127"/>
    <col width="40.54296875" customWidth="1" style="24" min="5128" max="5128"/>
    <col hidden="1" style="24" min="5129" max="5137"/>
    <col width="23.54296875" bestFit="1" customWidth="1" style="24" min="5138" max="5139"/>
    <col width="23.54296875" customWidth="1" style="24" min="5140" max="5140"/>
    <col width="46.453125" bestFit="1" customWidth="1" style="24" min="5141" max="5141"/>
    <col width="8.7265625" customWidth="1" style="24" min="5142" max="5369"/>
    <col width="25.81640625" customWidth="1" style="24" min="5370" max="5370"/>
    <col hidden="1" style="24" min="5371" max="5382"/>
    <col width="26.54296875" customWidth="1" style="24" min="5383" max="5383"/>
    <col width="40.54296875" customWidth="1" style="24" min="5384" max="5384"/>
    <col hidden="1" style="24" min="5385" max="5393"/>
    <col width="23.54296875" bestFit="1" customWidth="1" style="24" min="5394" max="5395"/>
    <col width="23.54296875" customWidth="1" style="24" min="5396" max="5396"/>
    <col width="46.453125" bestFit="1" customWidth="1" style="24" min="5397" max="5397"/>
    <col width="8.7265625" customWidth="1" style="24" min="5398" max="5625"/>
    <col width="25.81640625" customWidth="1" style="24" min="5626" max="5626"/>
    <col hidden="1" style="24" min="5627" max="5638"/>
    <col width="26.54296875" customWidth="1" style="24" min="5639" max="5639"/>
    <col width="40.54296875" customWidth="1" style="24" min="5640" max="5640"/>
    <col hidden="1" style="24" min="5641" max="5649"/>
    <col width="23.54296875" bestFit="1" customWidth="1" style="24" min="5650" max="5651"/>
    <col width="23.54296875" customWidth="1" style="24" min="5652" max="5652"/>
    <col width="46.453125" bestFit="1" customWidth="1" style="24" min="5653" max="5653"/>
    <col width="8.7265625" customWidth="1" style="24" min="5654" max="5881"/>
    <col width="25.81640625" customWidth="1" style="24" min="5882" max="5882"/>
    <col hidden="1" style="24" min="5883" max="5894"/>
    <col width="26.54296875" customWidth="1" style="24" min="5895" max="5895"/>
    <col width="40.54296875" customWidth="1" style="24" min="5896" max="5896"/>
    <col hidden="1" style="24" min="5897" max="5905"/>
    <col width="23.54296875" bestFit="1" customWidth="1" style="24" min="5906" max="5907"/>
    <col width="23.54296875" customWidth="1" style="24" min="5908" max="5908"/>
    <col width="46.453125" bestFit="1" customWidth="1" style="24" min="5909" max="5909"/>
    <col width="8.7265625" customWidth="1" style="24" min="5910" max="6137"/>
    <col width="25.81640625" customWidth="1" style="24" min="6138" max="6138"/>
    <col hidden="1" style="24" min="6139" max="6150"/>
    <col width="26.54296875" customWidth="1" style="24" min="6151" max="6151"/>
    <col width="40.54296875" customWidth="1" style="24" min="6152" max="6152"/>
    <col hidden="1" style="24" min="6153" max="6161"/>
    <col width="23.54296875" bestFit="1" customWidth="1" style="24" min="6162" max="6163"/>
    <col width="23.54296875" customWidth="1" style="24" min="6164" max="6164"/>
    <col width="46.453125" bestFit="1" customWidth="1" style="24" min="6165" max="6165"/>
    <col width="8.7265625" customWidth="1" style="24" min="6166" max="6393"/>
    <col width="25.81640625" customWidth="1" style="24" min="6394" max="6394"/>
    <col hidden="1" style="24" min="6395" max="6406"/>
    <col width="26.54296875" customWidth="1" style="24" min="6407" max="6407"/>
    <col width="40.54296875" customWidth="1" style="24" min="6408" max="6408"/>
    <col hidden="1" style="24" min="6409" max="6417"/>
    <col width="23.54296875" bestFit="1" customWidth="1" style="24" min="6418" max="6419"/>
    <col width="23.54296875" customWidth="1" style="24" min="6420" max="6420"/>
    <col width="46.453125" bestFit="1" customWidth="1" style="24" min="6421" max="6421"/>
    <col width="8.7265625" customWidth="1" style="24" min="6422" max="6649"/>
    <col width="25.81640625" customWidth="1" style="24" min="6650" max="6650"/>
    <col hidden="1" style="24" min="6651" max="6662"/>
    <col width="26.54296875" customWidth="1" style="24" min="6663" max="6663"/>
    <col width="40.54296875" customWidth="1" style="24" min="6664" max="6664"/>
    <col hidden="1" style="24" min="6665" max="6673"/>
    <col width="23.54296875" bestFit="1" customWidth="1" style="24" min="6674" max="6675"/>
    <col width="23.54296875" customWidth="1" style="24" min="6676" max="6676"/>
    <col width="46.453125" bestFit="1" customWidth="1" style="24" min="6677" max="6677"/>
    <col width="8.7265625" customWidth="1" style="24" min="6678" max="6905"/>
    <col width="25.81640625" customWidth="1" style="24" min="6906" max="6906"/>
    <col hidden="1" style="24" min="6907" max="6918"/>
    <col width="26.54296875" customWidth="1" style="24" min="6919" max="6919"/>
    <col width="40.54296875" customWidth="1" style="24" min="6920" max="6920"/>
    <col hidden="1" style="24" min="6921" max="6929"/>
    <col width="23.54296875" bestFit="1" customWidth="1" style="24" min="6930" max="6931"/>
    <col width="23.54296875" customWidth="1" style="24" min="6932" max="6932"/>
    <col width="46.453125" bestFit="1" customWidth="1" style="24" min="6933" max="6933"/>
    <col width="8.7265625" customWidth="1" style="24" min="6934" max="7161"/>
    <col width="25.81640625" customWidth="1" style="24" min="7162" max="7162"/>
    <col hidden="1" style="24" min="7163" max="7174"/>
    <col width="26.54296875" customWidth="1" style="24" min="7175" max="7175"/>
    <col width="40.54296875" customWidth="1" style="24" min="7176" max="7176"/>
    <col hidden="1" style="24" min="7177" max="7185"/>
    <col width="23.54296875" bestFit="1" customWidth="1" style="24" min="7186" max="7187"/>
    <col width="23.54296875" customWidth="1" style="24" min="7188" max="7188"/>
    <col width="46.453125" bestFit="1" customWidth="1" style="24" min="7189" max="7189"/>
    <col width="8.7265625" customWidth="1" style="24" min="7190" max="7417"/>
    <col width="25.81640625" customWidth="1" style="24" min="7418" max="7418"/>
    <col hidden="1" style="24" min="7419" max="7430"/>
    <col width="26.54296875" customWidth="1" style="24" min="7431" max="7431"/>
    <col width="40.54296875" customWidth="1" style="24" min="7432" max="7432"/>
    <col hidden="1" style="24" min="7433" max="7441"/>
    <col width="23.54296875" bestFit="1" customWidth="1" style="24" min="7442" max="7443"/>
    <col width="23.54296875" customWidth="1" style="24" min="7444" max="7444"/>
    <col width="46.453125" bestFit="1" customWidth="1" style="24" min="7445" max="7445"/>
    <col width="8.7265625" customWidth="1" style="24" min="7446" max="7673"/>
    <col width="25.81640625" customWidth="1" style="24" min="7674" max="7674"/>
    <col hidden="1" style="24" min="7675" max="7686"/>
    <col width="26.54296875" customWidth="1" style="24" min="7687" max="7687"/>
    <col width="40.54296875" customWidth="1" style="24" min="7688" max="7688"/>
    <col hidden="1" style="24" min="7689" max="7697"/>
    <col width="23.54296875" bestFit="1" customWidth="1" style="24" min="7698" max="7699"/>
    <col width="23.54296875" customWidth="1" style="24" min="7700" max="7700"/>
    <col width="46.453125" bestFit="1" customWidth="1" style="24" min="7701" max="7701"/>
    <col width="8.7265625" customWidth="1" style="24" min="7702" max="7929"/>
    <col width="25.81640625" customWidth="1" style="24" min="7930" max="7930"/>
    <col hidden="1" style="24" min="7931" max="7942"/>
    <col width="26.54296875" customWidth="1" style="24" min="7943" max="7943"/>
    <col width="40.54296875" customWidth="1" style="24" min="7944" max="7944"/>
    <col hidden="1" style="24" min="7945" max="7953"/>
    <col width="23.54296875" bestFit="1" customWidth="1" style="24" min="7954" max="7955"/>
    <col width="23.54296875" customWidth="1" style="24" min="7956" max="7956"/>
    <col width="46.453125" bestFit="1" customWidth="1" style="24" min="7957" max="7957"/>
    <col width="8.7265625" customWidth="1" style="24" min="7958" max="8185"/>
    <col width="25.81640625" customWidth="1" style="24" min="8186" max="8186"/>
    <col hidden="1" style="24" min="8187" max="8198"/>
    <col width="26.54296875" customWidth="1" style="24" min="8199" max="8199"/>
    <col width="40.54296875" customWidth="1" style="24" min="8200" max="8200"/>
    <col hidden="1" style="24" min="8201" max="8209"/>
    <col width="23.54296875" bestFit="1" customWidth="1" style="24" min="8210" max="8211"/>
    <col width="23.54296875" customWidth="1" style="24" min="8212" max="8212"/>
    <col width="46.453125" bestFit="1" customWidth="1" style="24" min="8213" max="8213"/>
    <col width="8.7265625" customWidth="1" style="24" min="8214" max="8441"/>
    <col width="25.81640625" customWidth="1" style="24" min="8442" max="8442"/>
    <col hidden="1" style="24" min="8443" max="8454"/>
    <col width="26.54296875" customWidth="1" style="24" min="8455" max="8455"/>
    <col width="40.54296875" customWidth="1" style="24" min="8456" max="8456"/>
    <col hidden="1" style="24" min="8457" max="8465"/>
    <col width="23.54296875" bestFit="1" customWidth="1" style="24" min="8466" max="8467"/>
    <col width="23.54296875" customWidth="1" style="24" min="8468" max="8468"/>
    <col width="46.453125" bestFit="1" customWidth="1" style="24" min="8469" max="8469"/>
    <col width="8.7265625" customWidth="1" style="24" min="8470" max="8697"/>
    <col width="25.81640625" customWidth="1" style="24" min="8698" max="8698"/>
    <col hidden="1" style="24" min="8699" max="8710"/>
    <col width="26.54296875" customWidth="1" style="24" min="8711" max="8711"/>
    <col width="40.54296875" customWidth="1" style="24" min="8712" max="8712"/>
    <col hidden="1" style="24" min="8713" max="8721"/>
    <col width="23.54296875" bestFit="1" customWidth="1" style="24" min="8722" max="8723"/>
    <col width="23.54296875" customWidth="1" style="24" min="8724" max="8724"/>
    <col width="46.453125" bestFit="1" customWidth="1" style="24" min="8725" max="8725"/>
    <col width="8.7265625" customWidth="1" style="24" min="8726" max="8953"/>
    <col width="25.81640625" customWidth="1" style="24" min="8954" max="8954"/>
    <col hidden="1" style="24" min="8955" max="8966"/>
    <col width="26.54296875" customWidth="1" style="24" min="8967" max="8967"/>
    <col width="40.54296875" customWidth="1" style="24" min="8968" max="8968"/>
    <col hidden="1" style="24" min="8969" max="8977"/>
    <col width="23.54296875" bestFit="1" customWidth="1" style="24" min="8978" max="8979"/>
    <col width="23.54296875" customWidth="1" style="24" min="8980" max="8980"/>
    <col width="46.453125" bestFit="1" customWidth="1" style="24" min="8981" max="8981"/>
    <col width="8.7265625" customWidth="1" style="24" min="8982" max="9209"/>
    <col width="25.81640625" customWidth="1" style="24" min="9210" max="9210"/>
    <col hidden="1" style="24" min="9211" max="9222"/>
    <col width="26.54296875" customWidth="1" style="24" min="9223" max="9223"/>
    <col width="40.54296875" customWidth="1" style="24" min="9224" max="9224"/>
    <col hidden="1" style="24" min="9225" max="9233"/>
    <col width="23.54296875" bestFit="1" customWidth="1" style="24" min="9234" max="9235"/>
    <col width="23.54296875" customWidth="1" style="24" min="9236" max="9236"/>
    <col width="46.453125" bestFit="1" customWidth="1" style="24" min="9237" max="9237"/>
    <col width="8.7265625" customWidth="1" style="24" min="9238" max="9465"/>
    <col width="25.81640625" customWidth="1" style="24" min="9466" max="9466"/>
    <col hidden="1" style="24" min="9467" max="9478"/>
    <col width="26.54296875" customWidth="1" style="24" min="9479" max="9479"/>
    <col width="40.54296875" customWidth="1" style="24" min="9480" max="9480"/>
    <col hidden="1" style="24" min="9481" max="9489"/>
    <col width="23.54296875" bestFit="1" customWidth="1" style="24" min="9490" max="9491"/>
    <col width="23.54296875" customWidth="1" style="24" min="9492" max="9492"/>
    <col width="46.453125" bestFit="1" customWidth="1" style="24" min="9493" max="9493"/>
    <col width="8.7265625" customWidth="1" style="24" min="9494" max="9721"/>
    <col width="25.81640625" customWidth="1" style="24" min="9722" max="9722"/>
    <col hidden="1" style="24" min="9723" max="9734"/>
    <col width="26.54296875" customWidth="1" style="24" min="9735" max="9735"/>
    <col width="40.54296875" customWidth="1" style="24" min="9736" max="9736"/>
    <col hidden="1" style="24" min="9737" max="9745"/>
    <col width="23.54296875" bestFit="1" customWidth="1" style="24" min="9746" max="9747"/>
    <col width="23.54296875" customWidth="1" style="24" min="9748" max="9748"/>
    <col width="46.453125" bestFit="1" customWidth="1" style="24" min="9749" max="9749"/>
    <col width="8.7265625" customWidth="1" style="24" min="9750" max="9977"/>
    <col width="25.81640625" customWidth="1" style="24" min="9978" max="9978"/>
    <col hidden="1" style="24" min="9979" max="9990"/>
    <col width="26.54296875" customWidth="1" style="24" min="9991" max="9991"/>
    <col width="40.54296875" customWidth="1" style="24" min="9992" max="9992"/>
    <col hidden="1" style="24" min="9993" max="10001"/>
    <col width="23.54296875" bestFit="1" customWidth="1" style="24" min="10002" max="10003"/>
    <col width="23.54296875" customWidth="1" style="24" min="10004" max="10004"/>
    <col width="46.453125" bestFit="1" customWidth="1" style="24" min="10005" max="10005"/>
    <col width="8.7265625" customWidth="1" style="24" min="10006" max="10233"/>
    <col width="25.81640625" customWidth="1" style="24" min="10234" max="10234"/>
    <col hidden="1" style="24" min="10235" max="10246"/>
    <col width="26.54296875" customWidth="1" style="24" min="10247" max="10247"/>
    <col width="40.54296875" customWidth="1" style="24" min="10248" max="10248"/>
    <col hidden="1" style="24" min="10249" max="10257"/>
    <col width="23.54296875" bestFit="1" customWidth="1" style="24" min="10258" max="10259"/>
    <col width="23.54296875" customWidth="1" style="24" min="10260" max="10260"/>
    <col width="46.453125" bestFit="1" customWidth="1" style="24" min="10261" max="10261"/>
    <col width="8.7265625" customWidth="1" style="24" min="10262" max="10489"/>
    <col width="25.81640625" customWidth="1" style="24" min="10490" max="10490"/>
    <col hidden="1" style="24" min="10491" max="10502"/>
    <col width="26.54296875" customWidth="1" style="24" min="10503" max="10503"/>
    <col width="40.54296875" customWidth="1" style="24" min="10504" max="10504"/>
    <col hidden="1" style="24" min="10505" max="10513"/>
    <col width="23.54296875" bestFit="1" customWidth="1" style="24" min="10514" max="10515"/>
    <col width="23.54296875" customWidth="1" style="24" min="10516" max="10516"/>
    <col width="46.453125" bestFit="1" customWidth="1" style="24" min="10517" max="10517"/>
    <col width="8.7265625" customWidth="1" style="24" min="10518" max="10745"/>
    <col width="25.81640625" customWidth="1" style="24" min="10746" max="10746"/>
    <col hidden="1" style="24" min="10747" max="10758"/>
    <col width="26.54296875" customWidth="1" style="24" min="10759" max="10759"/>
    <col width="40.54296875" customWidth="1" style="24" min="10760" max="10760"/>
    <col hidden="1" style="24" min="10761" max="10769"/>
    <col width="23.54296875" bestFit="1" customWidth="1" style="24" min="10770" max="10771"/>
    <col width="23.54296875" customWidth="1" style="24" min="10772" max="10772"/>
    <col width="46.453125" bestFit="1" customWidth="1" style="24" min="10773" max="10773"/>
    <col width="8.7265625" customWidth="1" style="24" min="10774" max="11001"/>
    <col width="25.81640625" customWidth="1" style="24" min="11002" max="11002"/>
    <col hidden="1" style="24" min="11003" max="11014"/>
    <col width="26.54296875" customWidth="1" style="24" min="11015" max="11015"/>
    <col width="40.54296875" customWidth="1" style="24" min="11016" max="11016"/>
    <col hidden="1" style="24" min="11017" max="11025"/>
    <col width="23.54296875" bestFit="1" customWidth="1" style="24" min="11026" max="11027"/>
    <col width="23.54296875" customWidth="1" style="24" min="11028" max="11028"/>
    <col width="46.453125" bestFit="1" customWidth="1" style="24" min="11029" max="11029"/>
    <col width="8.7265625" customWidth="1" style="24" min="11030" max="11257"/>
    <col width="25.81640625" customWidth="1" style="24" min="11258" max="11258"/>
    <col hidden="1" style="24" min="11259" max="11270"/>
    <col width="26.54296875" customWidth="1" style="24" min="11271" max="11271"/>
    <col width="40.54296875" customWidth="1" style="24" min="11272" max="11272"/>
    <col hidden="1" style="24" min="11273" max="11281"/>
    <col width="23.54296875" bestFit="1" customWidth="1" style="24" min="11282" max="11283"/>
    <col width="23.54296875" customWidth="1" style="24" min="11284" max="11284"/>
    <col width="46.453125" bestFit="1" customWidth="1" style="24" min="11285" max="11285"/>
    <col width="8.7265625" customWidth="1" style="24" min="11286" max="11513"/>
    <col width="25.81640625" customWidth="1" style="24" min="11514" max="11514"/>
    <col hidden="1" style="24" min="11515" max="11526"/>
    <col width="26.54296875" customWidth="1" style="24" min="11527" max="11527"/>
    <col width="40.54296875" customWidth="1" style="24" min="11528" max="11528"/>
    <col hidden="1" style="24" min="11529" max="11537"/>
    <col width="23.54296875" bestFit="1" customWidth="1" style="24" min="11538" max="11539"/>
    <col width="23.54296875" customWidth="1" style="24" min="11540" max="11540"/>
    <col width="46.453125" bestFit="1" customWidth="1" style="24" min="11541" max="11541"/>
    <col width="8.7265625" customWidth="1" style="24" min="11542" max="11769"/>
    <col width="25.81640625" customWidth="1" style="24" min="11770" max="11770"/>
    <col hidden="1" style="24" min="11771" max="11782"/>
    <col width="26.54296875" customWidth="1" style="24" min="11783" max="11783"/>
    <col width="40.54296875" customWidth="1" style="24" min="11784" max="11784"/>
    <col hidden="1" style="24" min="11785" max="11793"/>
    <col width="23.54296875" bestFit="1" customWidth="1" style="24" min="11794" max="11795"/>
    <col width="23.54296875" customWidth="1" style="24" min="11796" max="11796"/>
    <col width="46.453125" bestFit="1" customWidth="1" style="24" min="11797" max="11797"/>
    <col width="8.7265625" customWidth="1" style="24" min="11798" max="12025"/>
    <col width="25.81640625" customWidth="1" style="24" min="12026" max="12026"/>
    <col hidden="1" style="24" min="12027" max="12038"/>
    <col width="26.54296875" customWidth="1" style="24" min="12039" max="12039"/>
    <col width="40.54296875" customWidth="1" style="24" min="12040" max="12040"/>
    <col hidden="1" style="24" min="12041" max="12049"/>
    <col width="23.54296875" bestFit="1" customWidth="1" style="24" min="12050" max="12051"/>
    <col width="23.54296875" customWidth="1" style="24" min="12052" max="12052"/>
    <col width="46.453125" bestFit="1" customWidth="1" style="24" min="12053" max="12053"/>
    <col width="8.7265625" customWidth="1" style="24" min="12054" max="12281"/>
    <col width="25.81640625" customWidth="1" style="24" min="12282" max="12282"/>
    <col hidden="1" style="24" min="12283" max="12294"/>
    <col width="26.54296875" customWidth="1" style="24" min="12295" max="12295"/>
    <col width="40.54296875" customWidth="1" style="24" min="12296" max="12296"/>
    <col hidden="1" style="24" min="12297" max="12305"/>
    <col width="23.54296875" bestFit="1" customWidth="1" style="24" min="12306" max="12307"/>
    <col width="23.54296875" customWidth="1" style="24" min="12308" max="12308"/>
    <col width="46.453125" bestFit="1" customWidth="1" style="24" min="12309" max="12309"/>
    <col width="8.7265625" customWidth="1" style="24" min="12310" max="12537"/>
    <col width="25.81640625" customWidth="1" style="24" min="12538" max="12538"/>
    <col hidden="1" style="24" min="12539" max="12550"/>
    <col width="26.54296875" customWidth="1" style="24" min="12551" max="12551"/>
    <col width="40.54296875" customWidth="1" style="24" min="12552" max="12552"/>
    <col hidden="1" style="24" min="12553" max="12561"/>
    <col width="23.54296875" bestFit="1" customWidth="1" style="24" min="12562" max="12563"/>
    <col width="23.54296875" customWidth="1" style="24" min="12564" max="12564"/>
    <col width="46.453125" bestFit="1" customWidth="1" style="24" min="12565" max="12565"/>
    <col width="8.7265625" customWidth="1" style="24" min="12566" max="12793"/>
    <col width="25.81640625" customWidth="1" style="24" min="12794" max="12794"/>
    <col hidden="1" style="24" min="12795" max="12806"/>
    <col width="26.54296875" customWidth="1" style="24" min="12807" max="12807"/>
    <col width="40.54296875" customWidth="1" style="24" min="12808" max="12808"/>
    <col hidden="1" style="24" min="12809" max="12817"/>
    <col width="23.54296875" bestFit="1" customWidth="1" style="24" min="12818" max="12819"/>
    <col width="23.54296875" customWidth="1" style="24" min="12820" max="12820"/>
    <col width="46.453125" bestFit="1" customWidth="1" style="24" min="12821" max="12821"/>
    <col width="8.7265625" customWidth="1" style="24" min="12822" max="13049"/>
    <col width="25.81640625" customWidth="1" style="24" min="13050" max="13050"/>
    <col hidden="1" style="24" min="13051" max="13062"/>
    <col width="26.54296875" customWidth="1" style="24" min="13063" max="13063"/>
    <col width="40.54296875" customWidth="1" style="24" min="13064" max="13064"/>
    <col hidden="1" style="24" min="13065" max="13073"/>
    <col width="23.54296875" bestFit="1" customWidth="1" style="24" min="13074" max="13075"/>
    <col width="23.54296875" customWidth="1" style="24" min="13076" max="13076"/>
    <col width="46.453125" bestFit="1" customWidth="1" style="24" min="13077" max="13077"/>
    <col width="8.7265625" customWidth="1" style="24" min="13078" max="13305"/>
    <col width="25.81640625" customWidth="1" style="24" min="13306" max="13306"/>
    <col hidden="1" style="24" min="13307" max="13318"/>
    <col width="26.54296875" customWidth="1" style="24" min="13319" max="13319"/>
    <col width="40.54296875" customWidth="1" style="24" min="13320" max="13320"/>
    <col hidden="1" style="24" min="13321" max="13329"/>
    <col width="23.54296875" bestFit="1" customWidth="1" style="24" min="13330" max="13331"/>
    <col width="23.54296875" customWidth="1" style="24" min="13332" max="13332"/>
    <col width="46.453125" bestFit="1" customWidth="1" style="24" min="13333" max="13333"/>
    <col width="8.7265625" customWidth="1" style="24" min="13334" max="13561"/>
    <col width="25.81640625" customWidth="1" style="24" min="13562" max="13562"/>
    <col hidden="1" style="24" min="13563" max="13574"/>
    <col width="26.54296875" customWidth="1" style="24" min="13575" max="13575"/>
    <col width="40.54296875" customWidth="1" style="24" min="13576" max="13576"/>
    <col hidden="1" style="24" min="13577" max="13585"/>
    <col width="23.54296875" bestFit="1" customWidth="1" style="24" min="13586" max="13587"/>
    <col width="23.54296875" customWidth="1" style="24" min="13588" max="13588"/>
    <col width="46.453125" bestFit="1" customWidth="1" style="24" min="13589" max="13589"/>
    <col width="8.7265625" customWidth="1" style="24" min="13590" max="13817"/>
    <col width="25.81640625" customWidth="1" style="24" min="13818" max="13818"/>
    <col hidden="1" style="24" min="13819" max="13830"/>
    <col width="26.54296875" customWidth="1" style="24" min="13831" max="13831"/>
    <col width="40.54296875" customWidth="1" style="24" min="13832" max="13832"/>
    <col hidden="1" style="24" min="13833" max="13841"/>
    <col width="23.54296875" bestFit="1" customWidth="1" style="24" min="13842" max="13843"/>
    <col width="23.54296875" customWidth="1" style="24" min="13844" max="13844"/>
    <col width="46.453125" bestFit="1" customWidth="1" style="24" min="13845" max="13845"/>
    <col width="8.7265625" customWidth="1" style="24" min="13846" max="14073"/>
    <col width="25.81640625" customWidth="1" style="24" min="14074" max="14074"/>
    <col hidden="1" style="24" min="14075" max="14086"/>
    <col width="26.54296875" customWidth="1" style="24" min="14087" max="14087"/>
    <col width="40.54296875" customWidth="1" style="24" min="14088" max="14088"/>
    <col hidden="1" style="24" min="14089" max="14097"/>
    <col width="23.54296875" bestFit="1" customWidth="1" style="24" min="14098" max="14099"/>
    <col width="23.54296875" customWidth="1" style="24" min="14100" max="14100"/>
    <col width="46.453125" bestFit="1" customWidth="1" style="24" min="14101" max="14101"/>
    <col width="8.7265625" customWidth="1" style="24" min="14102" max="14329"/>
    <col width="25.81640625" customWidth="1" style="24" min="14330" max="14330"/>
    <col hidden="1" style="24" min="14331" max="14342"/>
    <col width="26.54296875" customWidth="1" style="24" min="14343" max="14343"/>
    <col width="40.54296875" customWidth="1" style="24" min="14344" max="14344"/>
    <col hidden="1" style="24" min="14345" max="14353"/>
    <col width="23.54296875" bestFit="1" customWidth="1" style="24" min="14354" max="14355"/>
    <col width="23.54296875" customWidth="1" style="24" min="14356" max="14356"/>
    <col width="46.453125" bestFit="1" customWidth="1" style="24" min="14357" max="14357"/>
    <col width="8.7265625" customWidth="1" style="24" min="14358" max="14585"/>
    <col width="25.81640625" customWidth="1" style="24" min="14586" max="14586"/>
    <col hidden="1" style="24" min="14587" max="14598"/>
    <col width="26.54296875" customWidth="1" style="24" min="14599" max="14599"/>
    <col width="40.54296875" customWidth="1" style="24" min="14600" max="14600"/>
    <col hidden="1" style="24" min="14601" max="14609"/>
    <col width="23.54296875" bestFit="1" customWidth="1" style="24" min="14610" max="14611"/>
    <col width="23.54296875" customWidth="1" style="24" min="14612" max="14612"/>
    <col width="46.453125" bestFit="1" customWidth="1" style="24" min="14613" max="14613"/>
    <col width="8.7265625" customWidth="1" style="24" min="14614" max="14841"/>
    <col width="25.81640625" customWidth="1" style="24" min="14842" max="14842"/>
    <col hidden="1" style="24" min="14843" max="14854"/>
    <col width="26.54296875" customWidth="1" style="24" min="14855" max="14855"/>
    <col width="40.54296875" customWidth="1" style="24" min="14856" max="14856"/>
    <col hidden="1" style="24" min="14857" max="14865"/>
    <col width="23.54296875" bestFit="1" customWidth="1" style="24" min="14866" max="14867"/>
    <col width="23.54296875" customWidth="1" style="24" min="14868" max="14868"/>
    <col width="46.453125" bestFit="1" customWidth="1" style="24" min="14869" max="14869"/>
    <col width="8.7265625" customWidth="1" style="24" min="14870" max="15097"/>
    <col width="25.81640625" customWidth="1" style="24" min="15098" max="15098"/>
    <col hidden="1" style="24" min="15099" max="15110"/>
    <col width="26.54296875" customWidth="1" style="24" min="15111" max="15111"/>
    <col width="40.54296875" customWidth="1" style="24" min="15112" max="15112"/>
    <col hidden="1" style="24" min="15113" max="15121"/>
    <col width="23.54296875" bestFit="1" customWidth="1" style="24" min="15122" max="15123"/>
    <col width="23.54296875" customWidth="1" style="24" min="15124" max="15124"/>
    <col width="46.453125" bestFit="1" customWidth="1" style="24" min="15125" max="15125"/>
    <col width="8.7265625" customWidth="1" style="24" min="15126" max="15353"/>
    <col width="25.81640625" customWidth="1" style="24" min="15354" max="15354"/>
    <col hidden="1" style="24" min="15355" max="15366"/>
    <col width="26.54296875" customWidth="1" style="24" min="15367" max="15367"/>
    <col width="40.54296875" customWidth="1" style="24" min="15368" max="15368"/>
    <col hidden="1" style="24" min="15369" max="15377"/>
    <col width="23.54296875" bestFit="1" customWidth="1" style="24" min="15378" max="15379"/>
    <col width="23.54296875" customWidth="1" style="24" min="15380" max="15380"/>
    <col width="46.453125" bestFit="1" customWidth="1" style="24" min="15381" max="15381"/>
    <col width="8.7265625" customWidth="1" style="24" min="15382" max="15609"/>
    <col width="25.81640625" customWidth="1" style="24" min="15610" max="15610"/>
    <col hidden="1" style="24" min="15611" max="15622"/>
    <col width="26.54296875" customWidth="1" style="24" min="15623" max="15623"/>
    <col width="40.54296875" customWidth="1" style="24" min="15624" max="15624"/>
    <col hidden="1" style="24" min="15625" max="15633"/>
    <col width="23.54296875" bestFit="1" customWidth="1" style="24" min="15634" max="15635"/>
    <col width="23.54296875" customWidth="1" style="24" min="15636" max="15636"/>
    <col width="46.453125" bestFit="1" customWidth="1" style="24" min="15637" max="15637"/>
    <col width="8.7265625" customWidth="1" style="24" min="15638" max="15865"/>
    <col width="25.81640625" customWidth="1" style="24" min="15866" max="15866"/>
    <col hidden="1" style="24" min="15867" max="15878"/>
    <col width="26.54296875" customWidth="1" style="24" min="15879" max="15879"/>
    <col width="40.54296875" customWidth="1" style="24" min="15880" max="15880"/>
    <col hidden="1" style="24" min="15881" max="15889"/>
    <col width="23.54296875" bestFit="1" customWidth="1" style="24" min="15890" max="15891"/>
    <col width="23.54296875" customWidth="1" style="24" min="15892" max="15892"/>
    <col width="46.453125" bestFit="1" customWidth="1" style="24" min="15893" max="15893"/>
    <col width="8.7265625" customWidth="1" style="24" min="15894" max="16121"/>
    <col width="25.81640625" customWidth="1" style="24" min="16122" max="16122"/>
    <col hidden="1" style="24" min="16123" max="16134"/>
    <col width="26.54296875" customWidth="1" style="24" min="16135" max="16135"/>
    <col width="40.54296875" customWidth="1" style="24" min="16136" max="16136"/>
    <col hidden="1" style="24" min="16137" max="16145"/>
    <col width="23.54296875" bestFit="1" customWidth="1" style="24" min="16146" max="16147"/>
    <col width="23.54296875" customWidth="1" style="24" min="16148" max="16148"/>
    <col width="46.453125" bestFit="1" customWidth="1" style="24" min="16149" max="16149"/>
    <col width="8.7265625" customWidth="1" style="24" min="16150" max="16384"/>
  </cols>
  <sheetData>
    <row r="1" ht="25" customFormat="1" customHeight="1" s="29">
      <c r="B1" s="53" t="n"/>
      <c r="D1" s="30" t="n"/>
      <c r="H1" s="31" t="n"/>
      <c r="I1" s="32" t="n"/>
    </row>
    <row r="2" ht="25" customHeight="1" s="524">
      <c r="B2" s="34" t="inlineStr">
        <is>
          <t>Ogrodniczy Informator Cenowy</t>
        </is>
      </c>
      <c r="C2" s="35" t="n"/>
      <c r="D2" s="35" t="n"/>
      <c r="E2" s="35" t="n"/>
      <c r="F2" s="35" t="n"/>
      <c r="G2" s="35" t="n"/>
      <c r="H2" s="36" t="n"/>
      <c r="I2" s="36" t="n"/>
      <c r="J2" s="36" t="n"/>
      <c r="K2" s="29" t="n"/>
      <c r="L2" s="36" t="n"/>
      <c r="M2" s="36" t="n"/>
    </row>
    <row r="3" ht="25" customHeight="1" s="524" thickBot="1">
      <c r="B3" s="37" t="inlineStr">
        <is>
          <t>Instytut Ekonomiki Rolnictwa i Gospodarki Żywnościowej  Państwowy Instytut Badawczy</t>
        </is>
      </c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</row>
    <row r="4" ht="25" customHeight="1" s="524" thickTop="1">
      <c r="B4" s="589" t="inlineStr">
        <is>
          <t xml:space="preserve">Zakład Ekonomiki Gospodarstw Rolnych i Ogrodniczych </t>
        </is>
      </c>
    </row>
    <row r="5" ht="20.25" customHeight="1" s="524">
      <c r="Z5" s="590" t="n"/>
    </row>
    <row r="6" ht="20.25" customHeight="1" s="524">
      <c r="B6" s="590" t="n"/>
      <c r="C6" s="590" t="n"/>
      <c r="D6" s="590" t="n"/>
      <c r="E6" s="590" t="n"/>
      <c r="F6" s="590" t="n"/>
      <c r="G6" s="590" t="n"/>
      <c r="H6" s="590" t="n"/>
      <c r="I6" s="590" t="n"/>
      <c r="J6" s="590" t="n"/>
      <c r="K6" s="590" t="n"/>
      <c r="L6" s="590" t="n"/>
      <c r="M6" s="590" t="n"/>
      <c r="N6" s="590" t="n"/>
      <c r="O6" s="590" t="n"/>
      <c r="P6" s="590" t="n"/>
      <c r="Q6" s="590" t="n"/>
      <c r="R6" s="590" t="n"/>
      <c r="S6" s="590" t="n"/>
      <c r="T6" s="590" t="n"/>
      <c r="U6" s="590" t="n"/>
      <c r="V6" s="590" t="n"/>
      <c r="W6" s="590" t="n"/>
      <c r="X6" s="590" t="n"/>
      <c r="Y6" s="590" t="n"/>
      <c r="Z6" s="590" t="n"/>
      <c r="AA6" s="590" t="n"/>
    </row>
    <row r="7" ht="40" customFormat="1" customHeight="1" s="523">
      <c r="A7" s="523" t="n"/>
      <c r="B7" s="267" t="inlineStr">
        <is>
          <t>Ceny skupu netto w zakładach przetwórczych i chłodniach zbierane 17 VIII 2026 r. (zł/kg)</t>
        </is>
      </c>
      <c r="C7" s="267" t="n"/>
      <c r="D7" s="267" t="n"/>
      <c r="E7" s="267" t="n"/>
      <c r="F7" s="267" t="n"/>
      <c r="G7" s="267" t="n"/>
      <c r="H7" s="267" t="n"/>
      <c r="I7" s="267" t="n"/>
      <c r="J7" s="525" t="n"/>
      <c r="O7" s="522" t="n"/>
      <c r="P7" s="522" t="n"/>
      <c r="Q7" s="522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2" t="n"/>
      <c r="AA7" s="522" t="n"/>
    </row>
    <row r="8">
      <c r="B8" s="365" t="n"/>
      <c r="C8" s="366" t="n"/>
      <c r="D8" s="366" t="n"/>
      <c r="E8" s="366" t="n"/>
      <c r="F8" s="366" t="n"/>
      <c r="G8" s="366" t="n"/>
      <c r="H8" s="366" t="n"/>
      <c r="I8" s="366" t="n"/>
      <c r="J8" s="366" t="n"/>
      <c r="K8" s="367" t="inlineStr">
        <is>
          <t>Jabłka</t>
        </is>
      </c>
      <c r="L8" s="366" t="n"/>
      <c r="M8" s="366" t="n"/>
      <c r="N8" s="366" t="n"/>
      <c r="O8" s="368" t="inlineStr">
        <is>
          <t>Fasola szparagowa</t>
        </is>
      </c>
      <c r="P8" s="369" t="inlineStr">
        <is>
          <t>Cebula</t>
        </is>
      </c>
      <c r="Q8" s="366" t="inlineStr">
        <is>
          <t>Truskawki</t>
        </is>
      </c>
      <c r="R8" s="366" t="inlineStr">
        <is>
          <t>Rabarbar</t>
        </is>
      </c>
      <c r="S8" s="366" t="inlineStr">
        <is>
          <t>Jabłka</t>
        </is>
      </c>
      <c r="T8" s="366" t="n"/>
      <c r="U8" s="370" t="n"/>
      <c r="V8" s="366" t="n"/>
      <c r="W8" s="366" t="n"/>
      <c r="X8" s="366" t="n"/>
      <c r="Y8" s="366" t="n"/>
      <c r="Z8" s="369" t="inlineStr">
        <is>
          <t>Malina</t>
        </is>
      </c>
      <c r="AA8" s="369" t="inlineStr">
        <is>
          <t>Jabłka</t>
        </is>
      </c>
      <c r="AB8" s="369" t="inlineStr">
        <is>
          <t>Jeżyny</t>
        </is>
      </c>
      <c r="AC8" s="369" t="inlineStr">
        <is>
          <t>Cuukinia</t>
        </is>
      </c>
    </row>
    <row r="9">
      <c r="B9" s="371" t="n"/>
      <c r="C9" s="372" t="n"/>
      <c r="D9" s="372" t="n"/>
      <c r="E9" s="372" t="n"/>
      <c r="F9" s="372" t="n"/>
      <c r="G9" s="372" t="n"/>
      <c r="H9" s="372" t="n"/>
      <c r="I9" s="372" t="n"/>
      <c r="J9" s="372" t="n"/>
      <c r="K9" s="373" t="inlineStr">
        <is>
          <t>przemysłowe</t>
        </is>
      </c>
      <c r="L9" s="372" t="n"/>
      <c r="M9" s="372" t="n"/>
      <c r="N9" s="372" t="n"/>
      <c r="O9" s="374" t="n"/>
      <c r="P9" s="375" t="inlineStr">
        <is>
          <t>obrana</t>
        </is>
      </c>
      <c r="Q9" s="372" t="inlineStr">
        <is>
          <t>z szyp[ułką</t>
        </is>
      </c>
      <c r="R9" s="372" t="n"/>
      <c r="S9" s="372" t="inlineStr">
        <is>
          <t>przemyslowe</t>
        </is>
      </c>
      <c r="T9" s="372" t="n"/>
      <c r="U9" s="376" t="n"/>
      <c r="V9" s="372" t="n"/>
      <c r="W9" s="372" t="n"/>
      <c r="X9" s="372" t="n"/>
      <c r="Y9" s="372" t="n"/>
      <c r="Z9" s="375" t="inlineStr">
        <is>
          <t>do mrożenia</t>
        </is>
      </c>
      <c r="AA9" s="375" t="inlineStr">
        <is>
          <t>przemyslowe</t>
        </is>
      </c>
      <c r="AB9" s="375" t="n"/>
      <c r="AC9" s="375" t="inlineStr">
        <is>
          <t>na kostkę</t>
        </is>
      </c>
    </row>
    <row r="10">
      <c r="B10" s="329" t="inlineStr">
        <is>
          <t>kujawsko-pomor.</t>
        </is>
      </c>
      <c r="C10" s="331" t="n"/>
      <c r="D10" s="331" t="n"/>
      <c r="E10" s="331" t="n"/>
      <c r="F10" s="331" t="n"/>
      <c r="G10" s="331" t="n"/>
      <c r="H10" s="331" t="n"/>
      <c r="I10" s="331" t="n"/>
      <c r="J10" s="331" t="n"/>
      <c r="K10" s="332" t="n"/>
      <c r="L10" s="331" t="n"/>
      <c r="M10" s="331" t="n"/>
      <c r="N10" s="331" t="n"/>
      <c r="O10" s="332" t="n"/>
      <c r="P10" s="332" t="n"/>
      <c r="Q10" s="330" t="n"/>
      <c r="R10" s="330" t="n"/>
      <c r="S10" s="330" t="n"/>
      <c r="T10" s="330" t="n"/>
      <c r="U10" s="330" t="n"/>
      <c r="V10" s="330" t="n"/>
      <c r="W10" s="330" t="n"/>
      <c r="X10" s="330" t="n"/>
      <c r="Y10" s="330" t="n"/>
      <c r="Z10" s="332" t="n"/>
      <c r="AA10" s="332" t="n"/>
      <c r="AB10" s="332" t="n"/>
      <c r="AC10" s="332" t="n"/>
    </row>
    <row r="11">
      <c r="B11" s="329" t="inlineStr">
        <is>
          <t>kujawsko-pomor.</t>
        </is>
      </c>
      <c r="C11" s="331" t="n"/>
      <c r="D11" s="331" t="n"/>
      <c r="E11" s="331" t="n"/>
      <c r="F11" s="331" t="n"/>
      <c r="G11" s="331" t="n"/>
      <c r="H11" s="331" t="n"/>
      <c r="I11" s="331" t="n"/>
      <c r="J11" s="331" t="n"/>
      <c r="K11" s="332" t="n"/>
      <c r="L11" s="331" t="n"/>
      <c r="M11" s="331" t="n"/>
      <c r="N11" s="331" t="n"/>
      <c r="O11" s="332" t="n"/>
      <c r="P11" s="332" t="inlineStr">
        <is>
          <t>1,15-1,20lz</t>
        </is>
      </c>
      <c r="Q11" s="330" t="n"/>
      <c r="R11" s="330" t="n"/>
      <c r="S11" s="330" t="n"/>
      <c r="T11" s="330" t="n"/>
      <c r="U11" s="330" t="n"/>
      <c r="V11" s="330" t="n"/>
      <c r="W11" s="330" t="n"/>
      <c r="X11" s="330" t="n"/>
      <c r="Y11" s="330" t="n"/>
      <c r="Z11" s="332" t="n"/>
      <c r="AA11" s="332" t="n"/>
      <c r="AB11" s="332" t="n"/>
      <c r="AC11" s="332" t="inlineStr">
        <is>
          <t>0,60-0,68lz</t>
        </is>
      </c>
    </row>
    <row r="12">
      <c r="B12" s="329" t="inlineStr">
        <is>
          <t>kujawsko-pomor.</t>
        </is>
      </c>
      <c r="C12" s="331" t="n"/>
      <c r="D12" s="331" t="n"/>
      <c r="E12" s="331" t="n"/>
      <c r="F12" s="331" t="n"/>
      <c r="G12" s="331" t="n"/>
      <c r="H12" s="331" t="n"/>
      <c r="I12" s="331" t="n"/>
      <c r="J12" s="331" t="n"/>
      <c r="K12" s="332" t="n"/>
      <c r="L12" s="331" t="n"/>
      <c r="M12" s="331" t="n"/>
      <c r="N12" s="331" t="n"/>
      <c r="O12" s="332" t="n"/>
      <c r="P12" s="332" t="inlineStr">
        <is>
          <t>1,20lz-1,25lz</t>
        </is>
      </c>
      <c r="Q12" s="330" t="n"/>
      <c r="R12" s="330" t="inlineStr">
        <is>
          <t>2,50lz-2,50lz</t>
        </is>
      </c>
      <c r="S12" s="330" t="n"/>
      <c r="T12" s="330" t="n"/>
      <c r="U12" s="330" t="n"/>
      <c r="V12" s="330" t="n"/>
      <c r="W12" s="330" t="n"/>
      <c r="X12" s="330" t="n"/>
      <c r="Y12" s="330" t="n"/>
      <c r="Z12" s="332" t="n"/>
      <c r="AA12" s="332" t="n"/>
      <c r="AB12" s="332" t="n"/>
      <c r="AC12" s="332" t="n"/>
    </row>
    <row r="13">
      <c r="B13" s="329" t="inlineStr">
        <is>
          <t>kujawsko-pomor.</t>
        </is>
      </c>
      <c r="C13" s="331" t="n"/>
      <c r="D13" s="331" t="n"/>
      <c r="E13" s="331" t="n"/>
      <c r="F13" s="331" t="n"/>
      <c r="G13" s="331" t="n"/>
      <c r="H13" s="331" t="n"/>
      <c r="I13" s="331" t="n"/>
      <c r="J13" s="331" t="n"/>
      <c r="K13" s="332" t="n"/>
      <c r="L13" s="331" t="n"/>
      <c r="M13" s="331" t="n"/>
      <c r="N13" s="331" t="n"/>
      <c r="O13" s="332" t="n"/>
      <c r="P13" s="332" t="inlineStr">
        <is>
          <t>1,25lz-1,35lz</t>
        </is>
      </c>
      <c r="Q13" s="330" t="n"/>
      <c r="R13" s="330" t="inlineStr">
        <is>
          <t>2,50lz-3,00lz</t>
        </is>
      </c>
      <c r="S13" s="330" t="n"/>
      <c r="T13" s="330" t="n"/>
      <c r="U13" s="330" t="n"/>
      <c r="V13" s="330" t="n"/>
      <c r="W13" s="330" t="n"/>
      <c r="X13" s="330" t="n"/>
      <c r="Y13" s="330" t="n"/>
      <c r="Z13" s="332" t="n"/>
      <c r="AA13" s="332" t="n"/>
      <c r="AB13" s="332" t="n"/>
      <c r="AC13" s="332" t="n"/>
    </row>
    <row r="14">
      <c r="B14" s="329" t="inlineStr">
        <is>
          <t>lubelskie</t>
        </is>
      </c>
      <c r="C14" s="331" t="n"/>
      <c r="D14" s="331" t="n"/>
      <c r="E14" s="331" t="n"/>
      <c r="F14" s="331" t="n"/>
      <c r="G14" s="331" t="n"/>
      <c r="H14" s="331" t="n"/>
      <c r="I14" s="331" t="n"/>
      <c r="J14" s="331" t="n"/>
      <c r="K14" s="332" t="inlineStr">
        <is>
          <t>0,32-0,36lz</t>
        </is>
      </c>
      <c r="L14" s="331" t="n"/>
      <c r="M14" s="331" t="n"/>
      <c r="N14" s="331" t="n"/>
      <c r="O14" s="332" t="inlineStr">
        <is>
          <t>1,15lz-1,25lz</t>
        </is>
      </c>
      <c r="P14" s="332" t="n"/>
      <c r="Q14" s="330" t="n"/>
      <c r="R14" s="330" t="n"/>
      <c r="S14" s="330" t="inlineStr">
        <is>
          <t>0,60lz-0,60lz</t>
        </is>
      </c>
      <c r="T14" s="330" t="n"/>
      <c r="U14" s="330" t="n"/>
      <c r="V14" s="330" t="n"/>
      <c r="W14" s="330" t="n"/>
      <c r="X14" s="330" t="n"/>
      <c r="Y14" s="330" t="n"/>
      <c r="Z14" s="332" t="n"/>
      <c r="AA14" s="332" t="inlineStr">
        <is>
          <t>0,60lz-0,60lz</t>
        </is>
      </c>
      <c r="AB14" s="332" t="n"/>
      <c r="AC14" s="332" t="n"/>
    </row>
    <row r="15">
      <c r="B15" s="329" t="inlineStr">
        <is>
          <t>lubelskie</t>
        </is>
      </c>
      <c r="C15" s="331" t="n"/>
      <c r="D15" s="331" t="n"/>
      <c r="E15" s="331" t="n"/>
      <c r="F15" s="331" t="n"/>
      <c r="G15" s="331" t="n"/>
      <c r="H15" s="331" t="n"/>
      <c r="I15" s="331" t="n"/>
      <c r="J15" s="331" t="n"/>
      <c r="K15" s="332" t="n"/>
      <c r="L15" s="331" t="n"/>
      <c r="M15" s="331" t="n"/>
      <c r="N15" s="331" t="n"/>
      <c r="O15" s="332" t="n"/>
      <c r="P15" s="332" t="n"/>
      <c r="Q15" s="330" t="n"/>
      <c r="R15" s="330" t="inlineStr">
        <is>
          <t>3,50lz</t>
        </is>
      </c>
      <c r="S15" s="330" t="n"/>
      <c r="T15" s="330" t="n"/>
      <c r="U15" s="330" t="n"/>
      <c r="V15" s="330" t="n"/>
      <c r="W15" s="330" t="n"/>
      <c r="X15" s="330" t="n"/>
      <c r="Y15" s="330" t="n"/>
      <c r="Z15" s="332" t="n"/>
      <c r="AA15" s="332" t="n"/>
      <c r="AB15" s="332" t="n"/>
      <c r="AC15" s="332" t="inlineStr">
        <is>
          <t>0,65lz</t>
        </is>
      </c>
    </row>
    <row r="16">
      <c r="B16" s="329" t="inlineStr">
        <is>
          <t>lubelskie</t>
        </is>
      </c>
      <c r="C16" s="331" t="n"/>
      <c r="D16" s="331" t="n"/>
      <c r="E16" s="331" t="n"/>
      <c r="F16" s="331" t="n"/>
      <c r="G16" s="331" t="n"/>
      <c r="H16" s="331" t="n"/>
      <c r="I16" s="331" t="n"/>
      <c r="J16" s="331" t="n"/>
      <c r="K16" s="332" t="n"/>
      <c r="L16" s="331" t="n"/>
      <c r="M16" s="331" t="n"/>
      <c r="N16" s="331" t="n"/>
      <c r="O16" s="332" t="n"/>
      <c r="P16" s="332" t="n"/>
      <c r="Q16" s="330" t="inlineStr">
        <is>
          <t>3,45lz-3,89lz</t>
        </is>
      </c>
      <c r="R16" s="330" t="n"/>
      <c r="S16" s="330" t="inlineStr">
        <is>
          <t>0,50-0,60lz-0,90lz-1,20lz</t>
        </is>
      </c>
      <c r="T16" s="330" t="n"/>
      <c r="U16" s="330" t="n"/>
      <c r="V16" s="330" t="n"/>
      <c r="W16" s="330" t="n"/>
      <c r="X16" s="330" t="n"/>
      <c r="Y16" s="330" t="n"/>
      <c r="Z16" s="332" t="inlineStr">
        <is>
          <t>16,50lz/II-17,00lz/I</t>
        </is>
      </c>
      <c r="AA16" s="332" t="inlineStr">
        <is>
          <t>0,55lz-0,65lz</t>
        </is>
      </c>
      <c r="AB16" s="332" t="inlineStr">
        <is>
          <t>6,50lz-7,00lz</t>
        </is>
      </c>
      <c r="AC16" s="332" t="n"/>
    </row>
    <row r="17">
      <c r="B17" s="329" t="inlineStr">
        <is>
          <t>lubelskie</t>
        </is>
      </c>
      <c r="C17" s="331" t="n"/>
      <c r="D17" s="331" t="n"/>
      <c r="E17" s="331" t="n"/>
      <c r="F17" s="331" t="n"/>
      <c r="G17" s="331" t="n"/>
      <c r="H17" s="331" t="n"/>
      <c r="I17" s="331" t="n"/>
      <c r="J17" s="331" t="n"/>
      <c r="K17" s="332" t="n"/>
      <c r="L17" s="331" t="n"/>
      <c r="M17" s="331" t="n"/>
      <c r="N17" s="331" t="n"/>
      <c r="O17" s="332" t="inlineStr">
        <is>
          <t>1,15lz-1,25lz</t>
        </is>
      </c>
      <c r="P17" s="332" t="n"/>
      <c r="Q17" s="330" t="n"/>
      <c r="R17" s="330" t="n"/>
      <c r="S17" s="330" t="inlineStr">
        <is>
          <t>0,65lz-0,75lz</t>
        </is>
      </c>
      <c r="T17" s="330" t="n"/>
      <c r="U17" s="330" t="n"/>
      <c r="V17" s="330" t="n"/>
      <c r="W17" s="330" t="n"/>
      <c r="X17" s="330" t="n"/>
      <c r="Y17" s="330" t="n"/>
      <c r="Z17" s="332" t="n"/>
      <c r="AA17" s="332" t="n"/>
      <c r="AB17" s="332" t="n"/>
      <c r="AC17" s="332" t="n"/>
    </row>
    <row r="18">
      <c r="B18" s="329" t="inlineStr">
        <is>
          <t>lubelskie</t>
        </is>
      </c>
      <c r="C18" s="331" t="n"/>
      <c r="D18" s="331" t="n"/>
      <c r="E18" s="331" t="n"/>
      <c r="F18" s="331" t="n"/>
      <c r="G18" s="331" t="n"/>
      <c r="H18" s="331" t="n"/>
      <c r="I18" s="331" t="n"/>
      <c r="J18" s="331" t="n"/>
      <c r="K18" s="332" t="n"/>
      <c r="L18" s="331" t="n"/>
      <c r="M18" s="331" t="n"/>
      <c r="N18" s="331" t="n"/>
      <c r="O18" s="332" t="n"/>
      <c r="P18" s="332" t="n"/>
      <c r="Q18" s="330" t="n"/>
      <c r="R18" s="330" t="n"/>
      <c r="S18" s="330" t="n"/>
      <c r="T18" s="330" t="n"/>
      <c r="U18" s="330" t="n"/>
      <c r="V18" s="330" t="n"/>
      <c r="W18" s="330" t="n"/>
      <c r="X18" s="330" t="n"/>
      <c r="Y18" s="330" t="n"/>
      <c r="Z18" s="332" t="inlineStr">
        <is>
          <t>16,00lz/II-16,50lz-17,00lz/I</t>
        </is>
      </c>
      <c r="AA18" s="332" t="n"/>
      <c r="AB18" s="332" t="n"/>
      <c r="AC18" s="332" t="inlineStr">
        <is>
          <t>0,60-0,65lz</t>
        </is>
      </c>
    </row>
    <row r="19">
      <c r="B19" s="329" t="inlineStr">
        <is>
          <t>lubuskie</t>
        </is>
      </c>
      <c r="C19" s="331" t="n"/>
      <c r="D19" s="331" t="n"/>
      <c r="E19" s="331" t="n"/>
      <c r="F19" s="331" t="n"/>
      <c r="G19" s="331" t="n"/>
      <c r="H19" s="331" t="n"/>
      <c r="I19" s="331" t="n"/>
      <c r="J19" s="331" t="n"/>
      <c r="K19" s="332" t="n"/>
      <c r="L19" s="331" t="n"/>
      <c r="M19" s="331" t="n"/>
      <c r="N19" s="331" t="n"/>
      <c r="O19" s="332" t="n"/>
      <c r="P19" s="332" t="n"/>
      <c r="Q19" s="330" t="inlineStr">
        <is>
          <t>3,56lz-4,00lz</t>
        </is>
      </c>
      <c r="R19" s="330" t="inlineStr">
        <is>
          <t>2,50lz-3,50lz</t>
        </is>
      </c>
      <c r="S19" s="330" t="n"/>
      <c r="T19" s="330" t="n"/>
      <c r="U19" s="330" t="n"/>
      <c r="V19" s="330" t="n"/>
      <c r="W19" s="330" t="n"/>
      <c r="X19" s="330" t="n"/>
      <c r="Y19" s="330" t="n"/>
      <c r="Z19" s="332" t="n"/>
      <c r="AA19" s="332" t="n"/>
      <c r="AB19" s="332" t="n"/>
      <c r="AC19" s="332" t="n"/>
    </row>
    <row r="20">
      <c r="B20" s="329" t="inlineStr">
        <is>
          <t>łódzkie</t>
        </is>
      </c>
      <c r="C20" s="331" t="n"/>
      <c r="D20" s="331" t="n"/>
      <c r="E20" s="331" t="n"/>
      <c r="F20" s="331" t="n"/>
      <c r="G20" s="331" t="n"/>
      <c r="H20" s="331" t="n"/>
      <c r="I20" s="331" t="n"/>
      <c r="J20" s="331" t="n"/>
      <c r="K20" s="332" t="n"/>
      <c r="L20" s="331" t="n"/>
      <c r="M20" s="331" t="n"/>
      <c r="N20" s="331" t="n"/>
      <c r="O20" s="332" t="inlineStr">
        <is>
          <t>1,30lz/k</t>
        </is>
      </c>
      <c r="P20" s="332" t="n"/>
      <c r="Q20" s="330" t="n"/>
      <c r="R20" s="330" t="n"/>
      <c r="S20" s="330" t="inlineStr">
        <is>
          <t>0,50lz-0,60lz</t>
        </is>
      </c>
      <c r="T20" s="330" t="n"/>
      <c r="U20" s="330" t="n"/>
      <c r="V20" s="330" t="n"/>
      <c r="W20" s="330" t="n"/>
      <c r="X20" s="330" t="n"/>
      <c r="Y20" s="330" t="n"/>
      <c r="Z20" s="332" t="n"/>
      <c r="AA20" s="332" t="inlineStr">
        <is>
          <t>0,50lz-0,70lz</t>
        </is>
      </c>
      <c r="AB20" s="332" t="n"/>
      <c r="AC20" s="332" t="n"/>
    </row>
    <row r="21">
      <c r="B21" s="329" t="inlineStr">
        <is>
          <t>łódzkie</t>
        </is>
      </c>
      <c r="C21" s="331" t="n"/>
      <c r="D21" s="331" t="n"/>
      <c r="E21" s="331" t="n"/>
      <c r="F21" s="331" t="n"/>
      <c r="G21" s="331" t="n"/>
      <c r="H21" s="331" t="n"/>
      <c r="I21" s="331" t="n"/>
      <c r="J21" s="331" t="n"/>
      <c r="K21" s="332" t="n"/>
      <c r="L21" s="331" t="n"/>
      <c r="M21" s="331" t="n"/>
      <c r="N21" s="331" t="n"/>
      <c r="O21" s="332" t="n"/>
      <c r="P21" s="332" t="n"/>
      <c r="Q21" s="330" t="inlineStr">
        <is>
          <t>3,45lz-3,75lz</t>
        </is>
      </c>
      <c r="R21" s="330" t="n"/>
      <c r="S21" s="330" t="n"/>
      <c r="T21" s="330" t="n"/>
      <c r="U21" s="330" t="n"/>
      <c r="V21" s="330" t="n"/>
      <c r="W21" s="330" t="n"/>
      <c r="X21" s="330" t="n"/>
      <c r="Y21" s="330" t="n"/>
      <c r="Z21" s="332" t="n"/>
      <c r="AA21" s="332" t="n"/>
      <c r="AB21" s="332" t="n"/>
      <c r="AC21" s="332" t="n"/>
    </row>
    <row r="22">
      <c r="B22" s="329" t="inlineStr">
        <is>
          <t>małopolskie</t>
        </is>
      </c>
      <c r="C22" s="331" t="n"/>
      <c r="D22" s="331" t="n"/>
      <c r="E22" s="331" t="n"/>
      <c r="F22" s="331" t="n"/>
      <c r="G22" s="331" t="n"/>
      <c r="H22" s="331" t="n"/>
      <c r="I22" s="331" t="n"/>
      <c r="J22" s="331" t="n"/>
      <c r="K22" s="332" t="inlineStr">
        <is>
          <t>0,31-0,35lz</t>
        </is>
      </c>
      <c r="L22" s="331" t="n"/>
      <c r="M22" s="331" t="n"/>
      <c r="N22" s="331" t="n"/>
      <c r="O22" s="332" t="n"/>
      <c r="P22" s="332" t="n"/>
      <c r="Q22" s="330" t="n"/>
      <c r="R22" s="330" t="n"/>
      <c r="S22" s="330" t="n"/>
      <c r="T22" s="330" t="n"/>
      <c r="U22" s="330" t="n"/>
      <c r="V22" s="330" t="n"/>
      <c r="W22" s="330" t="n"/>
      <c r="X22" s="330" t="n"/>
      <c r="Y22" s="330" t="n"/>
      <c r="Z22" s="332" t="n"/>
      <c r="AA22" s="332" t="n"/>
      <c r="AB22" s="332" t="inlineStr">
        <is>
          <t>6,00lz-7,00lz</t>
        </is>
      </c>
      <c r="AC22" s="332" t="n"/>
    </row>
    <row r="23">
      <c r="B23" s="329" t="inlineStr">
        <is>
          <t>mazowieckie</t>
        </is>
      </c>
      <c r="C23" s="331" t="n"/>
      <c r="D23" s="331" t="n"/>
      <c r="E23" s="331" t="n"/>
      <c r="F23" s="331" t="n"/>
      <c r="G23" s="331" t="n"/>
      <c r="H23" s="331" t="n"/>
      <c r="I23" s="331" t="n"/>
      <c r="J23" s="331" t="n"/>
      <c r="K23" s="332" t="n"/>
      <c r="L23" s="331" t="n"/>
      <c r="M23" s="331" t="n"/>
      <c r="N23" s="331" t="n"/>
      <c r="O23" s="332" t="n"/>
      <c r="P23" s="332" t="n"/>
      <c r="Q23" s="330" t="n"/>
      <c r="R23" s="330" t="n"/>
      <c r="S23" s="330" t="inlineStr">
        <is>
          <t>0,65lz-0,90lz-1,15lz-1,20lz</t>
        </is>
      </c>
      <c r="T23" s="330" t="n"/>
      <c r="U23" s="330" t="n"/>
      <c r="V23" s="330" t="n"/>
      <c r="W23" s="330" t="n"/>
      <c r="X23" s="330" t="n"/>
      <c r="Y23" s="330" t="n"/>
      <c r="Z23" s="332" t="n"/>
      <c r="AA23" s="332" t="n"/>
      <c r="AB23" s="332" t="n"/>
      <c r="AC23" s="332" t="n"/>
    </row>
    <row r="24">
      <c r="B24" s="329" t="inlineStr">
        <is>
          <t>mazowieckie</t>
        </is>
      </c>
      <c r="C24" s="331" t="n"/>
      <c r="D24" s="331" t="n"/>
      <c r="E24" s="331" t="n"/>
      <c r="F24" s="331" t="n"/>
      <c r="G24" s="331" t="n"/>
      <c r="H24" s="331" t="n"/>
      <c r="I24" s="331" t="n"/>
      <c r="J24" s="331" t="n"/>
      <c r="K24" s="332" t="inlineStr">
        <is>
          <t>0,32-0,35lz</t>
        </is>
      </c>
      <c r="L24" s="333" t="n"/>
      <c r="M24" s="333" t="n"/>
      <c r="N24" s="333" t="n"/>
      <c r="O24" s="332" t="n"/>
      <c r="P24" s="332" t="n"/>
      <c r="Q24" s="330" t="inlineStr">
        <is>
          <t>3,58lz-3,80lz</t>
        </is>
      </c>
      <c r="R24" s="330" t="n"/>
      <c r="S24" s="330" t="n"/>
      <c r="T24" s="330" t="n"/>
      <c r="U24" s="330" t="n"/>
      <c r="V24" s="330" t="n"/>
      <c r="W24" s="330" t="n"/>
      <c r="X24" s="330" t="n"/>
      <c r="Y24" s="330" t="n"/>
      <c r="Z24" s="332" t="n"/>
      <c r="AA24" s="332" t="n"/>
      <c r="AB24" s="332" t="inlineStr">
        <is>
          <t>5,50-6,00lz-7,00lz</t>
        </is>
      </c>
      <c r="AC24" s="332" t="n"/>
    </row>
    <row r="25">
      <c r="B25" s="329" t="inlineStr">
        <is>
          <t>podkarpackie</t>
        </is>
      </c>
      <c r="C25" s="331" t="n"/>
      <c r="D25" s="331" t="n"/>
      <c r="E25" s="331" t="n"/>
      <c r="F25" s="331" t="n"/>
      <c r="G25" s="331" t="n"/>
      <c r="H25" s="331" t="n"/>
      <c r="I25" s="331" t="n"/>
      <c r="J25" s="331" t="n"/>
      <c r="K25" s="332" t="n"/>
      <c r="L25" s="331" t="n"/>
      <c r="M25" s="331" t="n"/>
      <c r="N25" s="331" t="n"/>
      <c r="O25" s="332" t="n"/>
      <c r="P25" s="332" t="n"/>
      <c r="Q25" s="330" t="n"/>
      <c r="R25" s="330" t="n"/>
      <c r="S25" s="330" t="n"/>
      <c r="T25" s="330" t="n"/>
      <c r="U25" s="330" t="n"/>
      <c r="V25" s="330" t="n"/>
      <c r="W25" s="330" t="n"/>
      <c r="X25" s="330" t="n"/>
      <c r="Y25" s="330" t="n"/>
      <c r="Z25" s="332" t="n"/>
      <c r="AA25" s="332" t="n"/>
      <c r="AB25" s="332" t="n"/>
      <c r="AC25" s="332" t="n"/>
    </row>
    <row r="26">
      <c r="B26" s="329" t="inlineStr">
        <is>
          <t>podkarpackie</t>
        </is>
      </c>
      <c r="C26" s="331" t="n"/>
      <c r="D26" s="331" t="n"/>
      <c r="E26" s="331" t="n"/>
      <c r="F26" s="331" t="n"/>
      <c r="G26" s="331" t="n"/>
      <c r="H26" s="331" t="n"/>
      <c r="I26" s="331" t="n"/>
      <c r="J26" s="331" t="n"/>
      <c r="K26" s="332" t="n"/>
      <c r="L26" s="331" t="n"/>
      <c r="M26" s="331" t="n"/>
      <c r="N26" s="331" t="n"/>
      <c r="O26" s="332" t="n"/>
      <c r="P26" s="332" t="n"/>
      <c r="Q26" s="330" t="n"/>
      <c r="R26" s="330" t="n"/>
      <c r="S26" s="330" t="n"/>
      <c r="T26" s="330" t="n"/>
      <c r="U26" s="330" t="n"/>
      <c r="V26" s="330" t="n"/>
      <c r="W26" s="330" t="n"/>
      <c r="X26" s="330" t="n"/>
      <c r="Y26" s="330" t="n"/>
      <c r="Z26" s="332" t="n"/>
      <c r="AA26" s="332" t="n"/>
      <c r="AB26" s="332" t="n"/>
      <c r="AC26" s="332" t="n"/>
    </row>
    <row r="27">
      <c r="B27" s="329" t="inlineStr">
        <is>
          <t>podlaskie</t>
        </is>
      </c>
      <c r="C27" s="331" t="n"/>
      <c r="D27" s="331" t="n"/>
      <c r="E27" s="331" t="n"/>
      <c r="F27" s="331" t="n"/>
      <c r="G27" s="331" t="n"/>
      <c r="H27" s="331" t="n"/>
      <c r="I27" s="331" t="n"/>
      <c r="J27" s="331" t="n"/>
      <c r="K27" s="332" t="inlineStr">
        <is>
          <t>0,36lz</t>
        </is>
      </c>
      <c r="L27" s="331" t="n"/>
      <c r="M27" s="331" t="n"/>
      <c r="N27" s="331" t="n"/>
      <c r="O27" s="332" t="n"/>
      <c r="P27" s="332" t="n"/>
      <c r="Q27" s="330" t="n"/>
      <c r="R27" s="330" t="n"/>
      <c r="S27" s="330" t="n"/>
      <c r="T27" s="330" t="n"/>
      <c r="U27" s="330" t="n"/>
      <c r="V27" s="330" t="n"/>
      <c r="W27" s="330" t="n"/>
      <c r="X27" s="330" t="n"/>
      <c r="Y27" s="330" t="n"/>
      <c r="Z27" s="332" t="n"/>
      <c r="AA27" s="332" t="n"/>
      <c r="AB27" s="332" t="n"/>
      <c r="AC27" s="332" t="n"/>
    </row>
    <row r="28">
      <c r="B28" s="329" t="inlineStr">
        <is>
          <t>podlaskie</t>
        </is>
      </c>
      <c r="C28" s="331" t="n"/>
      <c r="D28" s="331" t="n"/>
      <c r="E28" s="331" t="n"/>
      <c r="F28" s="331" t="n"/>
      <c r="G28" s="331" t="n"/>
      <c r="H28" s="331" t="n"/>
      <c r="I28" s="331" t="n"/>
      <c r="J28" s="331" t="n"/>
      <c r="K28" s="332" t="n"/>
      <c r="L28" s="331" t="n"/>
      <c r="M28" s="331" t="n"/>
      <c r="N28" s="331" t="n"/>
      <c r="O28" s="332" t="n"/>
      <c r="P28" s="332" t="n"/>
      <c r="Q28" s="330" t="n"/>
      <c r="R28" s="330" t="n"/>
      <c r="S28" s="330" t="n"/>
      <c r="T28" s="330" t="n"/>
      <c r="U28" s="330" t="n"/>
      <c r="V28" s="330" t="n"/>
      <c r="W28" s="330" t="n"/>
      <c r="X28" s="330" t="n"/>
      <c r="Y28" s="330" t="n"/>
      <c r="Z28" s="332" t="n"/>
      <c r="AA28" s="332" t="n"/>
      <c r="AB28" s="332" t="n"/>
      <c r="AC28" s="332" t="n"/>
    </row>
    <row r="29">
      <c r="B29" s="329" t="inlineStr">
        <is>
          <t>śląskie</t>
        </is>
      </c>
      <c r="C29" s="331" t="n"/>
      <c r="D29" s="331" t="n"/>
      <c r="E29" s="331" t="n"/>
      <c r="F29" s="331" t="n"/>
      <c r="G29" s="331" t="n"/>
      <c r="H29" s="331" t="n"/>
      <c r="I29" s="331" t="n"/>
      <c r="J29" s="331" t="n"/>
      <c r="K29" s="332" t="n"/>
      <c r="L29" s="331" t="n"/>
      <c r="M29" s="331" t="n"/>
      <c r="N29" s="331" t="n"/>
      <c r="O29" s="332" t="n"/>
      <c r="P29" s="332" t="n"/>
      <c r="Q29" s="330" t="n"/>
      <c r="R29" s="330" t="n"/>
      <c r="S29" s="330" t="n"/>
      <c r="T29" s="330" t="n"/>
      <c r="U29" s="330" t="n"/>
      <c r="V29" s="330" t="n"/>
      <c r="W29" s="330" t="n"/>
      <c r="X29" s="330" t="n"/>
      <c r="Y29" s="330" t="n"/>
      <c r="Z29" s="332" t="n"/>
      <c r="AA29" s="332" t="n"/>
      <c r="AB29" s="332" t="n"/>
      <c r="AC29" s="332" t="n"/>
    </row>
    <row r="30">
      <c r="B30" s="329" t="inlineStr">
        <is>
          <t>świętokrzyskie</t>
        </is>
      </c>
      <c r="C30" s="331" t="n"/>
      <c r="D30" s="331" t="n"/>
      <c r="E30" s="331" t="n"/>
      <c r="F30" s="331" t="n"/>
      <c r="G30" s="331" t="n"/>
      <c r="H30" s="331" t="n"/>
      <c r="I30" s="331" t="n"/>
      <c r="J30" s="331" t="n"/>
      <c r="K30" s="332" t="n"/>
      <c r="L30" s="331" t="n"/>
      <c r="M30" s="331" t="n"/>
      <c r="N30" s="331" t="n"/>
      <c r="O30" s="332" t="n"/>
      <c r="P30" s="332" t="n"/>
      <c r="Q30" s="330" t="inlineStr">
        <is>
          <t>3,68lz-3,85lz</t>
        </is>
      </c>
      <c r="R30" s="330" t="n"/>
      <c r="S30" s="330" t="n"/>
      <c r="T30" s="330" t="n"/>
      <c r="U30" s="330" t="n"/>
      <c r="V30" s="330" t="n"/>
      <c r="W30" s="330" t="n"/>
      <c r="X30" s="330" t="n"/>
      <c r="Y30" s="330" t="n"/>
      <c r="Z30" s="332" t="n"/>
      <c r="AA30" s="332" t="n"/>
      <c r="AB30" s="332" t="n"/>
      <c r="AC30" s="332" t="n"/>
    </row>
    <row r="31">
      <c r="B31" s="329" t="inlineStr">
        <is>
          <t>wielkopolskie</t>
        </is>
      </c>
      <c r="C31" s="331" t="n"/>
      <c r="D31" s="331" t="n"/>
      <c r="E31" s="331" t="n"/>
      <c r="F31" s="331" t="n"/>
      <c r="G31" s="331" t="n"/>
      <c r="H31" s="331" t="n"/>
      <c r="I31" s="331" t="n"/>
      <c r="J31" s="331" t="n"/>
      <c r="K31" s="332" t="n"/>
      <c r="L31" s="331" t="n"/>
      <c r="M31" s="331" t="n"/>
      <c r="N31" s="331" t="n"/>
      <c r="O31" s="332" t="n"/>
      <c r="P31" s="332" t="inlineStr">
        <is>
          <t>1,35lz</t>
        </is>
      </c>
      <c r="Q31" s="330" t="n"/>
      <c r="R31" s="330" t="n"/>
      <c r="S31" s="330" t="n"/>
      <c r="T31" s="330" t="n"/>
      <c r="U31" s="330" t="n"/>
      <c r="V31" s="330" t="n"/>
      <c r="W31" s="330" t="n"/>
      <c r="X31" s="330" t="n"/>
      <c r="Y31" s="330" t="n"/>
      <c r="Z31" s="332" t="n"/>
      <c r="AA31" s="332" t="n"/>
      <c r="AB31" s="332" t="n"/>
      <c r="AC31" s="332" t="n"/>
    </row>
    <row r="32">
      <c r="B32" s="329" t="inlineStr">
        <is>
          <t>wielkopolskie</t>
        </is>
      </c>
      <c r="C32" s="331" t="n"/>
      <c r="D32" s="331" t="n"/>
      <c r="E32" s="331" t="n"/>
      <c r="F32" s="331" t="n"/>
      <c r="G32" s="331" t="n"/>
      <c r="H32" s="331" t="n"/>
      <c r="I32" s="331" t="n"/>
      <c r="J32" s="331" t="n"/>
      <c r="K32" s="332" t="n"/>
      <c r="L32" s="331" t="n"/>
      <c r="M32" s="331" t="n"/>
      <c r="N32" s="331" t="n"/>
      <c r="O32" s="332" t="n"/>
      <c r="P32" s="332" t="n"/>
      <c r="Q32" s="330" t="n"/>
      <c r="R32" s="330" t="n"/>
      <c r="S32" s="330" t="n"/>
      <c r="T32" s="330" t="n"/>
      <c r="U32" s="330" t="n"/>
      <c r="V32" s="330" t="n"/>
      <c r="W32" s="330" t="n"/>
      <c r="X32" s="330" t="n"/>
      <c r="Y32" s="330" t="n"/>
      <c r="Z32" s="332" t="n"/>
      <c r="AA32" s="332" t="n"/>
      <c r="AB32" s="332" t="n"/>
      <c r="AC32" s="332" t="n"/>
    </row>
    <row r="33">
      <c r="B33" s="329" t="inlineStr">
        <is>
          <t>zachodnio-pomor.</t>
        </is>
      </c>
      <c r="C33" s="331" t="n"/>
      <c r="D33" s="331" t="n"/>
      <c r="E33" s="331" t="n"/>
      <c r="F33" s="331" t="n"/>
      <c r="G33" s="331" t="n"/>
      <c r="H33" s="331" t="n"/>
      <c r="I33" s="331" t="n"/>
      <c r="J33" s="331" t="n"/>
      <c r="K33" s="332" t="n"/>
      <c r="L33" s="331" t="n"/>
      <c r="M33" s="331" t="n"/>
      <c r="N33" s="331" t="n"/>
      <c r="O33" s="332" t="n"/>
      <c r="P33" s="332" t="n"/>
      <c r="Q33" s="330" t="n"/>
      <c r="R33" s="330" t="n"/>
      <c r="S33" s="330" t="n"/>
      <c r="T33" s="330" t="n"/>
      <c r="U33" s="330" t="n"/>
      <c r="V33" s="330" t="n"/>
      <c r="W33" s="330" t="n"/>
      <c r="X33" s="330" t="n"/>
      <c r="Y33" s="330" t="n"/>
      <c r="Z33" s="332" t="n"/>
      <c r="AA33" s="332" t="n"/>
      <c r="AB33" s="332" t="n"/>
      <c r="AC33" s="332" t="n"/>
    </row>
    <row r="34">
      <c r="B34" s="348" t="n"/>
      <c r="C34" s="349" t="n"/>
      <c r="D34" s="349" t="n"/>
      <c r="E34" s="349" t="n"/>
      <c r="F34" s="349" t="n"/>
      <c r="G34" s="349" t="n"/>
      <c r="H34" s="349" t="n"/>
      <c r="I34" s="349" t="n"/>
      <c r="J34" s="349" t="n"/>
      <c r="K34" s="350" t="n"/>
      <c r="L34" s="349" t="n"/>
      <c r="M34" s="349" t="n"/>
      <c r="N34" s="349" t="n"/>
      <c r="O34" s="351" t="n"/>
      <c r="P34" s="352" t="n"/>
      <c r="Q34" s="353" t="n"/>
      <c r="R34" s="353" t="n"/>
      <c r="S34" s="353" t="n"/>
      <c r="T34" s="353" t="n"/>
      <c r="U34" s="354" t="n"/>
      <c r="V34" s="353" t="n"/>
      <c r="W34" s="353" t="n"/>
      <c r="X34" s="353" t="n"/>
      <c r="Y34" s="353" t="n"/>
      <c r="Z34" s="352" t="n"/>
      <c r="AA34" s="352" t="n"/>
      <c r="AB34" s="352" t="n"/>
      <c r="AC34" s="352" t="n"/>
    </row>
    <row r="35">
      <c r="B35" s="355" t="inlineStr">
        <is>
          <t>średnio</t>
        </is>
      </c>
      <c r="C35" s="356" t="n"/>
      <c r="D35" s="356" t="n"/>
      <c r="E35" s="356" t="n"/>
      <c r="F35" s="356" t="n"/>
      <c r="G35" s="356" t="n"/>
      <c r="H35" s="356" t="n"/>
      <c r="I35" s="356" t="n"/>
      <c r="J35" s="356" t="n"/>
      <c r="K35" s="357" t="inlineStr">
        <is>
          <t>0,32-0,36lz</t>
        </is>
      </c>
      <c r="L35" s="356" t="n"/>
      <c r="M35" s="356" t="n"/>
      <c r="N35" s="356" t="n"/>
      <c r="O35" s="358" t="inlineStr">
        <is>
          <t>1,10lz-1,25lz-1,30lz/k</t>
        </is>
      </c>
      <c r="P35" s="359" t="inlineStr">
        <is>
          <t>1,15-1,20lz-1,35lz</t>
        </is>
      </c>
      <c r="Q35" s="360" t="inlineStr">
        <is>
          <t>3,45lz-4,00lz</t>
        </is>
      </c>
      <c r="R35" s="360" t="inlineStr">
        <is>
          <t>2,50lz-3,50lz</t>
        </is>
      </c>
      <c r="S35" s="360" t="inlineStr">
        <is>
          <t>0,50lz-0,65lz/na sok-0,90lz-1,20lz/do obierania</t>
        </is>
      </c>
      <c r="T35" s="360" t="n"/>
      <c r="U35" s="361" t="n"/>
      <c r="V35" s="360" t="n"/>
      <c r="W35" s="360" t="n"/>
      <c r="X35" s="360" t="n"/>
      <c r="Y35" s="360" t="n"/>
      <c r="Z35" s="359" t="inlineStr">
        <is>
          <t>16,00lz-16,50lz/II--17,00lz/I</t>
        </is>
      </c>
      <c r="AA35" s="359" t="inlineStr">
        <is>
          <t>0,50lz-0,70lz</t>
        </is>
      </c>
      <c r="AB35" s="359" t="inlineStr">
        <is>
          <t>5,50lz-6,00lz-7,00lz</t>
        </is>
      </c>
      <c r="AC35" s="359" t="inlineStr">
        <is>
          <t>0,60-0,65lz-0,68lz</t>
        </is>
      </c>
    </row>
    <row r="36">
      <c r="B36" s="362" t="n"/>
      <c r="C36" s="349" t="n"/>
      <c r="D36" s="349" t="n"/>
      <c r="E36" s="349" t="n"/>
      <c r="F36" s="349" t="n"/>
      <c r="G36" s="349" t="n"/>
      <c r="H36" s="349" t="n"/>
      <c r="I36" s="349" t="n"/>
      <c r="J36" s="349" t="n"/>
      <c r="K36" s="350" t="n"/>
      <c r="L36" s="349" t="n"/>
      <c r="M36" s="349" t="n"/>
      <c r="N36" s="349" t="n"/>
      <c r="O36" s="351" t="n"/>
      <c r="P36" s="352" t="n"/>
      <c r="Q36" s="353" t="n"/>
      <c r="R36" s="353" t="n"/>
      <c r="S36" s="353" t="n"/>
      <c r="T36" s="353" t="n"/>
      <c r="U36" s="354" t="n"/>
      <c r="V36" s="353" t="n"/>
      <c r="W36" s="353" t="n"/>
      <c r="X36" s="353" t="n"/>
      <c r="Y36" s="353" t="n"/>
      <c r="Z36" s="352" t="n"/>
      <c r="AA36" s="352" t="n"/>
      <c r="AB36" s="352" t="n"/>
      <c r="AC36" s="352" t="n"/>
    </row>
    <row r="37">
      <c r="B37" s="355" t="inlineStr">
        <is>
          <t>tydzień temu</t>
        </is>
      </c>
      <c r="C37" s="356" t="n"/>
      <c r="D37" s="356" t="n"/>
      <c r="E37" s="356" t="n"/>
      <c r="F37" s="356" t="n"/>
      <c r="G37" s="356" t="n"/>
      <c r="H37" s="356" t="n"/>
      <c r="I37" s="356" t="n"/>
      <c r="J37" s="356" t="n"/>
      <c r="K37" s="357" t="inlineStr">
        <is>
          <t>0,32-0,36lz</t>
        </is>
      </c>
      <c r="L37" s="356" t="n"/>
      <c r="M37" s="356" t="n"/>
      <c r="N37" s="356" t="n"/>
      <c r="O37" s="363" t="inlineStr">
        <is>
          <t>1,10lz-1,25lz</t>
        </is>
      </c>
      <c r="P37" s="364" t="inlineStr">
        <is>
          <t>1,15-1,20-1,30lz</t>
        </is>
      </c>
      <c r="Q37" s="360" t="inlineStr">
        <is>
          <t>3,50-3,50lz-4,50lz</t>
        </is>
      </c>
      <c r="R37" s="360" t="inlineStr">
        <is>
          <t>2,50lz-3,50lz</t>
        </is>
      </c>
      <c r="S37" s="360" t="inlineStr">
        <is>
          <t>0,50lz-0,65lz/na sok-0,90lz-1,20lz/do obierania</t>
        </is>
      </c>
      <c r="T37" s="360" t="n"/>
      <c r="U37" s="361" t="n"/>
      <c r="V37" s="360" t="n"/>
      <c r="W37" s="360" t="n"/>
      <c r="X37" s="360" t="n"/>
      <c r="Y37" s="360" t="n"/>
      <c r="Z37" s="364" t="inlineStr">
        <is>
          <t>17,00lz-17,50lz/II--17,50lz-18,00lz/I</t>
        </is>
      </c>
      <c r="AA37" s="364" t="inlineStr">
        <is>
          <t>0,50lz-0,65lz</t>
        </is>
      </c>
      <c r="AB37" s="364" t="inlineStr">
        <is>
          <t>5,50lz-6,00lz-7,50lz</t>
        </is>
      </c>
      <c r="AC37" s="364" t="inlineStr">
        <is>
          <t>0,60-0,68lz-0,70lz</t>
        </is>
      </c>
    </row>
    <row r="38">
      <c r="B38" s="340" t="n"/>
      <c r="C38" s="334" t="n"/>
      <c r="D38" s="334" t="n"/>
      <c r="E38" s="334" t="n"/>
      <c r="F38" s="334" t="n"/>
      <c r="G38" s="334" t="n"/>
      <c r="H38" s="334" t="n"/>
      <c r="I38" s="334" t="n"/>
      <c r="J38" s="334" t="n"/>
      <c r="K38" s="341" t="n"/>
      <c r="L38" s="334" t="n"/>
      <c r="M38" s="334" t="n"/>
      <c r="N38" s="334" t="n"/>
      <c r="O38" s="342" t="n"/>
      <c r="P38" s="346" t="n"/>
      <c r="Q38" s="335" t="n"/>
      <c r="R38" s="335" t="n"/>
      <c r="S38" s="335" t="n"/>
      <c r="T38" s="335" t="n"/>
      <c r="U38" s="336" t="n"/>
      <c r="V38" s="335" t="n"/>
      <c r="W38" s="335" t="n"/>
      <c r="X38" s="335" t="n"/>
      <c r="Y38" s="335" t="n"/>
      <c r="Z38" s="346" t="n"/>
      <c r="AA38" s="527" t="n"/>
      <c r="AB38" s="527" t="n"/>
      <c r="AC38" s="527" t="n"/>
    </row>
    <row r="39">
      <c r="B39" s="343" t="inlineStr">
        <is>
          <t>rok temu</t>
        </is>
      </c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44" t="inlineStr">
        <is>
          <t>0,27-0,33lz</t>
        </is>
      </c>
      <c r="L39" s="337" t="n"/>
      <c r="M39" s="337" t="n"/>
      <c r="N39" s="337" t="n"/>
      <c r="O39" s="345" t="inlineStr">
        <is>
          <t>1,00-1,10/k</t>
        </is>
      </c>
      <c r="P39" s="347" t="inlineStr">
        <is>
          <t>1,40-1,50lz</t>
        </is>
      </c>
      <c r="Q39" s="338" t="inlineStr">
        <is>
          <t>5,75-6,00lz-6,50lz</t>
        </is>
      </c>
      <c r="R39" s="338" t="inlineStr">
        <is>
          <t>5,00-6,50lz</t>
        </is>
      </c>
      <c r="S39" s="338" t="inlineStr">
        <is>
          <t>1,00lz-1,25lz 1,30;-1,40lz-1,60lz/do obierania</t>
        </is>
      </c>
      <c r="T39" s="338" t="n"/>
      <c r="U39" s="339" t="n"/>
      <c r="V39" s="338" t="n"/>
      <c r="W39" s="338" t="n"/>
      <c r="X39" s="338" t="n"/>
      <c r="Y39" s="338" t="n"/>
      <c r="Z39" s="347" t="inlineStr">
        <is>
          <t>8,00lz/II-9,25lz/I-10,25lz/extra</t>
        </is>
      </c>
      <c r="AA39" s="528" t="inlineStr">
        <is>
          <t>1,00lz-1,25lz 1,30;-1,40lz-1,60lz/do obierania</t>
        </is>
      </c>
      <c r="AB39" s="528" t="inlineStr">
        <is>
          <t>5,00-5,50lz-6,00lz</t>
        </is>
      </c>
      <c r="AC39" s="528" t="inlineStr">
        <is>
          <t>0,65-0,70</t>
        </is>
      </c>
    </row>
    <row r="72">
      <c r="B72" s="24" t="inlineStr">
        <is>
          <t>lz/ cena loco zakład, k/kontraktacja,kl.I/klasa I, kl.II/klasa II,extra/klasa ekstra,m/"mokry" przemysł,s/ "suchy" przemysł,W/Węgierka</t>
        </is>
      </c>
    </row>
  </sheetData>
  <mergeCells count="2">
    <mergeCell ref="B4:Y4"/>
    <mergeCell ref="Z5:AA5"/>
  </mergeCells>
  <printOptions horizontalCentered="1" verticalCentered="1"/>
  <pageMargins left="0.2755905511811024" right="0.1968503937007874" top="0.984251968503937" bottom="1.102362204724409" header="0.5118110236220472" footer="0.5118110236220472"/>
  <pageSetup orientation="landscape" paperSize="9" scale="50"/>
  <headerFooter alignWithMargins="0">
    <oddHeader>&amp;C3_x000a_</oddHeader>
    <oddFooter>&amp;L&amp;8 Przygotowali:_x000a_mgr inż. Tomasz Smoleński_x000a_IERiGŻ-PIB_x000a_Zakład Ekonomiki Ogrodnictwa&amp;R&amp;8 Przedruk możliwy po uzgodnieniu_x000a_ z Zakładem Ekonomiki Ogrodnictwa IERiGŻ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N32"/>
  <sheetViews>
    <sheetView showGridLines="0" zoomScale="90" zoomScaleNormal="90" workbookViewId="0">
      <selection activeCell="B1" sqref="B1:K31"/>
    </sheetView>
  </sheetViews>
  <sheetFormatPr baseColWidth="8" defaultColWidth="9.1796875" defaultRowHeight="14.5"/>
  <cols>
    <col width="9.1796875" customWidth="1" style="253" min="1" max="1"/>
    <col width="44" customWidth="1" style="253" min="2" max="2"/>
    <col width="14.453125" customWidth="1" style="253" min="3" max="11"/>
    <col width="9.1796875" customWidth="1" style="253" min="12" max="16384"/>
  </cols>
  <sheetData>
    <row r="1" ht="20.15" customHeight="1" s="524">
      <c r="B1" s="279" t="n"/>
      <c r="C1" s="594" t="inlineStr">
        <is>
          <t xml:space="preserve">        Tygodniowy Serwis Cenowy</t>
        </is>
      </c>
      <c r="D1" s="603" t="n"/>
      <c r="E1" s="603" t="n"/>
      <c r="F1" s="603" t="n"/>
      <c r="G1" s="603" t="n"/>
      <c r="H1" s="603" t="n"/>
      <c r="I1" s="603" t="n"/>
      <c r="J1" s="603" t="n"/>
      <c r="K1" s="603" t="n"/>
    </row>
    <row r="2" ht="20.15" customHeight="1" s="524">
      <c r="B2" s="280" t="inlineStr">
        <is>
          <t>34 tydzień</t>
        </is>
      </c>
      <c r="C2" s="595" t="inlineStr">
        <is>
          <t xml:space="preserve">      dla producentów owoców i warzyw</t>
        </is>
      </c>
    </row>
    <row r="3" ht="20.15" customHeight="1" s="524">
      <c r="B3" s="283" t="inlineStr">
        <is>
          <t>17.08-23.08.2026 r</t>
        </is>
      </c>
      <c r="C3" s="596" t="inlineStr">
        <is>
          <t xml:space="preserve">     Krajowa Rada Izb Rolniczych    </t>
        </is>
      </c>
    </row>
    <row r="4" ht="20.15" customHeight="1" s="524">
      <c r="B4" s="281" t="n"/>
      <c r="C4" s="597" t="inlineStr">
        <is>
          <t>Parzniew ul. Przyszłości 5, 05-804 Pruszków</t>
        </is>
      </c>
    </row>
    <row r="5" ht="20.15" customHeight="1" s="524">
      <c r="B5" s="282" t="n"/>
      <c r="C5" s="597" t="inlineStr">
        <is>
          <t xml:space="preserve">      tel. 881-939-421, www.krir.pl, sekretariat@krir.pl </t>
        </is>
      </c>
    </row>
    <row r="6" ht="20.15" customHeight="1" s="524">
      <c r="B6" s="598" t="inlineStr">
        <is>
          <t xml:space="preserve">Serwis znajduje się obecnie w fazie rozwoju i dotyczy wybranych produktów w niektórych województwach.                                                                                                  </t>
        </is>
      </c>
      <c r="C6" s="604" t="n"/>
      <c r="D6" s="604" t="n"/>
      <c r="E6" s="604" t="n"/>
      <c r="F6" s="604" t="n"/>
      <c r="G6" s="604" t="n"/>
      <c r="H6" s="604" t="n"/>
      <c r="I6" s="604" t="n"/>
      <c r="J6" s="604" t="n"/>
      <c r="K6" s="604" t="n"/>
    </row>
    <row r="7" ht="15.5" customHeight="1" s="524">
      <c r="B7" s="268" t="n"/>
      <c r="C7" s="268" t="n"/>
      <c r="D7" s="268" t="n"/>
      <c r="E7" s="268" t="n"/>
      <c r="F7" s="390" t="n"/>
      <c r="G7" s="268" t="n"/>
      <c r="H7" s="268" t="n"/>
      <c r="I7" s="390" t="n"/>
      <c r="J7" s="268" t="n"/>
      <c r="K7" s="268" t="n"/>
    </row>
    <row r="8" ht="21" customHeight="1" s="524">
      <c r="B8" s="270" t="inlineStr">
        <is>
          <t>Województwo/Towar</t>
        </is>
      </c>
      <c r="C8" s="591" t="inlineStr">
        <is>
          <t>Mazowieckie</t>
        </is>
      </c>
      <c r="D8" s="605" t="n"/>
      <c r="E8" s="606" t="n"/>
      <c r="F8" s="592" t="inlineStr">
        <is>
          <t>Świętokrzyskie</t>
        </is>
      </c>
      <c r="G8" s="607" t="n"/>
      <c r="H8" s="608" t="n"/>
      <c r="I8" s="592" t="inlineStr">
        <is>
          <t>Wielkopolskie</t>
        </is>
      </c>
      <c r="J8" s="607" t="n"/>
      <c r="K8" s="608" t="n"/>
    </row>
    <row r="9" ht="60" customHeight="1" s="524">
      <c r="B9" s="274" t="n"/>
      <c r="C9" s="271" t="inlineStr">
        <is>
          <t>17.08 - 23.08.2026r. cena w zł/kg (szt*)</t>
        </is>
      </c>
      <c r="D9" s="271" t="inlineStr">
        <is>
          <t>20.07 - 26.07.2026r. cena w zł/kg (szt*)</t>
        </is>
      </c>
      <c r="E9" s="272" t="inlineStr">
        <is>
          <t>tygodniowa zmiana ceny w %</t>
        </is>
      </c>
      <c r="F9" s="271" t="inlineStr">
        <is>
          <t>17.08 - 23.08.2026r. cena w zł/kg (szt*)</t>
        </is>
      </c>
      <c r="G9" s="271" t="inlineStr">
        <is>
          <t>20.07 - 26.07.2026r. cena w zł/kg (szt*)</t>
        </is>
      </c>
      <c r="H9" s="272" t="inlineStr">
        <is>
          <t>tygodniowa zmiana ceny w %</t>
        </is>
      </c>
      <c r="I9" s="271" t="inlineStr">
        <is>
          <t>17.08 - 23.08.2026r. cena w zł/kg (szt*)</t>
        </is>
      </c>
      <c r="J9" s="271" t="inlineStr">
        <is>
          <t>20.07 - 26.07.2026r. cena w zł/kg (szt*)</t>
        </is>
      </c>
      <c r="K9" s="276" t="inlineStr">
        <is>
          <t>tygodniowa zmiana ceny w %</t>
        </is>
      </c>
      <c r="N9" s="285" t="n"/>
    </row>
    <row r="10" ht="30" customHeight="1" s="524">
      <c r="B10" s="277" t="inlineStr">
        <is>
          <t>Jabłka (op.5-20 kg) Golden delicious (70/80mm)</t>
        </is>
      </c>
      <c r="C10" s="273" t="inlineStr">
        <is>
          <t>--</t>
        </is>
      </c>
      <c r="D10" s="273" t="inlineStr">
        <is>
          <t>--</t>
        </is>
      </c>
      <c r="E10" s="287">
        <f>((C10-D10)/D10)*100</f>
        <v/>
      </c>
      <c r="F10" s="273" t="n"/>
      <c r="G10" s="273" t="n"/>
      <c r="H10" s="287" t="inlineStr">
        <is>
          <t>--</t>
        </is>
      </c>
      <c r="I10" s="273" t="inlineStr">
        <is>
          <t>--</t>
        </is>
      </c>
      <c r="J10" s="273" t="inlineStr">
        <is>
          <t>--</t>
        </is>
      </c>
      <c r="K10" s="288" t="inlineStr">
        <is>
          <t>--</t>
        </is>
      </c>
    </row>
    <row r="11" ht="30" customHeight="1" s="524">
      <c r="B11" s="277" t="inlineStr">
        <is>
          <t>Jabłka (op.5-20 kg) Jonagold+Jonagored (70/80mm)</t>
        </is>
      </c>
      <c r="C11" s="273" t="inlineStr">
        <is>
          <t>--</t>
        </is>
      </c>
      <c r="D11" s="273" t="inlineStr">
        <is>
          <t>--</t>
        </is>
      </c>
      <c r="E11" s="287" t="inlineStr">
        <is>
          <t>--</t>
        </is>
      </c>
      <c r="F11" s="273" t="n"/>
      <c r="G11" s="273" t="inlineStr">
        <is>
          <t>--</t>
        </is>
      </c>
      <c r="H11" s="287" t="inlineStr">
        <is>
          <t>--</t>
        </is>
      </c>
      <c r="I11" s="273" t="inlineStr">
        <is>
          <t>--</t>
        </is>
      </c>
      <c r="J11" s="273" t="inlineStr">
        <is>
          <t>--</t>
        </is>
      </c>
      <c r="K11" s="288" t="inlineStr">
        <is>
          <t>--</t>
        </is>
      </c>
      <c r="N11" s="254" t="n"/>
    </row>
    <row r="12" ht="20.15" customHeight="1" s="524">
      <c r="B12" s="277" t="inlineStr">
        <is>
          <t>Jabłka (op.5-20 kg) Idared (70/80mm)</t>
        </is>
      </c>
      <c r="C12" s="273" t="inlineStr">
        <is>
          <t>--</t>
        </is>
      </c>
      <c r="D12" s="273" t="inlineStr">
        <is>
          <t>--</t>
        </is>
      </c>
      <c r="E12" s="287">
        <f>((C12-D12)/D12)*100</f>
        <v/>
      </c>
      <c r="F12" s="273" t="n"/>
      <c r="G12" s="273" t="inlineStr">
        <is>
          <t>--</t>
        </is>
      </c>
      <c r="H12" s="287" t="inlineStr">
        <is>
          <t>--</t>
        </is>
      </c>
      <c r="I12" s="273" t="inlineStr">
        <is>
          <t>--</t>
        </is>
      </c>
      <c r="J12" s="273" t="inlineStr">
        <is>
          <t>--</t>
        </is>
      </c>
      <c r="K12" s="288" t="inlineStr">
        <is>
          <t>--</t>
        </is>
      </c>
    </row>
    <row r="13" ht="20.15" customHeight="1" s="524">
      <c r="B13" s="277" t="inlineStr">
        <is>
          <t>Jabłka (op.5-20 kg) Shampion (70/80mm)</t>
        </is>
      </c>
      <c r="C13" s="273" t="inlineStr">
        <is>
          <t>--</t>
        </is>
      </c>
      <c r="D13" s="273" t="inlineStr">
        <is>
          <t>--</t>
        </is>
      </c>
      <c r="E13" s="287">
        <f>((C13-D13)/D13)*100</f>
        <v/>
      </c>
      <c r="F13" s="273" t="n">
        <v>1.7</v>
      </c>
      <c r="G13" s="273" t="inlineStr">
        <is>
          <t>--</t>
        </is>
      </c>
      <c r="H13" s="289" t="inlineStr">
        <is>
          <t>--</t>
        </is>
      </c>
      <c r="I13" s="273" t="inlineStr">
        <is>
          <t>--</t>
        </is>
      </c>
      <c r="J13" s="273" t="inlineStr">
        <is>
          <t>--</t>
        </is>
      </c>
      <c r="K13" s="288" t="inlineStr">
        <is>
          <t>--</t>
        </is>
      </c>
    </row>
    <row r="14" ht="20.15" customHeight="1" s="524">
      <c r="B14" s="277" t="inlineStr">
        <is>
          <t>Jabłka (op.5-20 kg) Boskoop (70/80mm)</t>
        </is>
      </c>
      <c r="C14" s="273" t="inlineStr">
        <is>
          <t>--</t>
        </is>
      </c>
      <c r="D14" s="273" t="inlineStr">
        <is>
          <t>--</t>
        </is>
      </c>
      <c r="E14" s="287" t="inlineStr">
        <is>
          <t>--</t>
        </is>
      </c>
      <c r="F14" s="273" t="n">
        <v>2</v>
      </c>
      <c r="G14" s="273" t="inlineStr">
        <is>
          <t>--</t>
        </is>
      </c>
      <c r="H14" s="287" t="inlineStr">
        <is>
          <t>--</t>
        </is>
      </c>
      <c r="I14" s="273" t="inlineStr">
        <is>
          <t>--</t>
        </is>
      </c>
      <c r="J14" s="273" t="inlineStr">
        <is>
          <t>--</t>
        </is>
      </c>
      <c r="K14" s="288" t="inlineStr">
        <is>
          <t>--</t>
        </is>
      </c>
    </row>
    <row r="15" ht="20.15" customHeight="1" s="524">
      <c r="B15" s="277" t="inlineStr">
        <is>
          <t>Jabłka (op.5-20 kg) Gala (65/70mm)</t>
        </is>
      </c>
      <c r="C15" s="273" t="inlineStr">
        <is>
          <t>--</t>
        </is>
      </c>
      <c r="D15" s="273" t="inlineStr">
        <is>
          <t>--</t>
        </is>
      </c>
      <c r="E15" s="287" t="inlineStr">
        <is>
          <t>--</t>
        </is>
      </c>
      <c r="F15" s="273" t="n"/>
      <c r="G15" s="273" t="inlineStr">
        <is>
          <t>--</t>
        </is>
      </c>
      <c r="H15" s="287" t="inlineStr">
        <is>
          <t>--</t>
        </is>
      </c>
      <c r="I15" s="273" t="inlineStr">
        <is>
          <t>--</t>
        </is>
      </c>
      <c r="J15" s="273" t="inlineStr">
        <is>
          <t>--</t>
        </is>
      </c>
      <c r="K15" s="288" t="inlineStr">
        <is>
          <t>--</t>
        </is>
      </c>
    </row>
    <row r="16" ht="20.15" customHeight="1" s="524">
      <c r="B16" s="277" t="inlineStr">
        <is>
          <t>Gruszki (op.5-20 kg) Lukasówka (65/70 mm)</t>
        </is>
      </c>
      <c r="C16" s="273" t="n">
        <v>3.45</v>
      </c>
      <c r="D16" s="273" t="inlineStr">
        <is>
          <t>--</t>
        </is>
      </c>
      <c r="E16" s="287">
        <f>((C16-D16)/D16)*100</f>
        <v/>
      </c>
      <c r="F16" s="273" t="n">
        <v>2.5</v>
      </c>
      <c r="G16" s="273" t="inlineStr">
        <is>
          <t>--</t>
        </is>
      </c>
      <c r="H16" s="287" t="inlineStr">
        <is>
          <t>--</t>
        </is>
      </c>
      <c r="I16" s="273" t="inlineStr">
        <is>
          <t>--</t>
        </is>
      </c>
      <c r="J16" s="273" t="inlineStr">
        <is>
          <t>--</t>
        </is>
      </c>
      <c r="K16" s="288" t="inlineStr">
        <is>
          <t>--</t>
        </is>
      </c>
    </row>
    <row r="17" ht="20.15" customHeight="1" s="524">
      <c r="B17" s="277" t="inlineStr">
        <is>
          <t>Cebula żółta 40-80 mm; op.5-25 kg</t>
        </is>
      </c>
      <c r="C17" s="273" t="inlineStr">
        <is>
          <t>--</t>
        </is>
      </c>
      <c r="D17" s="273" t="inlineStr">
        <is>
          <t>--</t>
        </is>
      </c>
      <c r="E17" s="287" t="inlineStr">
        <is>
          <t>--</t>
        </is>
      </c>
      <c r="F17" s="273" t="n"/>
      <c r="G17" s="273" t="inlineStr">
        <is>
          <t>--</t>
        </is>
      </c>
      <c r="H17" s="287" t="inlineStr">
        <is>
          <t>--</t>
        </is>
      </c>
      <c r="I17" s="273" t="inlineStr">
        <is>
          <t>--</t>
        </is>
      </c>
      <c r="J17" s="273" t="inlineStr">
        <is>
          <t>--</t>
        </is>
      </c>
      <c r="K17" s="288" t="inlineStr">
        <is>
          <t>--</t>
        </is>
      </c>
    </row>
    <row r="18" ht="20.15" customHeight="1" s="524">
      <c r="B18" s="277" t="inlineStr">
        <is>
          <t>Cebula biała 40-80 mm op.5-25 kg</t>
        </is>
      </c>
      <c r="C18" s="273" t="n">
        <v>1.48</v>
      </c>
      <c r="D18" s="273" t="inlineStr">
        <is>
          <t>--</t>
        </is>
      </c>
      <c r="E18" s="287">
        <f>((C18-D18)/D18)*100</f>
        <v/>
      </c>
      <c r="F18" s="273" t="n"/>
      <c r="G18" s="273" t="inlineStr">
        <is>
          <t>--</t>
        </is>
      </c>
      <c r="H18" s="287" t="inlineStr">
        <is>
          <t>--</t>
        </is>
      </c>
      <c r="I18" s="273" t="n">
        <v>1.2</v>
      </c>
      <c r="J18" s="273" t="inlineStr">
        <is>
          <t>--</t>
        </is>
      </c>
      <c r="K18" s="288" t="inlineStr">
        <is>
          <t>--</t>
        </is>
      </c>
    </row>
    <row r="19" ht="20.25" customHeight="1" s="524">
      <c r="B19" s="277" t="inlineStr">
        <is>
          <t>Marchew wszystkie odmiany pakowane luzem</t>
        </is>
      </c>
      <c r="C19" s="273" t="n">
        <v>1.3</v>
      </c>
      <c r="D19" s="273" t="inlineStr">
        <is>
          <t>--</t>
        </is>
      </c>
      <c r="E19" s="287">
        <f>((C19-D19)/D19)*100</f>
        <v/>
      </c>
      <c r="F19" s="273" t="n"/>
      <c r="G19" s="273" t="inlineStr">
        <is>
          <t>--</t>
        </is>
      </c>
      <c r="H19" s="287" t="inlineStr">
        <is>
          <t>--</t>
        </is>
      </c>
      <c r="I19" s="273" t="n">
        <v>1.2</v>
      </c>
      <c r="J19" s="273" t="inlineStr">
        <is>
          <t>--</t>
        </is>
      </c>
      <c r="K19" s="288" t="inlineStr">
        <is>
          <t>--</t>
        </is>
      </c>
    </row>
    <row r="20" ht="20.15" customHeight="1" s="524">
      <c r="B20" s="277" t="inlineStr">
        <is>
          <t>Pietruszka korzeń op. 10 kg</t>
        </is>
      </c>
      <c r="C20" s="273" t="inlineStr">
        <is>
          <t>--</t>
        </is>
      </c>
      <c r="D20" s="273" t="inlineStr">
        <is>
          <t>--</t>
        </is>
      </c>
      <c r="E20" s="287" t="inlineStr">
        <is>
          <t>--</t>
        </is>
      </c>
      <c r="F20" s="273" t="n"/>
      <c r="G20" s="273" t="inlineStr">
        <is>
          <t>--</t>
        </is>
      </c>
      <c r="H20" s="287" t="inlineStr">
        <is>
          <t>--</t>
        </is>
      </c>
      <c r="I20" s="273" t="n">
        <v>3</v>
      </c>
      <c r="J20" s="273" t="inlineStr">
        <is>
          <t>--</t>
        </is>
      </c>
      <c r="K20" s="288" t="inlineStr">
        <is>
          <t>--</t>
        </is>
      </c>
    </row>
    <row r="21" ht="20.15" customHeight="1" s="524">
      <c r="B21" s="277" t="inlineStr">
        <is>
          <t>Pomidory, typ okrągły; op. 5-6-kg</t>
        </is>
      </c>
      <c r="C21" s="273" t="n">
        <v>4.5</v>
      </c>
      <c r="D21" s="273" t="inlineStr">
        <is>
          <t>--</t>
        </is>
      </c>
      <c r="E21" s="287">
        <f>((C21-D21)/D21)*100</f>
        <v/>
      </c>
      <c r="F21" s="273" t="n"/>
      <c r="G21" s="273" t="inlineStr">
        <is>
          <t>--</t>
        </is>
      </c>
      <c r="H21" s="287" t="inlineStr">
        <is>
          <t>--</t>
        </is>
      </c>
      <c r="I21" s="273" t="n">
        <v>4.922745538104259</v>
      </c>
      <c r="J21" s="273" t="inlineStr">
        <is>
          <t>--</t>
        </is>
      </c>
      <c r="K21" s="288">
        <f>((I21-J21)/J21)*100</f>
        <v/>
      </c>
    </row>
    <row r="22" ht="20.15" customHeight="1" s="524">
      <c r="B22" s="277" t="inlineStr">
        <is>
          <t>Ogórki, typ gładkie; op. 5-6 kg</t>
        </is>
      </c>
      <c r="C22" s="273" t="n">
        <v>4.04</v>
      </c>
      <c r="D22" s="273" t="inlineStr">
        <is>
          <t>--</t>
        </is>
      </c>
      <c r="E22" s="287">
        <f>((C22-D22)/D22)*100</f>
        <v/>
      </c>
      <c r="F22" s="273" t="n">
        <v>2.5</v>
      </c>
      <c r="G22" s="273" t="inlineStr">
        <is>
          <t>--</t>
        </is>
      </c>
      <c r="H22" s="287">
        <f>((F22-G22)/G22)*100</f>
        <v/>
      </c>
      <c r="I22" s="273" t="n">
        <v>2.135717485919099</v>
      </c>
      <c r="J22" s="273" t="inlineStr">
        <is>
          <t>--</t>
        </is>
      </c>
      <c r="K22" s="288" t="inlineStr">
        <is>
          <t>--</t>
        </is>
      </c>
      <c r="N22" s="255" t="n"/>
    </row>
    <row r="23" ht="20.15" customHeight="1" s="524">
      <c r="B23" s="277" t="inlineStr">
        <is>
          <t>Seler</t>
        </is>
      </c>
      <c r="C23" s="273" t="inlineStr">
        <is>
          <t>--</t>
        </is>
      </c>
      <c r="D23" s="273" t="inlineStr">
        <is>
          <t>--</t>
        </is>
      </c>
      <c r="E23" s="290" t="inlineStr">
        <is>
          <t>--</t>
        </is>
      </c>
      <c r="F23" s="273" t="n"/>
      <c r="G23" s="273" t="inlineStr">
        <is>
          <t>--</t>
        </is>
      </c>
      <c r="H23" s="287" t="inlineStr">
        <is>
          <t>--</t>
        </is>
      </c>
      <c r="I23" s="273" t="n">
        <v>2.500304761904762</v>
      </c>
      <c r="J23" s="273" t="inlineStr">
        <is>
          <t>--</t>
        </is>
      </c>
      <c r="K23" s="288" t="inlineStr">
        <is>
          <t>--</t>
        </is>
      </c>
    </row>
    <row r="24" ht="20.15" customHeight="1" s="524">
      <c r="B24" s="277" t="inlineStr">
        <is>
          <t>Sałata masłowa za główkę</t>
        </is>
      </c>
      <c r="C24" s="273" t="inlineStr">
        <is>
          <t>--</t>
        </is>
      </c>
      <c r="D24" s="273" t="inlineStr">
        <is>
          <t>--</t>
        </is>
      </c>
      <c r="E24" s="290" t="inlineStr">
        <is>
          <t>--</t>
        </is>
      </c>
      <c r="F24" s="273" t="n"/>
      <c r="G24" s="273" t="inlineStr">
        <is>
          <t>--</t>
        </is>
      </c>
      <c r="H24" s="287" t="inlineStr">
        <is>
          <t>--</t>
        </is>
      </c>
      <c r="I24" s="273" t="inlineStr">
        <is>
          <t>--</t>
        </is>
      </c>
      <c r="J24" s="273" t="inlineStr">
        <is>
          <t>--</t>
        </is>
      </c>
      <c r="K24" s="288" t="inlineStr">
        <is>
          <t>--</t>
        </is>
      </c>
    </row>
    <row r="25" ht="20.15" customHeight="1" s="524">
      <c r="B25" s="277" t="inlineStr">
        <is>
          <t>Szparagi biało/fioletowe &gt;16mm</t>
        </is>
      </c>
      <c r="C25" s="273" t="inlineStr">
        <is>
          <t>--</t>
        </is>
      </c>
      <c r="D25" s="273" t="inlineStr">
        <is>
          <t>--</t>
        </is>
      </c>
      <c r="E25" s="290" t="inlineStr">
        <is>
          <t>--</t>
        </is>
      </c>
      <c r="F25" s="273" t="n"/>
      <c r="G25" s="273" t="inlineStr">
        <is>
          <t>--</t>
        </is>
      </c>
      <c r="H25" s="289" t="inlineStr">
        <is>
          <t>--</t>
        </is>
      </c>
      <c r="I25" s="273" t="inlineStr">
        <is>
          <t>--</t>
        </is>
      </c>
      <c r="J25" s="273" t="inlineStr">
        <is>
          <t>--</t>
        </is>
      </c>
      <c r="K25" s="288" t="inlineStr">
        <is>
          <t>--</t>
        </is>
      </c>
    </row>
    <row r="26" ht="20.15" customHeight="1" s="524">
      <c r="B26" s="277" t="inlineStr">
        <is>
          <t>Burak ćwikłowy op. 10-15 kg</t>
        </is>
      </c>
      <c r="C26" s="273" t="inlineStr">
        <is>
          <t>--</t>
        </is>
      </c>
      <c r="D26" s="273" t="inlineStr">
        <is>
          <t>--</t>
        </is>
      </c>
      <c r="E26" s="290" t="inlineStr">
        <is>
          <t>--</t>
        </is>
      </c>
      <c r="F26" s="273" t="n"/>
      <c r="G26" s="273" t="inlineStr">
        <is>
          <t>--</t>
        </is>
      </c>
      <c r="H26" s="289" t="inlineStr">
        <is>
          <t>--</t>
        </is>
      </c>
      <c r="I26" s="273" t="n">
        <v>0.9000000000000001</v>
      </c>
      <c r="J26" s="273" t="inlineStr">
        <is>
          <t>--</t>
        </is>
      </c>
      <c r="K26" s="288" t="inlineStr">
        <is>
          <t>--</t>
        </is>
      </c>
    </row>
    <row r="27" ht="20.15" customHeight="1" s="524">
      <c r="B27" s="277" t="inlineStr">
        <is>
          <t>Kalafiory 12-20 cm</t>
        </is>
      </c>
      <c r="C27" s="273" t="inlineStr">
        <is>
          <t>--</t>
        </is>
      </c>
      <c r="D27" s="273" t="inlineStr">
        <is>
          <t>--</t>
        </is>
      </c>
      <c r="E27" s="290" t="inlineStr">
        <is>
          <t>--</t>
        </is>
      </c>
      <c r="F27" s="273" t="n">
        <v>4</v>
      </c>
      <c r="G27" s="273" t="inlineStr">
        <is>
          <t>--</t>
        </is>
      </c>
      <c r="H27" s="289">
        <f>((F27-G27)/G27)*100</f>
        <v/>
      </c>
      <c r="I27" s="273" t="n">
        <v>5</v>
      </c>
      <c r="J27" s="273" t="inlineStr">
        <is>
          <t>--</t>
        </is>
      </c>
      <c r="K27" s="288">
        <f>((I27-J27)/J27)*100</f>
        <v/>
      </c>
    </row>
    <row r="28" ht="20.15" customHeight="1" s="524">
      <c r="B28" s="277" t="inlineStr">
        <is>
          <t>Kapusta biała zł/kg</t>
        </is>
      </c>
      <c r="C28" s="273" t="inlineStr">
        <is>
          <t>--</t>
        </is>
      </c>
      <c r="D28" s="273" t="inlineStr">
        <is>
          <t>--</t>
        </is>
      </c>
      <c r="E28" s="290" t="inlineStr">
        <is>
          <t>--</t>
        </is>
      </c>
      <c r="F28" s="273" t="n"/>
      <c r="G28" s="273" t="inlineStr">
        <is>
          <t>--</t>
        </is>
      </c>
      <c r="H28" s="289" t="inlineStr">
        <is>
          <t>--</t>
        </is>
      </c>
      <c r="I28" s="273" t="n">
        <v>1.02</v>
      </c>
      <c r="J28" s="273" t="inlineStr">
        <is>
          <t>--</t>
        </is>
      </c>
      <c r="K28" s="288" t="inlineStr">
        <is>
          <t>--</t>
        </is>
      </c>
    </row>
    <row r="29" ht="20.15" customHeight="1" s="524">
      <c r="B29" s="277" t="inlineStr">
        <is>
          <t>Rzodkiewka za pęczek 1 szt</t>
        </is>
      </c>
      <c r="C29" s="273" t="inlineStr">
        <is>
          <t>--</t>
        </is>
      </c>
      <c r="D29" s="273" t="inlineStr">
        <is>
          <t>--</t>
        </is>
      </c>
      <c r="E29" s="290" t="inlineStr">
        <is>
          <t>--</t>
        </is>
      </c>
      <c r="F29" s="273" t="n"/>
      <c r="G29" s="273" t="inlineStr">
        <is>
          <t>--</t>
        </is>
      </c>
      <c r="H29" s="289" t="inlineStr">
        <is>
          <t>--</t>
        </is>
      </c>
      <c r="I29" s="273" t="inlineStr">
        <is>
          <t>--</t>
        </is>
      </c>
      <c r="J29" s="273" t="inlineStr">
        <is>
          <t>--</t>
        </is>
      </c>
      <c r="K29" s="288" t="inlineStr">
        <is>
          <t>--</t>
        </is>
      </c>
    </row>
    <row r="30" ht="20.15" customHeight="1" s="524">
      <c r="B30" s="277" t="inlineStr">
        <is>
          <t>Ziemniaki  (op. 15 kg)</t>
        </is>
      </c>
      <c r="C30" s="273" t="n">
        <v>1.11</v>
      </c>
      <c r="D30" s="273" t="inlineStr">
        <is>
          <t>--</t>
        </is>
      </c>
      <c r="E30" s="290">
        <f>((C30-D30)/D30)*100</f>
        <v/>
      </c>
      <c r="F30" s="273" t="n">
        <v>0.7</v>
      </c>
      <c r="G30" s="273" t="inlineStr">
        <is>
          <t>--</t>
        </is>
      </c>
      <c r="H30" s="289" t="inlineStr">
        <is>
          <t>--</t>
        </is>
      </c>
      <c r="I30" s="273" t="inlineStr">
        <is>
          <t>--</t>
        </is>
      </c>
      <c r="J30" s="273" t="inlineStr">
        <is>
          <t>--</t>
        </is>
      </c>
      <c r="K30" s="288" t="inlineStr">
        <is>
          <t>--</t>
        </is>
      </c>
    </row>
    <row r="31" ht="20.15" customHeight="1" s="524">
      <c r="B31" s="278" t="inlineStr">
        <is>
          <t>Pieczarki 30-65 mm</t>
        </is>
      </c>
      <c r="C31" s="275" t="inlineStr">
        <is>
          <t>--</t>
        </is>
      </c>
      <c r="D31" s="275" t="inlineStr">
        <is>
          <t>--</t>
        </is>
      </c>
      <c r="E31" s="291" t="inlineStr">
        <is>
          <t>--</t>
        </is>
      </c>
      <c r="F31" s="275" t="n">
        <v>11.35</v>
      </c>
      <c r="G31" s="275" t="inlineStr">
        <is>
          <t>--</t>
        </is>
      </c>
      <c r="H31" s="292" t="inlineStr">
        <is>
          <t>--</t>
        </is>
      </c>
      <c r="I31" s="275" t="n">
        <v>10</v>
      </c>
      <c r="J31" s="275" t="inlineStr">
        <is>
          <t>--</t>
        </is>
      </c>
      <c r="K31" s="293">
        <f>((I31-J31)/J31)*100</f>
        <v/>
      </c>
    </row>
    <row r="32">
      <c r="H32" s="284" t="n"/>
      <c r="I32" s="269" t="n"/>
      <c r="J32" s="269" t="n"/>
    </row>
  </sheetData>
  <mergeCells count="9">
    <mergeCell ref="C2:K2"/>
    <mergeCell ref="C1:K1"/>
    <mergeCell ref="C5:K5"/>
    <mergeCell ref="C8:E8"/>
    <mergeCell ref="I8:K8"/>
    <mergeCell ref="F8:H8"/>
    <mergeCell ref="C3:K3"/>
    <mergeCell ref="B6:K6"/>
    <mergeCell ref="C4:K4"/>
  </mergeCells>
  <conditionalFormatting sqref="E10:E24">
    <cfRule type="cellIs" priority="4" operator="equal" dxfId="12">
      <formula>0</formula>
    </cfRule>
  </conditionalFormatting>
  <conditionalFormatting sqref="E10:E31">
    <cfRule type="cellIs" priority="3" operator="greaterThan" dxfId="13">
      <formula>0</formula>
    </cfRule>
  </conditionalFormatting>
  <conditionalFormatting sqref="E25:E31">
    <cfRule type="cellIs" priority="8" operator="equal" dxfId="20">
      <formula>0</formula>
    </cfRule>
    <cfRule type="cellIs" priority="9" operator="lessThan" dxfId="19">
      <formula>0</formula>
    </cfRule>
    <cfRule type="cellIs" priority="10" operator="greaterThan" dxfId="14">
      <formula>0</formula>
    </cfRule>
    <cfRule type="cellIs" priority="11" operator="equal" dxfId="12">
      <formula>0</formula>
    </cfRule>
  </conditionalFormatting>
  <conditionalFormatting sqref="H10:H31">
    <cfRule type="cellIs" priority="6" operator="greaterThan" dxfId="13">
      <formula>0</formula>
    </cfRule>
    <cfRule type="cellIs" priority="7" operator="equal" dxfId="12">
      <formula>0</formula>
    </cfRule>
  </conditionalFormatting>
  <conditionalFormatting sqref="H30:H31">
    <cfRule type="cellIs" priority="5" operator="greaterThan" dxfId="14">
      <formula>0</formula>
    </cfRule>
  </conditionalFormatting>
  <conditionalFormatting sqref="K10:K31">
    <cfRule type="cellIs" priority="1" operator="greaterThan" dxfId="13">
      <formula>0</formula>
    </cfRule>
    <cfRule type="cellIs" priority="2" operator="equal" dxfId="12">
      <formula>0</formula>
    </cfRule>
  </conditionalFormatting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 codeName="Arkusz13">
    <tabColor theme="9" tint="0.5999938962981048"/>
    <outlinePr summaryBelow="1" summaryRight="1"/>
    <pageSetUpPr/>
  </sheetPr>
  <dimension ref="A2:P32"/>
  <sheetViews>
    <sheetView showGridLines="0" showZeros="0" zoomScale="80" zoomScaleNormal="80" workbookViewId="0">
      <selection activeCell="O9" sqref="O9"/>
    </sheetView>
  </sheetViews>
  <sheetFormatPr baseColWidth="8" defaultColWidth="8.7265625" defaultRowHeight="12.5"/>
  <cols>
    <col width="10.7265625" customWidth="1" style="7" min="1" max="1"/>
    <col width="5.453125" bestFit="1" customWidth="1" style="7" min="2" max="2"/>
    <col width="58.54296875" bestFit="1" customWidth="1" style="7" min="3" max="3"/>
    <col width="11.54296875" customWidth="1" style="7" min="4" max="13"/>
    <col width="8.7265625" customWidth="1" style="7" min="14" max="16384"/>
  </cols>
  <sheetData>
    <row r="2" ht="25" customFormat="1" customHeight="1" s="29">
      <c r="B2" s="53" t="n"/>
      <c r="D2" s="30" t="n"/>
      <c r="H2" s="31" t="n"/>
      <c r="I2" s="32" t="n"/>
    </row>
    <row r="3" ht="25" customHeight="1" s="524">
      <c r="A3" s="33" t="n"/>
      <c r="B3" s="34" t="n"/>
      <c r="C3" s="35" t="n"/>
      <c r="D3" s="35" t="n"/>
      <c r="E3" s="35" t="n"/>
      <c r="F3" s="35" t="n"/>
      <c r="G3" s="35" t="n"/>
      <c r="H3" s="36" t="n"/>
      <c r="I3" s="36" t="n"/>
      <c r="J3" s="36" t="n"/>
      <c r="K3" s="29" t="n"/>
      <c r="L3" s="36" t="n"/>
    </row>
    <row r="4" ht="25" customHeight="1" s="524" thickBot="1">
      <c r="B4" s="37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P4" s="29" t="n"/>
    </row>
    <row r="5" ht="25" customHeight="1" s="524" thickBot="1" thickTop="1">
      <c r="B5" s="46" t="n"/>
      <c r="C5" s="47" t="n"/>
      <c r="D5" s="48" t="n"/>
      <c r="E5" s="92" t="n"/>
      <c r="F5" s="50" t="n"/>
      <c r="G5" s="93" t="n"/>
      <c r="H5" s="50" t="n"/>
      <c r="I5" s="51" t="n"/>
      <c r="J5" s="29" t="n"/>
      <c r="K5" s="52" t="n"/>
      <c r="L5" s="36" t="n"/>
      <c r="O5" s="29" t="n"/>
    </row>
    <row r="6" ht="20.15" customHeight="1" s="524">
      <c r="B6" s="173" t="n"/>
      <c r="C6" s="170" t="n"/>
      <c r="D6" s="166" t="inlineStr">
        <is>
          <t>EKSPORT/WYWÓZ</t>
        </is>
      </c>
      <c r="E6" s="166" t="n"/>
      <c r="F6" s="166" t="n"/>
      <c r="G6" s="167" t="n"/>
      <c r="H6" s="166" t="inlineStr">
        <is>
          <t>IMPORT/PRZYWÓZ</t>
        </is>
      </c>
      <c r="I6" s="166" t="n"/>
      <c r="J6" s="166" t="n"/>
      <c r="K6" s="167" t="n"/>
      <c r="L6" s="166" t="inlineStr">
        <is>
          <t>SALDO</t>
        </is>
      </c>
      <c r="M6" s="177" t="n"/>
    </row>
    <row r="7" ht="20.15" customHeight="1" s="524">
      <c r="B7" s="174" t="inlineStr">
        <is>
          <t>CN</t>
        </is>
      </c>
      <c r="C7" s="171" t="inlineStr">
        <is>
          <t>Nazwa towaru</t>
        </is>
      </c>
      <c r="D7" s="168" t="inlineStr">
        <is>
          <t>Wartość [tys. EUR]</t>
        </is>
      </c>
      <c r="E7" s="168" t="n"/>
      <c r="F7" s="168" t="inlineStr">
        <is>
          <t>Wolumen [tony]</t>
        </is>
      </c>
      <c r="G7" s="169" t="n"/>
      <c r="H7" s="168" t="inlineStr">
        <is>
          <t>Wartość [tys. EUR]</t>
        </is>
      </c>
      <c r="I7" s="168" t="n"/>
      <c r="J7" s="168" t="inlineStr">
        <is>
          <t>Wolumen [tony]</t>
        </is>
      </c>
      <c r="K7" s="169" t="n"/>
      <c r="L7" s="168" t="inlineStr">
        <is>
          <t>Wartość [tys. EUR]</t>
        </is>
      </c>
      <c r="M7" s="178" t="n"/>
    </row>
    <row r="8" ht="20.15" customHeight="1" s="524" thickBot="1">
      <c r="B8" s="175" t="n"/>
      <c r="C8" s="172" t="n"/>
      <c r="D8" s="377" t="inlineStr">
        <is>
          <t>I-XII 2024r.</t>
        </is>
      </c>
      <c r="E8" s="378" t="inlineStr">
        <is>
          <t>I-XII 2025r.*</t>
        </is>
      </c>
      <c r="F8" s="377" t="inlineStr">
        <is>
          <t>I-XII 2024r.</t>
        </is>
      </c>
      <c r="G8" s="378" t="inlineStr">
        <is>
          <t>I-XII 2025r.*</t>
        </is>
      </c>
      <c r="H8" s="377" t="inlineStr">
        <is>
          <t>I-XII 2024r.</t>
        </is>
      </c>
      <c r="I8" s="378" t="inlineStr">
        <is>
          <t>I-XII 2025r.*</t>
        </is>
      </c>
      <c r="J8" s="377" t="inlineStr">
        <is>
          <t>I-XII 2024r.</t>
        </is>
      </c>
      <c r="K8" s="378" t="inlineStr">
        <is>
          <t>I-XII 2025r.*</t>
        </is>
      </c>
      <c r="L8" s="377" t="inlineStr">
        <is>
          <t>I-XII 2024r.</t>
        </is>
      </c>
      <c r="M8" s="379" t="inlineStr">
        <is>
          <t>I-XII 2025r.*</t>
        </is>
      </c>
    </row>
    <row r="9" ht="20.15" customHeight="1" s="524">
      <c r="B9" s="176" t="inlineStr">
        <is>
          <t>0701</t>
        </is>
      </c>
      <c r="C9" s="162" t="inlineStr">
        <is>
          <t>Ziemniaki, świeże lub chłodzone</t>
        </is>
      </c>
      <c r="D9" s="163" t="n">
        <v>46460.788</v>
      </c>
      <c r="E9" s="164" t="n">
        <v>47534.142</v>
      </c>
      <c r="F9" s="163" t="n">
        <v>119743.264</v>
      </c>
      <c r="G9" s="165" t="n">
        <v>160663.391</v>
      </c>
      <c r="H9" s="163" t="n">
        <v>63341.138</v>
      </c>
      <c r="I9" s="164" t="n">
        <v>68038.95600000001</v>
      </c>
      <c r="J9" s="163" t="n">
        <v>157064.051</v>
      </c>
      <c r="K9" s="165" t="n">
        <v>179710.182</v>
      </c>
      <c r="L9" s="163" t="n">
        <v>-16880.35</v>
      </c>
      <c r="M9" s="179" t="n">
        <v>-20504.81400000001</v>
      </c>
    </row>
    <row r="10" ht="20.15" customHeight="1" s="524">
      <c r="B10" s="176" t="inlineStr">
        <is>
          <t>0702</t>
        </is>
      </c>
      <c r="C10" s="162" t="inlineStr">
        <is>
          <t>Pomidory świeże lub chłodzone</t>
        </is>
      </c>
      <c r="D10" s="163" t="n">
        <v>118770.49</v>
      </c>
      <c r="E10" s="164" t="n">
        <v>127718.806</v>
      </c>
      <c r="F10" s="163" t="n">
        <v>78265.073</v>
      </c>
      <c r="G10" s="165" t="n">
        <v>80423.129</v>
      </c>
      <c r="H10" s="163" t="n">
        <v>420922.978</v>
      </c>
      <c r="I10" s="164" t="n">
        <v>440881.68</v>
      </c>
      <c r="J10" s="163" t="n">
        <v>246260.812</v>
      </c>
      <c r="K10" s="165" t="n">
        <v>237223.773</v>
      </c>
      <c r="L10" s="163" t="n">
        <v>-302152.488</v>
      </c>
      <c r="M10" s="179" t="n">
        <v>-313162.874</v>
      </c>
    </row>
    <row r="11" ht="20.15" customHeight="1" s="524">
      <c r="B11" s="176" t="inlineStr">
        <is>
          <t>0703</t>
        </is>
      </c>
      <c r="C11" s="162" t="inlineStr">
        <is>
          <t>Cebula, szalotka, czosnek, pory oraz inne warzywa</t>
        </is>
      </c>
      <c r="D11" s="163" t="n">
        <v>129088.629</v>
      </c>
      <c r="E11" s="164" t="n">
        <v>114533.353</v>
      </c>
      <c r="F11" s="163" t="n">
        <v>170182.022</v>
      </c>
      <c r="G11" s="165" t="n">
        <v>161761.06</v>
      </c>
      <c r="H11" s="163" t="n">
        <v>102974.431</v>
      </c>
      <c r="I11" s="164" t="n">
        <v>90718.876</v>
      </c>
      <c r="J11" s="163" t="n">
        <v>228146.948</v>
      </c>
      <c r="K11" s="165" t="n">
        <v>178305.025</v>
      </c>
      <c r="L11" s="163" t="n">
        <v>26114.198</v>
      </c>
      <c r="M11" s="179" t="n">
        <v>23814.477</v>
      </c>
    </row>
    <row r="12" ht="20.15" customHeight="1" s="524">
      <c r="B12" s="176" t="inlineStr">
        <is>
          <t>0704</t>
        </is>
      </c>
      <c r="C12" s="162" t="inlineStr">
        <is>
          <t xml:space="preserve">Kapusta, kalafiory, kalarepa, kapusta włoska, </t>
        </is>
      </c>
      <c r="D12" s="163" t="n">
        <v>78418.27</v>
      </c>
      <c r="E12" s="164" t="n">
        <v>72408.86599999999</v>
      </c>
      <c r="F12" s="163" t="n">
        <v>103773.701</v>
      </c>
      <c r="G12" s="165" t="n">
        <v>93572.299</v>
      </c>
      <c r="H12" s="163" t="n">
        <v>91457.973</v>
      </c>
      <c r="I12" s="164" t="n">
        <v>96192.435</v>
      </c>
      <c r="J12" s="163" t="n">
        <v>85863.155</v>
      </c>
      <c r="K12" s="165" t="n">
        <v>87124.95699999999</v>
      </c>
      <c r="L12" s="163" t="n">
        <v>-13039.70299999999</v>
      </c>
      <c r="M12" s="179" t="n">
        <v>-23783.569</v>
      </c>
    </row>
    <row r="13" ht="20.15" customHeight="1" s="524">
      <c r="B13" s="176" t="inlineStr">
        <is>
          <t>0705</t>
        </is>
      </c>
      <c r="C13" s="162" t="inlineStr">
        <is>
          <t>Sałata (Lactuca sativa) i cykoria (Cichorium spp.),</t>
        </is>
      </c>
      <c r="D13" s="163" t="n">
        <v>32269.805</v>
      </c>
      <c r="E13" s="164" t="n">
        <v>32275.545</v>
      </c>
      <c r="F13" s="163" t="n">
        <v>26063.481</v>
      </c>
      <c r="G13" s="165" t="n">
        <v>24667.471</v>
      </c>
      <c r="H13" s="163" t="n">
        <v>97087.925</v>
      </c>
      <c r="I13" s="164" t="n">
        <v>103169.859</v>
      </c>
      <c r="J13" s="163" t="n">
        <v>73073.851</v>
      </c>
      <c r="K13" s="165" t="n">
        <v>79840.871</v>
      </c>
      <c r="L13" s="163" t="n">
        <v>-64818.12</v>
      </c>
      <c r="M13" s="179" t="n">
        <v>-70894.314</v>
      </c>
    </row>
    <row r="14" ht="20.15" customHeight="1" s="524">
      <c r="B14" s="176" t="inlineStr">
        <is>
          <t>0706</t>
        </is>
      </c>
      <c r="C14" s="162" t="inlineStr">
        <is>
          <t>Marchew, rzepa, buraki sałatkowe, salsefia, selery,</t>
        </is>
      </c>
      <c r="D14" s="163" t="n">
        <v>42404.232</v>
      </c>
      <c r="E14" s="164" t="n">
        <v>40859.998</v>
      </c>
      <c r="F14" s="163" t="n">
        <v>64597.357</v>
      </c>
      <c r="G14" s="165" t="n">
        <v>83701.753</v>
      </c>
      <c r="H14" s="163" t="n">
        <v>78545.05</v>
      </c>
      <c r="I14" s="164" t="n">
        <v>77346.817</v>
      </c>
      <c r="J14" s="163" t="n">
        <v>96386.33199999999</v>
      </c>
      <c r="K14" s="165" t="n">
        <v>108823.432</v>
      </c>
      <c r="L14" s="163" t="n">
        <v>-36140.818</v>
      </c>
      <c r="M14" s="179" t="n">
        <v>-36486.819</v>
      </c>
    </row>
    <row r="15" ht="20.15" customHeight="1" s="524">
      <c r="B15" s="176" t="inlineStr">
        <is>
          <t>0707</t>
        </is>
      </c>
      <c r="C15" s="162" t="inlineStr">
        <is>
          <t>Ogórki  i korniszony świeże</t>
        </is>
      </c>
      <c r="D15" s="163" t="n">
        <v>25426.211</v>
      </c>
      <c r="E15" s="164" t="n">
        <v>28415.476</v>
      </c>
      <c r="F15" s="163" t="n">
        <v>19346.303</v>
      </c>
      <c r="G15" s="165" t="n">
        <v>20608.521</v>
      </c>
      <c r="H15" s="163" t="n">
        <v>121899.388</v>
      </c>
      <c r="I15" s="164" t="n">
        <v>141998.663</v>
      </c>
      <c r="J15" s="163" t="n">
        <v>106985.876</v>
      </c>
      <c r="K15" s="165" t="n">
        <v>109228.174</v>
      </c>
      <c r="L15" s="163" t="n">
        <v>-96473.17700000001</v>
      </c>
      <c r="M15" s="179" t="n">
        <v>-113583.187</v>
      </c>
    </row>
    <row r="16" ht="20.15" customHeight="1" s="524">
      <c r="B16" s="176" t="inlineStr">
        <is>
          <t>0708</t>
        </is>
      </c>
      <c r="C16" s="162" t="inlineStr">
        <is>
          <t xml:space="preserve">Warzywa strączkowe, nawet łuskane, świeże </t>
        </is>
      </c>
      <c r="D16" s="163" t="n">
        <v>15052.011</v>
      </c>
      <c r="E16" s="164" t="n">
        <v>13872.72</v>
      </c>
      <c r="F16" s="163" t="n">
        <v>27324.965</v>
      </c>
      <c r="G16" s="165" t="n">
        <v>32373.875</v>
      </c>
      <c r="H16" s="163" t="n">
        <v>4006.423</v>
      </c>
      <c r="I16" s="164" t="n">
        <v>4059.883</v>
      </c>
      <c r="J16" s="163" t="n">
        <v>4157.331</v>
      </c>
      <c r="K16" s="165" t="n">
        <v>3804.698</v>
      </c>
      <c r="L16" s="163" t="n">
        <v>11045.588</v>
      </c>
      <c r="M16" s="179" t="n">
        <v>9812.837</v>
      </c>
    </row>
    <row r="17" ht="20.15" customHeight="1" s="524">
      <c r="B17" s="176" t="inlineStr">
        <is>
          <t>0709</t>
        </is>
      </c>
      <c r="C17" s="162" t="inlineStr">
        <is>
          <t>Inne warzywa świeże lub chłodzone</t>
        </is>
      </c>
      <c r="D17" s="163" t="n">
        <v>681523.481</v>
      </c>
      <c r="E17" s="164" t="n">
        <v>670939.823</v>
      </c>
      <c r="F17" s="163" t="n">
        <v>323321.088</v>
      </c>
      <c r="G17" s="165" t="n">
        <v>310841.701</v>
      </c>
      <c r="H17" s="163" t="n">
        <v>345498.757</v>
      </c>
      <c r="I17" s="164" t="n">
        <v>384711.158</v>
      </c>
      <c r="J17" s="163" t="n">
        <v>168142.902</v>
      </c>
      <c r="K17" s="165" t="n">
        <v>182179.815</v>
      </c>
      <c r="L17" s="163" t="n">
        <v>336024.724</v>
      </c>
      <c r="M17" s="179" t="n">
        <v>286228.665</v>
      </c>
    </row>
    <row r="18" ht="20.15" customHeight="1" s="524">
      <c r="B18" s="176" t="inlineStr">
        <is>
          <t>0710</t>
        </is>
      </c>
      <c r="C18" s="162" t="inlineStr">
        <is>
          <t>Warzywa niegotowane lub gotowane na parze, zamrożone</t>
        </is>
      </c>
      <c r="D18" s="163" t="n">
        <v>432572.373</v>
      </c>
      <c r="E18" s="164" t="n">
        <v>415272.976</v>
      </c>
      <c r="F18" s="163" t="n">
        <v>407308.912</v>
      </c>
      <c r="G18" s="165" t="n">
        <v>396677.509</v>
      </c>
      <c r="H18" s="163" t="n">
        <v>78589.33100000001</v>
      </c>
      <c r="I18" s="164" t="n">
        <v>92194.66800000001</v>
      </c>
      <c r="J18" s="163" t="n">
        <v>68252.73699999999</v>
      </c>
      <c r="K18" s="165" t="n">
        <v>78001.76700000001</v>
      </c>
      <c r="L18" s="163" t="n">
        <v>353983.042</v>
      </c>
      <c r="M18" s="179" t="n">
        <v>323078.308</v>
      </c>
    </row>
    <row r="19" ht="20.15" customHeight="1" s="524">
      <c r="B19" s="176" t="inlineStr">
        <is>
          <t>0711</t>
        </is>
      </c>
      <c r="C19" s="162" t="inlineStr">
        <is>
          <t>Warzywa zakonserwowane tymczasowo</t>
        </is>
      </c>
      <c r="D19" s="163" t="n">
        <v>16368.888</v>
      </c>
      <c r="E19" s="164" t="n">
        <v>16323.561</v>
      </c>
      <c r="F19" s="163" t="n">
        <v>8776.655000000001</v>
      </c>
      <c r="G19" s="165" t="n">
        <v>8581.733</v>
      </c>
      <c r="H19" s="163" t="n">
        <v>36676.991</v>
      </c>
      <c r="I19" s="164" t="n">
        <v>42908.572</v>
      </c>
      <c r="J19" s="163" t="n">
        <v>18377.683</v>
      </c>
      <c r="K19" s="165" t="n">
        <v>23606.869</v>
      </c>
      <c r="L19" s="163" t="n">
        <v>-20308.103</v>
      </c>
      <c r="M19" s="179" t="n">
        <v>-26585.011</v>
      </c>
    </row>
    <row r="20" ht="20.15" customHeight="1" s="524">
      <c r="B20" s="176" t="inlineStr">
        <is>
          <t>0712</t>
        </is>
      </c>
      <c r="C20" s="162" t="inlineStr">
        <is>
          <t>Warzywa suszone, całe, cięte w kawałki</t>
        </is>
      </c>
      <c r="D20" s="163" t="n">
        <v>110353.245</v>
      </c>
      <c r="E20" s="164" t="n">
        <v>110838.956</v>
      </c>
      <c r="F20" s="163" t="n">
        <v>45331.324</v>
      </c>
      <c r="G20" s="165" t="n">
        <v>33558.361</v>
      </c>
      <c r="H20" s="163" t="n">
        <v>71873.124</v>
      </c>
      <c r="I20" s="164" t="n">
        <v>66246.777</v>
      </c>
      <c r="J20" s="163" t="n">
        <v>22262.13</v>
      </c>
      <c r="K20" s="165" t="n">
        <v>21623.151</v>
      </c>
      <c r="L20" s="163" t="n">
        <v>38480.121</v>
      </c>
      <c r="M20" s="179" t="n">
        <v>44592.179</v>
      </c>
    </row>
    <row r="21" ht="20.15" customHeight="1" s="524">
      <c r="B21" s="176" t="inlineStr">
        <is>
          <t>0713</t>
        </is>
      </c>
      <c r="C21" s="162" t="inlineStr">
        <is>
          <t xml:space="preserve">Suszone warzywa strączkowe, łuskane, ze skórką </t>
        </is>
      </c>
      <c r="D21" s="163" t="n">
        <v>55082.138</v>
      </c>
      <c r="E21" s="164" t="n">
        <v>63847.168</v>
      </c>
      <c r="F21" s="163" t="n">
        <v>59904.607</v>
      </c>
      <c r="G21" s="165" t="n">
        <v>78259.262</v>
      </c>
      <c r="H21" s="163" t="n">
        <v>39170.149</v>
      </c>
      <c r="I21" s="164" t="n">
        <v>46729.094</v>
      </c>
      <c r="J21" s="163" t="n">
        <v>37214.814</v>
      </c>
      <c r="K21" s="165" t="n">
        <v>41273.748</v>
      </c>
      <c r="L21" s="163" t="n">
        <v>15911.989</v>
      </c>
      <c r="M21" s="179" t="n">
        <v>17118.074</v>
      </c>
    </row>
    <row r="22" ht="20.15" customHeight="1" s="524">
      <c r="B22" s="176" t="inlineStr">
        <is>
          <t>0714</t>
        </is>
      </c>
      <c r="C22" s="162" t="inlineStr">
        <is>
          <t>Maniok, maranta, salep, karczochy jerozolimskie,</t>
        </is>
      </c>
      <c r="D22" s="163" t="n">
        <v>2955.108</v>
      </c>
      <c r="E22" s="164" t="n">
        <v>1969.167</v>
      </c>
      <c r="F22" s="163" t="n">
        <v>5231.653</v>
      </c>
      <c r="G22" s="165" t="n">
        <v>4628.669</v>
      </c>
      <c r="H22" s="163" t="n">
        <v>15694.461</v>
      </c>
      <c r="I22" s="164" t="n">
        <v>18064.044</v>
      </c>
      <c r="J22" s="163" t="n">
        <v>13292.863</v>
      </c>
      <c r="K22" s="165" t="n">
        <v>13692.714</v>
      </c>
      <c r="L22" s="163" t="n">
        <v>-12739.353</v>
      </c>
      <c r="M22" s="179" t="n">
        <v>-16094.877</v>
      </c>
    </row>
    <row r="23" ht="20.15" customHeight="1" s="524">
      <c r="B23" s="176" t="inlineStr">
        <is>
          <t>0801</t>
        </is>
      </c>
      <c r="C23" s="162" t="inlineStr">
        <is>
          <t>Orzechy kokosowe, orzechy brazylijskie i orzechy</t>
        </is>
      </c>
      <c r="D23" s="163" t="n">
        <v>7851.583</v>
      </c>
      <c r="E23" s="164" t="n">
        <v>7143.363</v>
      </c>
      <c r="F23" s="163" t="n">
        <v>2318.867</v>
      </c>
      <c r="G23" s="165" t="n">
        <v>1537.518</v>
      </c>
      <c r="H23" s="163" t="n">
        <v>110115.17</v>
      </c>
      <c r="I23" s="164" t="n">
        <v>131974.163</v>
      </c>
      <c r="J23" s="163" t="n">
        <v>25099.96</v>
      </c>
      <c r="K23" s="165" t="n">
        <v>25363.729</v>
      </c>
      <c r="L23" s="163" t="n">
        <v>-102263.587</v>
      </c>
      <c r="M23" s="179" t="n">
        <v>-124830.8</v>
      </c>
    </row>
    <row r="24" ht="20.15" customHeight="1" s="524">
      <c r="B24" s="176" t="inlineStr">
        <is>
          <t>0802</t>
        </is>
      </c>
      <c r="C24" s="162" t="inlineStr">
        <is>
          <t>Pozostałe orzechy, świeże lub suszone, nawet łuskane</t>
        </is>
      </c>
      <c r="D24" s="163" t="n">
        <v>15313.968</v>
      </c>
      <c r="E24" s="164" t="n">
        <v>25671.537</v>
      </c>
      <c r="F24" s="163" t="n">
        <v>3571.24</v>
      </c>
      <c r="G24" s="165" t="n">
        <v>3957.093</v>
      </c>
      <c r="H24" s="163" t="n">
        <v>245253.537</v>
      </c>
      <c r="I24" s="164" t="n">
        <v>382864.162</v>
      </c>
      <c r="J24" s="163" t="n">
        <v>35186.319</v>
      </c>
      <c r="K24" s="165" t="n">
        <v>45446.812</v>
      </c>
      <c r="L24" s="163" t="n">
        <v>-229939.569</v>
      </c>
      <c r="M24" s="179" t="n">
        <v>-357192.625</v>
      </c>
    </row>
    <row r="25" ht="20.15" customHeight="1" s="524">
      <c r="B25" s="176" t="inlineStr">
        <is>
          <t>0803</t>
        </is>
      </c>
      <c r="C25" s="162" t="inlineStr">
        <is>
          <t>Banany</t>
        </is>
      </c>
      <c r="D25" s="163" t="n">
        <v>39439.761</v>
      </c>
      <c r="E25" s="164" t="n">
        <v>41341.321</v>
      </c>
      <c r="F25" s="163" t="n">
        <v>42826.396</v>
      </c>
      <c r="G25" s="165" t="n">
        <v>43041.178</v>
      </c>
      <c r="H25" s="163" t="n">
        <v>358825.075</v>
      </c>
      <c r="I25" s="164" t="n">
        <v>358529.705</v>
      </c>
      <c r="J25" s="163" t="n">
        <v>520864.969</v>
      </c>
      <c r="K25" s="165" t="n">
        <v>496169.039</v>
      </c>
      <c r="L25" s="163" t="n">
        <v>-319385.314</v>
      </c>
      <c r="M25" s="179" t="n">
        <v>-317188.384</v>
      </c>
    </row>
    <row r="26" ht="20.15" customHeight="1" s="524">
      <c r="B26" s="176" t="inlineStr">
        <is>
          <t>0804</t>
        </is>
      </c>
      <c r="C26" s="162" t="inlineStr">
        <is>
          <t xml:space="preserve">Daktyle, figi, ananasy, avokado, guawa, mango </t>
        </is>
      </c>
      <c r="D26" s="163" t="n">
        <v>25378.289</v>
      </c>
      <c r="E26" s="164" t="n">
        <v>34319.896</v>
      </c>
      <c r="F26" s="163" t="n">
        <v>11064.236</v>
      </c>
      <c r="G26" s="165" t="n">
        <v>14672.114</v>
      </c>
      <c r="H26" s="163" t="n">
        <v>209006.728</v>
      </c>
      <c r="I26" s="164" t="n">
        <v>228684.935</v>
      </c>
      <c r="J26" s="163" t="n">
        <v>85670.935</v>
      </c>
      <c r="K26" s="165" t="n">
        <v>97641.572</v>
      </c>
      <c r="L26" s="163" t="n">
        <v>-183628.439</v>
      </c>
      <c r="M26" s="179" t="n">
        <v>-194365.039</v>
      </c>
    </row>
    <row r="27" ht="20.15" customHeight="1" s="524">
      <c r="B27" s="176" t="inlineStr">
        <is>
          <t>0805</t>
        </is>
      </c>
      <c r="C27" s="162" t="inlineStr">
        <is>
          <t>Owoce cytrusowe, świeże lub suszone</t>
        </is>
      </c>
      <c r="D27" s="163" t="n">
        <v>32473.886</v>
      </c>
      <c r="E27" s="164" t="n">
        <v>37089.072</v>
      </c>
      <c r="F27" s="163" t="n">
        <v>32746.687</v>
      </c>
      <c r="G27" s="165" t="n">
        <v>36387.131</v>
      </c>
      <c r="H27" s="163" t="n">
        <v>528723.622</v>
      </c>
      <c r="I27" s="164" t="n">
        <v>565251.224</v>
      </c>
      <c r="J27" s="163" t="n">
        <v>517739.526</v>
      </c>
      <c r="K27" s="165" t="n">
        <v>492664.905</v>
      </c>
      <c r="L27" s="163" t="n">
        <v>-496249.736</v>
      </c>
      <c r="M27" s="179" t="n">
        <v>-528162.152</v>
      </c>
    </row>
    <row r="28" ht="20.15" customHeight="1" s="524">
      <c r="B28" s="176" t="inlineStr">
        <is>
          <t>0806</t>
        </is>
      </c>
      <c r="C28" s="162" t="inlineStr">
        <is>
          <t>Winogrona, świeże lub suszone</t>
        </is>
      </c>
      <c r="D28" s="163" t="n">
        <v>8341.968999999999</v>
      </c>
      <c r="E28" s="164" t="n">
        <v>9850.944</v>
      </c>
      <c r="F28" s="163" t="n">
        <v>4305.21</v>
      </c>
      <c r="G28" s="165" t="n">
        <v>4062.34</v>
      </c>
      <c r="H28" s="163" t="n">
        <v>285879.581</v>
      </c>
      <c r="I28" s="164" t="n">
        <v>305314.12</v>
      </c>
      <c r="J28" s="163" t="n">
        <v>139383.431</v>
      </c>
      <c r="K28" s="165" t="n">
        <v>153358.814</v>
      </c>
      <c r="L28" s="163" t="n">
        <v>-277537.612</v>
      </c>
      <c r="M28" s="179" t="n">
        <v>-295463.176</v>
      </c>
    </row>
    <row r="29" ht="20.15" customHeight="1" s="524">
      <c r="B29" s="176" t="inlineStr">
        <is>
          <t>0807</t>
        </is>
      </c>
      <c r="C29" s="162" t="inlineStr">
        <is>
          <t>Melony (łącznie z arbuzami) i papaje, świeże</t>
        </is>
      </c>
      <c r="D29" s="163" t="n">
        <v>2835.806</v>
      </c>
      <c r="E29" s="164" t="n">
        <v>2998.338</v>
      </c>
      <c r="F29" s="163" t="n">
        <v>3636.685</v>
      </c>
      <c r="G29" s="165" t="n">
        <v>4519.533</v>
      </c>
      <c r="H29" s="163" t="n">
        <v>144339.302</v>
      </c>
      <c r="I29" s="164" t="n">
        <v>142134.19</v>
      </c>
      <c r="J29" s="163" t="n">
        <v>223717.346</v>
      </c>
      <c r="K29" s="165" t="n">
        <v>224839.501</v>
      </c>
      <c r="L29" s="163" t="n">
        <v>-141503.496</v>
      </c>
      <c r="M29" s="179" t="n">
        <v>-139135.852</v>
      </c>
    </row>
    <row r="30" ht="20.15" customHeight="1" s="524">
      <c r="B30" s="176" t="inlineStr">
        <is>
          <t>0808</t>
        </is>
      </c>
      <c r="C30" s="162" t="inlineStr">
        <is>
          <t>Jabłka, gruszki i pigwy, świeże</t>
        </is>
      </c>
      <c r="D30" s="163" t="n">
        <v>524745.563</v>
      </c>
      <c r="E30" s="164" t="n">
        <v>530111.899</v>
      </c>
      <c r="F30" s="163" t="n">
        <v>900138.341</v>
      </c>
      <c r="G30" s="165" t="n">
        <v>789208.525</v>
      </c>
      <c r="H30" s="163" t="n">
        <v>43104.131</v>
      </c>
      <c r="I30" s="164" t="n">
        <v>57694.887</v>
      </c>
      <c r="J30" s="163" t="n">
        <v>36921.964</v>
      </c>
      <c r="K30" s="165" t="n">
        <v>45733.737</v>
      </c>
      <c r="L30" s="163" t="n">
        <v>481641.432</v>
      </c>
      <c r="M30" s="179" t="n">
        <v>472417.012</v>
      </c>
    </row>
    <row r="31" ht="20.15" customHeight="1" s="524">
      <c r="B31" s="176" t="inlineStr">
        <is>
          <t>0809</t>
        </is>
      </c>
      <c r="C31" s="162" t="inlineStr">
        <is>
          <t>Morele, wiśnie, brzoskwinie (łącznie z nektarynami),</t>
        </is>
      </c>
      <c r="D31" s="163" t="n">
        <v>24011.463</v>
      </c>
      <c r="E31" s="164" t="n">
        <v>27182.379</v>
      </c>
      <c r="F31" s="163" t="n">
        <v>22161.883</v>
      </c>
      <c r="G31" s="165" t="n">
        <v>18836.449</v>
      </c>
      <c r="H31" s="163" t="n">
        <v>219973.759</v>
      </c>
      <c r="I31" s="164" t="n">
        <v>216723.535</v>
      </c>
      <c r="J31" s="163" t="n">
        <v>149121.49</v>
      </c>
      <c r="K31" s="165" t="n">
        <v>117018.872</v>
      </c>
      <c r="L31" s="163" t="n">
        <v>-195962.296</v>
      </c>
      <c r="M31" s="179" t="n">
        <v>-189541.156</v>
      </c>
    </row>
    <row r="32" ht="20.15" customHeight="1" s="524">
      <c r="B32" s="176" t="inlineStr">
        <is>
          <t>0810</t>
        </is>
      </c>
      <c r="C32" s="162" t="inlineStr">
        <is>
          <t>Pozostałe owoce, świeże</t>
        </is>
      </c>
      <c r="D32" s="163" t="n">
        <v>292567.882</v>
      </c>
      <c r="E32" s="164" t="n">
        <v>281130.082</v>
      </c>
      <c r="F32" s="163" t="n">
        <v>70540.003</v>
      </c>
      <c r="G32" s="165" t="n">
        <v>65970.394</v>
      </c>
      <c r="H32" s="163" t="n">
        <v>423150.097</v>
      </c>
      <c r="I32" s="164" t="n">
        <v>516564.964</v>
      </c>
      <c r="J32" s="163" t="n">
        <v>109894.761</v>
      </c>
      <c r="K32" s="165" t="n">
        <v>124926.082</v>
      </c>
      <c r="L32" s="163" t="n">
        <v>-130582.215</v>
      </c>
      <c r="M32" s="179" t="n">
        <v>-235434.882</v>
      </c>
    </row>
  </sheetData>
  <printOptions horizontalCentered="1"/>
  <pageMargins left="0.196850393700787" right="0.196850393700787" top="0.74173228346457" bottom="0.511811023622047" header="0.196850393700787" footer="0.236220472440945"/>
  <pageSetup orientation="landscape" paperSize="9" scale="90"/>
  <headerFooter alignWithMargins="0">
    <oddHeader>&amp;L&amp;"Times New Roman CE,Pogrubiona kursywa"&amp;12 DRE&amp;C&amp;"Times New Roman CE,Pogrubiona"&amp;14 _x000a_Polski handel zagraniczny towarami rolno-spożywczymi w okresie I-XI 2025 r. - dane wstępne (UE + kraje trzecie).</oddHeader>
    <oddFooter>&amp;L&amp;"Times New Roman CE,Pogrubiona kursywa"&amp;12 Źródło: Min. Finansów&amp;CStrona &amp;P&amp;R&amp;"Times New Roman CE,Pogrubiona kursywa"&amp;12 Przygotował: Adam Pachnicki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 codeName="Arkusz13">
    <tabColor theme="9" tint="0.3999755851924192"/>
    <outlinePr summaryBelow="1" summaryRight="1"/>
    <pageSetUpPr/>
  </sheetPr>
  <dimension ref="A1:P31"/>
  <sheetViews>
    <sheetView showGridLines="0" showZeros="0" zoomScale="85" zoomScaleNormal="85" workbookViewId="0">
      <selection activeCell="N8" sqref="N8"/>
    </sheetView>
  </sheetViews>
  <sheetFormatPr baseColWidth="8" defaultColWidth="9.1796875" defaultRowHeight="12.5"/>
  <cols>
    <col width="10.7265625" customWidth="1" style="7" min="1" max="1"/>
    <col width="5.7265625" customWidth="1" style="7" min="2" max="2"/>
    <col width="60.7265625" customWidth="1" style="7" min="3" max="3"/>
    <col width="10.7265625" customWidth="1" style="7" min="4" max="13"/>
    <col width="9.1796875" customWidth="1" style="7" min="14" max="16384"/>
  </cols>
  <sheetData>
    <row r="1" ht="25" customFormat="1" customHeight="1" s="29">
      <c r="B1" s="53" t="n"/>
      <c r="D1" s="30" t="n"/>
      <c r="H1" s="31" t="n"/>
      <c r="I1" s="32" t="n"/>
    </row>
    <row r="2" ht="25" customHeight="1" s="524">
      <c r="A2" s="33" t="n"/>
      <c r="B2" s="34" t="n"/>
      <c r="C2" s="35" t="n"/>
      <c r="D2" s="35" t="n"/>
      <c r="E2" s="35" t="n"/>
      <c r="F2" s="35" t="n"/>
      <c r="G2" s="35" t="n"/>
      <c r="H2" s="36" t="n"/>
      <c r="I2" s="36" t="n"/>
      <c r="J2" s="36" t="n"/>
      <c r="K2" s="29" t="n"/>
      <c r="L2" s="36" t="n"/>
    </row>
    <row r="3" ht="25" customHeight="1" s="524" thickBot="1">
      <c r="B3" s="37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P3" s="29" t="n"/>
    </row>
    <row r="4" ht="25" customHeight="1" s="524" thickBot="1" thickTop="1">
      <c r="B4" s="46" t="n"/>
      <c r="C4" s="47" t="n"/>
      <c r="D4" s="48" t="n"/>
      <c r="E4" s="92" t="n"/>
      <c r="F4" s="50" t="n"/>
      <c r="G4" s="93" t="n"/>
      <c r="H4" s="50" t="n"/>
      <c r="I4" s="51" t="n"/>
      <c r="J4" s="29" t="n"/>
      <c r="K4" s="52" t="n"/>
      <c r="L4" s="36" t="n"/>
      <c r="O4" s="29" t="n"/>
    </row>
    <row r="5" ht="20.15" customHeight="1" s="524">
      <c r="B5" s="173" t="n"/>
      <c r="C5" s="170" t="n"/>
      <c r="D5" s="166" t="inlineStr">
        <is>
          <t>EKSPORT/WYWÓZ</t>
        </is>
      </c>
      <c r="E5" s="166" t="n"/>
      <c r="F5" s="166" t="n"/>
      <c r="G5" s="167" t="n"/>
      <c r="H5" s="166" t="inlineStr">
        <is>
          <t>IMPORT/PRZYWÓZ</t>
        </is>
      </c>
      <c r="I5" s="166" t="n"/>
      <c r="J5" s="166" t="n"/>
      <c r="K5" s="167" t="n"/>
      <c r="L5" s="166" t="inlineStr">
        <is>
          <t>SALDO</t>
        </is>
      </c>
      <c r="M5" s="177" t="n"/>
    </row>
    <row r="6" ht="20.15" customHeight="1" s="524">
      <c r="B6" s="174" t="inlineStr">
        <is>
          <t>CN</t>
        </is>
      </c>
      <c r="C6" s="171" t="inlineStr">
        <is>
          <t>Nazwa towaru</t>
        </is>
      </c>
      <c r="D6" s="168" t="inlineStr">
        <is>
          <t>Wartość [tys. EUR]</t>
        </is>
      </c>
      <c r="E6" s="168" t="n"/>
      <c r="F6" s="168" t="inlineStr">
        <is>
          <t>Wolumen [tony]</t>
        </is>
      </c>
      <c r="G6" s="169" t="n"/>
      <c r="H6" s="168" t="inlineStr">
        <is>
          <t>Wartość [tys. EUR]</t>
        </is>
      </c>
      <c r="I6" s="168" t="n"/>
      <c r="J6" s="168" t="inlineStr">
        <is>
          <t>Wolumen [tony]</t>
        </is>
      </c>
      <c r="K6" s="169" t="n"/>
      <c r="L6" s="168" t="inlineStr">
        <is>
          <t>Wartość [tys. EUR]</t>
        </is>
      </c>
      <c r="M6" s="178" t="n"/>
    </row>
    <row r="7" ht="20.15" customHeight="1" s="524" thickBot="1">
      <c r="B7" s="175" t="n"/>
      <c r="C7" s="172" t="n"/>
      <c r="D7" s="377" t="inlineStr">
        <is>
          <t>I-V 2025r.*</t>
        </is>
      </c>
      <c r="E7" s="378" t="inlineStr">
        <is>
          <t>I-V 2026r.*</t>
        </is>
      </c>
      <c r="F7" s="377" t="inlineStr">
        <is>
          <t>I-V 2025r.*</t>
        </is>
      </c>
      <c r="G7" s="378" t="inlineStr">
        <is>
          <t>I-V 2026r.*</t>
        </is>
      </c>
      <c r="H7" s="377" t="inlineStr">
        <is>
          <t>I-V 2025r.*</t>
        </is>
      </c>
      <c r="I7" s="378" t="inlineStr">
        <is>
          <t>I-V 2026r.*</t>
        </is>
      </c>
      <c r="J7" s="377" t="inlineStr">
        <is>
          <t>I-V 2025r.*</t>
        </is>
      </c>
      <c r="K7" s="378" t="inlineStr">
        <is>
          <t>I-V 2026r.*</t>
        </is>
      </c>
      <c r="L7" s="377" t="inlineStr">
        <is>
          <t>I-V 2025r.*</t>
        </is>
      </c>
      <c r="M7" s="379" t="inlineStr">
        <is>
          <t>I-V 2026r.*</t>
        </is>
      </c>
    </row>
    <row r="8" ht="20.15" customHeight="1" s="524">
      <c r="B8" s="176" t="inlineStr">
        <is>
          <t>0701</t>
        </is>
      </c>
      <c r="C8" s="162" t="inlineStr">
        <is>
          <t>Ziemniaki, świeże lub chłodzone</t>
        </is>
      </c>
      <c r="D8" s="163" t="n">
        <v>29466.344</v>
      </c>
      <c r="E8" s="164" t="n">
        <v>10021.329</v>
      </c>
      <c r="F8" s="163" t="n">
        <v>87310.648</v>
      </c>
      <c r="G8" s="165" t="n">
        <v>41806.624</v>
      </c>
      <c r="H8" s="163" t="n">
        <v>52155.928</v>
      </c>
      <c r="I8" s="164" t="n">
        <v>25657.319</v>
      </c>
      <c r="J8" s="163" t="n">
        <v>125244.39</v>
      </c>
      <c r="K8" s="165" t="n">
        <v>62393.499</v>
      </c>
      <c r="L8" s="163" t="n">
        <v>-22689.584</v>
      </c>
      <c r="M8" s="179" t="n">
        <v>-15635.99</v>
      </c>
    </row>
    <row r="9" ht="20.15" customHeight="1" s="524">
      <c r="B9" s="176" t="inlineStr">
        <is>
          <t>0702</t>
        </is>
      </c>
      <c r="C9" s="162" t="inlineStr">
        <is>
          <t>Pomidory świeże lub chłodzone</t>
        </is>
      </c>
      <c r="D9" s="163" t="n">
        <v>54172.437</v>
      </c>
      <c r="E9" s="164" t="n">
        <v>54434.862</v>
      </c>
      <c r="F9" s="163" t="n">
        <v>25256.618</v>
      </c>
      <c r="G9" s="165" t="n">
        <v>25876.714</v>
      </c>
      <c r="H9" s="163" t="n">
        <v>248174.367</v>
      </c>
      <c r="I9" s="164" t="n">
        <v>286410.962</v>
      </c>
      <c r="J9" s="163" t="n">
        <v>127578.546</v>
      </c>
      <c r="K9" s="165" t="n">
        <v>119409.107</v>
      </c>
      <c r="L9" s="163" t="n">
        <v>-194001.93</v>
      </c>
      <c r="M9" s="179" t="n">
        <v>-231976.1</v>
      </c>
    </row>
    <row r="10" ht="20.15" customHeight="1" s="524">
      <c r="B10" s="176" t="inlineStr">
        <is>
          <t>0703</t>
        </is>
      </c>
      <c r="C10" s="162" t="inlineStr">
        <is>
          <t>Cebula, szalotka, czosnek, pory oraz inne warzywa</t>
        </is>
      </c>
      <c r="D10" s="163" t="n">
        <v>50280.282</v>
      </c>
      <c r="E10" s="164" t="n">
        <v>46711.958</v>
      </c>
      <c r="F10" s="163" t="n">
        <v>70977.05100000001</v>
      </c>
      <c r="G10" s="165" t="n">
        <v>75666.96000000001</v>
      </c>
      <c r="H10" s="163" t="n">
        <v>50831.952</v>
      </c>
      <c r="I10" s="164" t="n">
        <v>34821.055</v>
      </c>
      <c r="J10" s="163" t="n">
        <v>96648.628</v>
      </c>
      <c r="K10" s="165" t="n">
        <v>74014.677</v>
      </c>
      <c r="L10" s="163" t="n">
        <v>-551.6699999999983</v>
      </c>
      <c r="M10" s="179" t="n">
        <v>11890.903</v>
      </c>
    </row>
    <row r="11" ht="20.15" customHeight="1" s="524">
      <c r="B11" s="176" t="inlineStr">
        <is>
          <t>0704</t>
        </is>
      </c>
      <c r="C11" s="162" t="inlineStr">
        <is>
          <t xml:space="preserve">Kapusta, kalafiory, kalarepa, kapusta włoska, </t>
        </is>
      </c>
      <c r="D11" s="163" t="n">
        <v>33380.098</v>
      </c>
      <c r="E11" s="164" t="n">
        <v>21127.97</v>
      </c>
      <c r="F11" s="163" t="n">
        <v>42994.561</v>
      </c>
      <c r="G11" s="165" t="n">
        <v>29323.576</v>
      </c>
      <c r="H11" s="163" t="n">
        <v>75518.599</v>
      </c>
      <c r="I11" s="164" t="n">
        <v>73257.069</v>
      </c>
      <c r="J11" s="163" t="n">
        <v>68832.151</v>
      </c>
      <c r="K11" s="165" t="n">
        <v>62068.067</v>
      </c>
      <c r="L11" s="163" t="n">
        <v>-42138.501</v>
      </c>
      <c r="M11" s="179" t="n">
        <v>-52129.099</v>
      </c>
    </row>
    <row r="12" ht="20.15" customHeight="1" s="524">
      <c r="B12" s="176" t="inlineStr">
        <is>
          <t>0705</t>
        </is>
      </c>
      <c r="C12" s="162" t="inlineStr">
        <is>
          <t>Sałata (Lactuca sativa) i cykoria (Cichorium spp.),</t>
        </is>
      </c>
      <c r="D12" s="163" t="n">
        <v>13908.677</v>
      </c>
      <c r="E12" s="164" t="n">
        <v>12227.786</v>
      </c>
      <c r="F12" s="163" t="n">
        <v>8838.279</v>
      </c>
      <c r="G12" s="165" t="n">
        <v>7876.627</v>
      </c>
      <c r="H12" s="163" t="n">
        <v>68645.63800000001</v>
      </c>
      <c r="I12" s="164" t="n">
        <v>60731.346</v>
      </c>
      <c r="J12" s="163" t="n">
        <v>53788.028</v>
      </c>
      <c r="K12" s="165" t="n">
        <v>44396.278</v>
      </c>
      <c r="L12" s="163" t="n">
        <v>-54736.96100000001</v>
      </c>
      <c r="M12" s="179" t="n">
        <v>-48503.56</v>
      </c>
    </row>
    <row r="13" ht="20.15" customHeight="1" s="524">
      <c r="B13" s="176" t="inlineStr">
        <is>
          <t>0706</t>
        </is>
      </c>
      <c r="C13" s="162" t="inlineStr">
        <is>
          <t>Marchew, rzepa, buraki sałatkowe, salsefia, selery,</t>
        </is>
      </c>
      <c r="D13" s="163" t="n">
        <v>22850.568</v>
      </c>
      <c r="E13" s="164" t="n">
        <v>16217.269</v>
      </c>
      <c r="F13" s="163" t="n">
        <v>49658.085</v>
      </c>
      <c r="G13" s="165" t="n">
        <v>35406.46</v>
      </c>
      <c r="H13" s="163" t="n">
        <v>52633.419</v>
      </c>
      <c r="I13" s="164" t="n">
        <v>41688.325</v>
      </c>
      <c r="J13" s="163" t="n">
        <v>77106.39599999999</v>
      </c>
      <c r="K13" s="165" t="n">
        <v>42914.338</v>
      </c>
      <c r="L13" s="163" t="n">
        <v>-29782.851</v>
      </c>
      <c r="M13" s="179" t="n">
        <v>-25471.056</v>
      </c>
    </row>
    <row r="14" ht="20.15" customHeight="1" s="524">
      <c r="B14" s="176" t="inlineStr">
        <is>
          <t>0707</t>
        </is>
      </c>
      <c r="C14" s="162" t="inlineStr">
        <is>
          <t>Ogórki  i korniszony świeże</t>
        </is>
      </c>
      <c r="D14" s="163" t="n">
        <v>11616.221</v>
      </c>
      <c r="E14" s="164" t="n">
        <v>11421.747</v>
      </c>
      <c r="F14" s="163" t="n">
        <v>7252.822</v>
      </c>
      <c r="G14" s="165" t="n">
        <v>7041.688</v>
      </c>
      <c r="H14" s="163" t="n">
        <v>66825.16</v>
      </c>
      <c r="I14" s="164" t="n">
        <v>76101.921</v>
      </c>
      <c r="J14" s="163" t="n">
        <v>42173.86</v>
      </c>
      <c r="K14" s="165" t="n">
        <v>41664.05</v>
      </c>
      <c r="L14" s="163" t="n">
        <v>-55208.93900000001</v>
      </c>
      <c r="M14" s="179" t="n">
        <v>-64680.174</v>
      </c>
    </row>
    <row r="15" ht="20.15" customHeight="1" s="524">
      <c r="B15" s="176" t="inlineStr">
        <is>
          <t>0708</t>
        </is>
      </c>
      <c r="C15" s="162" t="inlineStr">
        <is>
          <t xml:space="preserve">Warzywa strączkowe, nawet łuskane, świeże </t>
        </is>
      </c>
      <c r="D15" s="163" t="n">
        <v>5071.517</v>
      </c>
      <c r="E15" s="164" t="n">
        <v>3963.699</v>
      </c>
      <c r="F15" s="163" t="n">
        <v>9769.130999999999</v>
      </c>
      <c r="G15" s="165" t="n">
        <v>7596.174</v>
      </c>
      <c r="H15" s="163" t="n">
        <v>2507.939</v>
      </c>
      <c r="I15" s="164" t="n">
        <v>3828.318</v>
      </c>
      <c r="J15" s="163" t="n">
        <v>1726.969</v>
      </c>
      <c r="K15" s="165" t="n">
        <v>2751.749</v>
      </c>
      <c r="L15" s="163" t="n">
        <v>2563.578</v>
      </c>
      <c r="M15" s="179" t="n">
        <v>135.3809999999999</v>
      </c>
    </row>
    <row r="16" ht="20.15" customHeight="1" s="524">
      <c r="B16" s="176" t="inlineStr">
        <is>
          <t>0709</t>
        </is>
      </c>
      <c r="C16" s="162" t="inlineStr">
        <is>
          <t>Inne warzywa świeże lub chłodzone</t>
        </is>
      </c>
      <c r="D16" s="163" t="n">
        <v>271963.474</v>
      </c>
      <c r="E16" s="164" t="n">
        <v>264597.079</v>
      </c>
      <c r="F16" s="163" t="n">
        <v>122570.925</v>
      </c>
      <c r="G16" s="165" t="n">
        <v>115484.457</v>
      </c>
      <c r="H16" s="163" t="n">
        <v>237680.295</v>
      </c>
      <c r="I16" s="164" t="n">
        <v>246464.805</v>
      </c>
      <c r="J16" s="163" t="n">
        <v>110127.698</v>
      </c>
      <c r="K16" s="165" t="n">
        <v>100536.737</v>
      </c>
      <c r="L16" s="163" t="n">
        <v>34283.17899999997</v>
      </c>
      <c r="M16" s="179" t="n">
        <v>18132.27400000003</v>
      </c>
    </row>
    <row r="17" ht="20.15" customHeight="1" s="524">
      <c r="B17" s="176" t="inlineStr">
        <is>
          <t>0710</t>
        </is>
      </c>
      <c r="C17" s="162" t="inlineStr">
        <is>
          <t>Warzywa niegotowane lub gotowane na parze, zamrożone</t>
        </is>
      </c>
      <c r="D17" s="163" t="n">
        <v>175573.641</v>
      </c>
      <c r="E17" s="164" t="n">
        <v>170227.418</v>
      </c>
      <c r="F17" s="163" t="n">
        <v>164911.169</v>
      </c>
      <c r="G17" s="165" t="n">
        <v>172530.896</v>
      </c>
      <c r="H17" s="163" t="n">
        <v>42305.149</v>
      </c>
      <c r="I17" s="164" t="n">
        <v>43031.463</v>
      </c>
      <c r="J17" s="163" t="n">
        <v>36803.703</v>
      </c>
      <c r="K17" s="165" t="n">
        <v>36465.187</v>
      </c>
      <c r="L17" s="163" t="n">
        <v>133268.492</v>
      </c>
      <c r="M17" s="179" t="n">
        <v>127195.955</v>
      </c>
    </row>
    <row r="18" ht="20.15" customHeight="1" s="524">
      <c r="B18" s="176" t="inlineStr">
        <is>
          <t>0711</t>
        </is>
      </c>
      <c r="C18" s="162" t="inlineStr">
        <is>
          <t>Warzywa zakonserwowane tymczasowo</t>
        </is>
      </c>
      <c r="D18" s="163" t="n">
        <v>6931.896</v>
      </c>
      <c r="E18" s="164" t="n">
        <v>7128.884</v>
      </c>
      <c r="F18" s="163" t="n">
        <v>3570.839</v>
      </c>
      <c r="G18" s="165" t="n">
        <v>3797.982</v>
      </c>
      <c r="H18" s="163" t="n">
        <v>17518.291</v>
      </c>
      <c r="I18" s="164" t="n">
        <v>19763.294</v>
      </c>
      <c r="J18" s="163" t="n">
        <v>9277.459000000001</v>
      </c>
      <c r="K18" s="165" t="n">
        <v>11709.96</v>
      </c>
      <c r="L18" s="163" t="n">
        <v>-10586.395</v>
      </c>
      <c r="M18" s="179" t="n">
        <v>-12634.41</v>
      </c>
    </row>
    <row r="19" ht="20.15" customHeight="1" s="524">
      <c r="B19" s="176" t="inlineStr">
        <is>
          <t>0712</t>
        </is>
      </c>
      <c r="C19" s="162" t="inlineStr">
        <is>
          <t>Warzywa suszone, całe, cięte w kawałki</t>
        </is>
      </c>
      <c r="D19" s="163" t="n">
        <v>51641.147</v>
      </c>
      <c r="E19" s="164" t="n">
        <v>45242.191</v>
      </c>
      <c r="F19" s="163" t="n">
        <v>15187.341</v>
      </c>
      <c r="G19" s="165" t="n">
        <v>11961.38</v>
      </c>
      <c r="H19" s="163" t="n">
        <v>29855.102</v>
      </c>
      <c r="I19" s="164" t="n">
        <v>29608.797</v>
      </c>
      <c r="J19" s="163" t="n">
        <v>9316.748</v>
      </c>
      <c r="K19" s="165" t="n">
        <v>9850.814</v>
      </c>
      <c r="L19" s="163" t="n">
        <v>21786.045</v>
      </c>
      <c r="M19" s="179" t="n">
        <v>15633.394</v>
      </c>
    </row>
    <row r="20" ht="20.15" customHeight="1" s="524">
      <c r="B20" s="176" t="inlineStr">
        <is>
          <t>0713</t>
        </is>
      </c>
      <c r="C20" s="162" t="inlineStr">
        <is>
          <t xml:space="preserve">Suszone warzywa strączkowe, łuskane, ze skórką </t>
        </is>
      </c>
      <c r="D20" s="163" t="n">
        <v>24701.535</v>
      </c>
      <c r="E20" s="164" t="n">
        <v>32442.843</v>
      </c>
      <c r="F20" s="163" t="n">
        <v>24126.681</v>
      </c>
      <c r="G20" s="165" t="n">
        <v>47804.019</v>
      </c>
      <c r="H20" s="163" t="n">
        <v>25497.319</v>
      </c>
      <c r="I20" s="164" t="n">
        <v>22625.577</v>
      </c>
      <c r="J20" s="163" t="n">
        <v>19922.926</v>
      </c>
      <c r="K20" s="165" t="n">
        <v>19358.114</v>
      </c>
      <c r="L20" s="163" t="n">
        <v>-795.7839999999997</v>
      </c>
      <c r="M20" s="179" t="n">
        <v>9817.266</v>
      </c>
    </row>
    <row r="21" ht="20.15" customHeight="1" s="524">
      <c r="B21" s="176" t="inlineStr">
        <is>
          <t>0714</t>
        </is>
      </c>
      <c r="C21" s="162" t="inlineStr">
        <is>
          <t>Maniok, maranta, salep, karczochy jerozolimskie,</t>
        </is>
      </c>
      <c r="D21" s="163" t="n">
        <v>763.7190000000001</v>
      </c>
      <c r="E21" s="164" t="n">
        <v>334.995</v>
      </c>
      <c r="F21" s="163" t="n">
        <v>1278.977</v>
      </c>
      <c r="G21" s="165" t="n">
        <v>203.988</v>
      </c>
      <c r="H21" s="163" t="n">
        <v>8554.352999999999</v>
      </c>
      <c r="I21" s="164" t="n">
        <v>8342.4</v>
      </c>
      <c r="J21" s="163" t="n">
        <v>6478.195</v>
      </c>
      <c r="K21" s="165" t="n">
        <v>6372.291</v>
      </c>
      <c r="L21" s="163" t="n">
        <v>-7790.633999999999</v>
      </c>
      <c r="M21" s="179" t="n">
        <v>-8007.405</v>
      </c>
    </row>
    <row r="22" ht="20.15" customHeight="1" s="524">
      <c r="B22" s="176" t="inlineStr">
        <is>
          <t>0801</t>
        </is>
      </c>
      <c r="C22" s="162" t="inlineStr">
        <is>
          <t>Orzechy kokosowe, orzechy brazylijskie i orzechy</t>
        </is>
      </c>
      <c r="D22" s="163" t="n">
        <v>2742.892</v>
      </c>
      <c r="E22" s="164" t="n">
        <v>2842.734</v>
      </c>
      <c r="F22" s="163" t="n">
        <v>559.7569999999999</v>
      </c>
      <c r="G22" s="165" t="n">
        <v>640.6660000000001</v>
      </c>
      <c r="H22" s="163" t="n">
        <v>48097.928</v>
      </c>
      <c r="I22" s="164" t="n">
        <v>57353.305</v>
      </c>
      <c r="J22" s="163" t="n">
        <v>9460.415999999999</v>
      </c>
      <c r="K22" s="165" t="n">
        <v>10804.837</v>
      </c>
      <c r="L22" s="163" t="n">
        <v>-45355.036</v>
      </c>
      <c r="M22" s="179" t="n">
        <v>-54510.571</v>
      </c>
    </row>
    <row r="23" ht="20.15" customHeight="1" s="524">
      <c r="B23" s="176" t="inlineStr">
        <is>
          <t>0802</t>
        </is>
      </c>
      <c r="C23" s="162" t="inlineStr">
        <is>
          <t>Pozostałe orzechy, świeże lub suszone, nawet łuskane</t>
        </is>
      </c>
      <c r="D23" s="163" t="n">
        <v>5146.913</v>
      </c>
      <c r="E23" s="164" t="n">
        <v>9862.598</v>
      </c>
      <c r="F23" s="163" t="n">
        <v>715.171</v>
      </c>
      <c r="G23" s="165" t="n">
        <v>1338.925</v>
      </c>
      <c r="H23" s="163" t="n">
        <v>149706.835</v>
      </c>
      <c r="I23" s="164" t="n">
        <v>189379.353</v>
      </c>
      <c r="J23" s="163" t="n">
        <v>18592.258</v>
      </c>
      <c r="K23" s="165" t="n">
        <v>21232.594</v>
      </c>
      <c r="L23" s="163" t="n">
        <v>-144559.922</v>
      </c>
      <c r="M23" s="179" t="n">
        <v>-179516.755</v>
      </c>
    </row>
    <row r="24" ht="20.15" customHeight="1" s="524">
      <c r="B24" s="176" t="inlineStr">
        <is>
          <t>0803</t>
        </is>
      </c>
      <c r="C24" s="162" t="inlineStr">
        <is>
          <t>Banany</t>
        </is>
      </c>
      <c r="D24" s="163" t="n">
        <v>20285.833</v>
      </c>
      <c r="E24" s="164" t="n">
        <v>17867.392</v>
      </c>
      <c r="F24" s="163" t="n">
        <v>20534.891</v>
      </c>
      <c r="G24" s="165" t="n">
        <v>18583.276</v>
      </c>
      <c r="H24" s="163" t="n">
        <v>164883.213</v>
      </c>
      <c r="I24" s="164" t="n">
        <v>169823.247</v>
      </c>
      <c r="J24" s="163" t="n">
        <v>219630.023</v>
      </c>
      <c r="K24" s="165" t="n">
        <v>234434.209</v>
      </c>
      <c r="L24" s="163" t="n">
        <v>-144597.38</v>
      </c>
      <c r="M24" s="179" t="n">
        <v>-151955.855</v>
      </c>
    </row>
    <row r="25" ht="20.15" customHeight="1" s="524">
      <c r="B25" s="176" t="inlineStr">
        <is>
          <t>0804</t>
        </is>
      </c>
      <c r="C25" s="162" t="inlineStr">
        <is>
          <t xml:space="preserve">Daktyle, figi, ananasy, avokado, guawa, mango </t>
        </is>
      </c>
      <c r="D25" s="163" t="n">
        <v>15352.891</v>
      </c>
      <c r="E25" s="164" t="n">
        <v>14219.829</v>
      </c>
      <c r="F25" s="163" t="n">
        <v>6044.894</v>
      </c>
      <c r="G25" s="165" t="n">
        <v>6058.062</v>
      </c>
      <c r="H25" s="163" t="n">
        <v>107925.247</v>
      </c>
      <c r="I25" s="164" t="n">
        <v>92586.323</v>
      </c>
      <c r="J25" s="163" t="n">
        <v>42864.569</v>
      </c>
      <c r="K25" s="165" t="n">
        <v>40663.94</v>
      </c>
      <c r="L25" s="163" t="n">
        <v>-92572.356</v>
      </c>
      <c r="M25" s="179" t="n">
        <v>-78366.49400000001</v>
      </c>
    </row>
    <row r="26" ht="20.15" customHeight="1" s="524">
      <c r="B26" s="176" t="inlineStr">
        <is>
          <t>0805</t>
        </is>
      </c>
      <c r="C26" s="162" t="inlineStr">
        <is>
          <t>Owoce cytrusowe, świeże lub suszone</t>
        </is>
      </c>
      <c r="D26" s="163" t="n">
        <v>12981.652</v>
      </c>
      <c r="E26" s="164" t="n">
        <v>11039.31</v>
      </c>
      <c r="F26" s="163" t="n">
        <v>12208.03</v>
      </c>
      <c r="G26" s="165" t="n">
        <v>9483.26</v>
      </c>
      <c r="H26" s="163" t="n">
        <v>250760.758</v>
      </c>
      <c r="I26" s="164" t="n">
        <v>262988.4</v>
      </c>
      <c r="J26" s="163" t="n">
        <v>228079.207</v>
      </c>
      <c r="K26" s="165" t="n">
        <v>225964.381</v>
      </c>
      <c r="L26" s="163" t="n">
        <v>-237779.106</v>
      </c>
      <c r="M26" s="179" t="n">
        <v>-251949.09</v>
      </c>
    </row>
    <row r="27" ht="20.15" customHeight="1" s="524">
      <c r="B27" s="176" t="inlineStr">
        <is>
          <t>0806</t>
        </is>
      </c>
      <c r="C27" s="162" t="inlineStr">
        <is>
          <t>Winogrona, świeże lub suszone</t>
        </is>
      </c>
      <c r="D27" s="163" t="n">
        <v>6076.312</v>
      </c>
      <c r="E27" s="164" t="n">
        <v>6289.334</v>
      </c>
      <c r="F27" s="163" t="n">
        <v>2413.588</v>
      </c>
      <c r="G27" s="165" t="n">
        <v>2486.685</v>
      </c>
      <c r="H27" s="163" t="n">
        <v>121915.308</v>
      </c>
      <c r="I27" s="164" t="n">
        <v>120388.341</v>
      </c>
      <c r="J27" s="163" t="n">
        <v>48946.194</v>
      </c>
      <c r="K27" s="165" t="n">
        <v>46259.829</v>
      </c>
      <c r="L27" s="163" t="n">
        <v>-115838.996</v>
      </c>
      <c r="M27" s="179" t="n">
        <v>-114099.007</v>
      </c>
    </row>
    <row r="28" ht="20.15" customHeight="1" s="524">
      <c r="B28" s="176" t="inlineStr">
        <is>
          <t>0807</t>
        </is>
      </c>
      <c r="C28" s="162" t="inlineStr">
        <is>
          <t>Melony (łącznie z arbuzami) i papaje, świeże</t>
        </is>
      </c>
      <c r="D28" s="163" t="n">
        <v>780.539</v>
      </c>
      <c r="E28" s="164" t="n">
        <v>914.623</v>
      </c>
      <c r="F28" s="163" t="n">
        <v>591.412</v>
      </c>
      <c r="G28" s="165" t="n">
        <v>780.857</v>
      </c>
      <c r="H28" s="163" t="n">
        <v>51502.048</v>
      </c>
      <c r="I28" s="164" t="n">
        <v>54070.148</v>
      </c>
      <c r="J28" s="163" t="n">
        <v>47756.984</v>
      </c>
      <c r="K28" s="165" t="n">
        <v>48232.622</v>
      </c>
      <c r="L28" s="163" t="n">
        <v>-50721.50900000001</v>
      </c>
      <c r="M28" s="179" t="n">
        <v>-53155.525</v>
      </c>
    </row>
    <row r="29" ht="20.15" customHeight="1" s="524">
      <c r="B29" s="176" t="inlineStr">
        <is>
          <t>0808</t>
        </is>
      </c>
      <c r="C29" s="162" t="inlineStr">
        <is>
          <t>Jabłka, gruszki i pigwy, świeże</t>
        </is>
      </c>
      <c r="D29" s="163" t="n">
        <v>267780.301</v>
      </c>
      <c r="E29" s="164" t="n">
        <v>273424.268</v>
      </c>
      <c r="F29" s="163" t="n">
        <v>397851.994</v>
      </c>
      <c r="G29" s="165" t="n">
        <v>466025.145</v>
      </c>
      <c r="H29" s="163" t="n">
        <v>30903.845</v>
      </c>
      <c r="I29" s="164" t="n">
        <v>21469.445</v>
      </c>
      <c r="J29" s="163" t="n">
        <v>24322.662</v>
      </c>
      <c r="K29" s="165" t="n">
        <v>18078.094</v>
      </c>
      <c r="L29" s="163" t="n">
        <v>236876.456</v>
      </c>
      <c r="M29" s="179" t="n">
        <v>251954.823</v>
      </c>
    </row>
    <row r="30" ht="20.15" customHeight="1" s="524">
      <c r="B30" s="176" t="inlineStr">
        <is>
          <t>0809</t>
        </is>
      </c>
      <c r="C30" s="162" t="inlineStr">
        <is>
          <t>Morele, wiśnie, brzoskwinie (łącznie z nektarynami),</t>
        </is>
      </c>
      <c r="D30" s="163" t="n">
        <v>2258.761</v>
      </c>
      <c r="E30" s="164" t="n">
        <v>3118.194</v>
      </c>
      <c r="F30" s="163" t="n">
        <v>963.4829999999999</v>
      </c>
      <c r="G30" s="165" t="n">
        <v>975.914</v>
      </c>
      <c r="H30" s="163" t="n">
        <v>37534.319</v>
      </c>
      <c r="I30" s="164" t="n">
        <v>34615.981</v>
      </c>
      <c r="J30" s="163" t="n">
        <v>13750.821</v>
      </c>
      <c r="K30" s="165" t="n">
        <v>14198.113</v>
      </c>
      <c r="L30" s="163" t="n">
        <v>-35275.558</v>
      </c>
      <c r="M30" s="179" t="n">
        <v>-31497.787</v>
      </c>
    </row>
    <row r="31" ht="20.15" customHeight="1" s="524">
      <c r="B31" s="176" t="inlineStr">
        <is>
          <t>0810</t>
        </is>
      </c>
      <c r="C31" s="162" t="inlineStr">
        <is>
          <t>Pozostałe owoce, świeże</t>
        </is>
      </c>
      <c r="D31" s="163" t="n">
        <v>45365.05</v>
      </c>
      <c r="E31" s="164" t="n">
        <v>43965.759</v>
      </c>
      <c r="F31" s="163" t="n">
        <v>18339.172</v>
      </c>
      <c r="G31" s="165" t="n">
        <v>18428.91</v>
      </c>
      <c r="H31" s="163" t="n">
        <v>287691.735</v>
      </c>
      <c r="I31" s="164" t="n">
        <v>336765.613</v>
      </c>
      <c r="J31" s="163" t="n">
        <v>70564.74099999999</v>
      </c>
      <c r="K31" s="165" t="n">
        <v>84406.978</v>
      </c>
      <c r="L31" s="163" t="n">
        <v>-242326.685</v>
      </c>
      <c r="M31" s="179" t="n">
        <v>-292799.854</v>
      </c>
    </row>
  </sheetData>
  <printOptions horizontalCentered="1"/>
  <pageMargins left="0.196850393700787" right="0.196850393700787" top="0.74173228346457" bottom="0.511811023622047" header="0.196850393700787" footer="0.236220472440945"/>
  <pageSetup orientation="landscape" paperSize="9" scale="90"/>
  <headerFooter alignWithMargins="0">
    <oddHeader>&amp;L&amp;"Times New Roman CE,Pogrubiona kursywa"&amp;12 DRE&amp;C&amp;"Times New Roman CE,Pogrubiona"&amp;14 _x000a_Polski handel zagraniczny towarami rolno-spożywczymi w okresie I-XI 2023r. - dane wstępne (UE + kraje trzecie).</oddHeader>
    <oddFooter>&amp;L&amp;"Times New Roman CE,Pogrubiona kursywa"&amp;12 Źródło: Min. Finansów&amp;CStrona &amp;P&amp;R&amp;"Times New Roman CE,Pogrubiona kursywa"&amp;12 Przygotował: Adam Pachnicki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theme="8" tint="0.3999755851924192"/>
    <outlinePr summaryBelow="1" summaryRight="1"/>
    <pageSetUpPr fitToPage="1"/>
  </sheetPr>
  <dimension ref="A1:R50"/>
  <sheetViews>
    <sheetView showGridLines="0" topLeftCell="A2" zoomScaleNormal="100" workbookViewId="0">
      <selection activeCell="F8" sqref="F8:H26"/>
    </sheetView>
  </sheetViews>
  <sheetFormatPr baseColWidth="8" defaultColWidth="9.1796875" defaultRowHeight="13"/>
  <cols>
    <col width="10.7265625" customWidth="1" style="228" min="1" max="1"/>
    <col width="15.7265625" customWidth="1" style="228" min="2" max="2"/>
    <col width="10.7265625" customWidth="1" style="228" min="3" max="5"/>
    <col width="15.7265625" customWidth="1" style="228" min="6" max="6"/>
    <col width="10.7265625" customWidth="1" style="228" min="7" max="8"/>
    <col width="5.7265625" customWidth="1" style="228" min="9" max="10"/>
    <col width="15.7265625" customWidth="1" style="228" min="11" max="11"/>
    <col width="10.7265625" customWidth="1" style="228" min="12" max="14"/>
    <col width="15.7265625" customWidth="1" style="228" min="15" max="15"/>
    <col width="10" customWidth="1" style="228" min="16" max="16"/>
    <col width="10.7265625" customWidth="1" style="228" min="17" max="17"/>
    <col width="14.1796875" customWidth="1" style="228" min="18" max="18"/>
    <col width="9.1796875" customWidth="1" style="228" min="19" max="16384"/>
  </cols>
  <sheetData>
    <row r="1" ht="25" customFormat="1" customHeight="1" s="29">
      <c r="C1" s="129" t="n"/>
      <c r="E1" s="30" t="n"/>
      <c r="J1" s="31" t="n"/>
      <c r="K1" s="32" t="n"/>
    </row>
    <row r="2" ht="25" customFormat="1" customHeight="1" s="29">
      <c r="A2" s="223" t="n"/>
      <c r="B2" s="34" t="inlineStr">
        <is>
          <t>HANDEL ZAGRANICZNY - DANE WSTĘPNE</t>
        </is>
      </c>
      <c r="C2" s="48" t="n"/>
      <c r="D2" s="224" t="n"/>
      <c r="E2" s="224" t="n"/>
      <c r="F2" s="224" t="n"/>
      <c r="G2" s="224" t="n"/>
      <c r="H2" s="224" t="n"/>
      <c r="I2" s="224" t="n"/>
    </row>
    <row r="3" ht="25" customFormat="1" customHeight="1" s="29" thickBot="1">
      <c r="B3" s="37" t="n"/>
      <c r="C3" s="149" t="n"/>
      <c r="D3" s="149" t="n"/>
      <c r="E3" s="151" t="n"/>
      <c r="F3" s="152" t="n"/>
      <c r="G3" s="225" t="n"/>
      <c r="H3" s="226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</row>
    <row r="4" ht="25" customFormat="1" customHeight="1" s="29" thickTop="1">
      <c r="B4" s="227" t="inlineStr">
        <is>
          <t>Źródło danych: Ministerstwo Finansów</t>
        </is>
      </c>
      <c r="C4" s="48" t="n"/>
      <c r="D4" s="47" t="n"/>
      <c r="E4" s="48" t="n"/>
      <c r="F4" s="132" t="n"/>
      <c r="G4" s="228" t="n"/>
      <c r="H4" s="224" t="n"/>
      <c r="K4" s="228" t="n"/>
      <c r="L4" s="228" t="n"/>
      <c r="M4" s="228" t="n"/>
      <c r="P4" s="228" t="n"/>
      <c r="Q4" s="159">
        <f>POMOC!B5</f>
        <v/>
      </c>
    </row>
    <row r="5" ht="20.15" customFormat="1" customHeight="1" s="229">
      <c r="B5" s="286" t="inlineStr">
        <is>
          <t>UWAGA! DANE W TRAKCIE WERYFIKACJI - MOGĄ BYĆ OBARCZONE ISTOTNYMI BŁĘDAMI</t>
        </is>
      </c>
      <c r="C5" s="230" t="n"/>
      <c r="D5" s="231" t="n"/>
      <c r="E5" s="231" t="n"/>
      <c r="F5" s="231" t="n"/>
      <c r="M5" s="29" t="n"/>
      <c r="N5" s="29" t="n"/>
    </row>
    <row r="6" ht="20.15" customFormat="1" customHeight="1" s="229">
      <c r="B6" s="11" t="inlineStr">
        <is>
          <t>Eksport jabłek (CN 080810) wg. ważniejszych krajów</t>
        </is>
      </c>
      <c r="C6" s="10" t="n"/>
      <c r="D6" s="10" t="n"/>
      <c r="E6" s="10" t="n"/>
      <c r="F6" s="10" t="n"/>
      <c r="G6" s="10" t="n"/>
      <c r="H6" s="10" t="n"/>
      <c r="I6" s="10" t="n"/>
      <c r="K6" s="11" t="inlineStr">
        <is>
          <t>Eksport pomidorów (CN 070200) wg. ważniejszych krajów</t>
        </is>
      </c>
      <c r="L6" s="10" t="n"/>
      <c r="M6" s="10" t="n"/>
      <c r="N6" s="10" t="n"/>
      <c r="O6" s="10" t="n"/>
    </row>
    <row r="7" ht="20.15" customFormat="1" customHeight="1" s="233">
      <c r="B7" s="216" t="inlineStr">
        <is>
          <t xml:space="preserve">według ważniejszych krajów </t>
        </is>
      </c>
      <c r="C7" s="217" t="n"/>
      <c r="D7" s="217" t="n"/>
      <c r="E7" s="217" t="n"/>
      <c r="F7" s="218" t="n"/>
      <c r="G7" s="219" t="n"/>
      <c r="H7" s="220" t="n"/>
      <c r="I7" s="234" t="n"/>
      <c r="J7" s="234" t="n"/>
      <c r="K7" s="216" t="inlineStr">
        <is>
          <t xml:space="preserve">według ważniejszych krajów </t>
        </is>
      </c>
      <c r="L7" s="217" t="n"/>
      <c r="M7" s="232" t="n"/>
      <c r="N7" s="232" t="n"/>
      <c r="O7" s="235" t="n"/>
      <c r="P7" s="236" t="n"/>
      <c r="Q7" s="236" t="n"/>
    </row>
    <row r="8" ht="20.15" customHeight="1" s="524">
      <c r="B8" s="197" t="inlineStr">
        <is>
          <t>I-V 2025r.*</t>
        </is>
      </c>
      <c r="C8" s="198" t="n"/>
      <c r="D8" s="199" t="n"/>
      <c r="E8" s="221" t="n"/>
      <c r="F8" s="197" t="inlineStr">
        <is>
          <t>I-V 2026r.*</t>
        </is>
      </c>
      <c r="G8" s="198" t="n"/>
      <c r="H8" s="199" t="n"/>
      <c r="I8" s="237" t="n"/>
      <c r="J8" s="237" t="n"/>
      <c r="K8" s="197" t="inlineStr">
        <is>
          <t>I-V 2025r.*</t>
        </is>
      </c>
      <c r="L8" s="198" t="n"/>
      <c r="M8" s="199" t="n"/>
      <c r="N8" s="221" t="n"/>
      <c r="O8" s="197" t="inlineStr">
        <is>
          <t>I-V 2026r.*</t>
        </is>
      </c>
      <c r="P8" s="198" t="n"/>
      <c r="Q8" s="199" t="n"/>
      <c r="R8" s="238" t="n"/>
    </row>
    <row r="9" ht="40" customHeight="1" s="524" thickBot="1">
      <c r="B9" s="200" t="inlineStr">
        <is>
          <t>Kraj</t>
        </is>
      </c>
      <c r="C9" s="201" t="inlineStr">
        <is>
          <t>Wartość [tys. EUR]</t>
        </is>
      </c>
      <c r="D9" s="202" t="inlineStr">
        <is>
          <t>Wolumen   [tony]</t>
        </is>
      </c>
      <c r="E9" s="160" t="n"/>
      <c r="F9" s="200" t="inlineStr">
        <is>
          <t>Kraj</t>
        </is>
      </c>
      <c r="G9" s="201" t="inlineStr">
        <is>
          <t>Wartość [tys. EUR]</t>
        </is>
      </c>
      <c r="H9" s="202" t="inlineStr">
        <is>
          <t>Wolumen   [tony]</t>
        </is>
      </c>
      <c r="K9" s="200" t="inlineStr">
        <is>
          <t>Kraj</t>
        </is>
      </c>
      <c r="L9" s="201" t="inlineStr">
        <is>
          <t>Wartość [tys. EUR]</t>
        </is>
      </c>
      <c r="M9" s="202" t="inlineStr">
        <is>
          <t>Wolumen   [tony]</t>
        </is>
      </c>
      <c r="N9" s="160" t="n"/>
      <c r="O9" s="200" t="inlineStr">
        <is>
          <t>Kraj</t>
        </is>
      </c>
      <c r="P9" s="201" t="inlineStr">
        <is>
          <t>Wartość [tys. EUR]</t>
        </is>
      </c>
      <c r="Q9" s="202" t="inlineStr">
        <is>
          <t>Wolumen   [tony]</t>
        </is>
      </c>
      <c r="R9" s="238" t="n"/>
    </row>
    <row r="10" ht="20.15" customHeight="1" s="524">
      <c r="B10" s="203" t="inlineStr">
        <is>
          <t>OGÓŁEM</t>
        </is>
      </c>
      <c r="C10" s="204" t="n">
        <v>244814.328</v>
      </c>
      <c r="D10" s="205" t="n">
        <v>359199.881</v>
      </c>
      <c r="E10" s="160" t="n"/>
      <c r="F10" s="203" t="inlineStr">
        <is>
          <t>OGÓŁEM</t>
        </is>
      </c>
      <c r="G10" s="204" t="n">
        <v>246472.025</v>
      </c>
      <c r="H10" s="205" t="n">
        <v>400356.332</v>
      </c>
      <c r="K10" s="203" t="inlineStr">
        <is>
          <t>OGÓŁEM</t>
        </is>
      </c>
      <c r="L10" s="204" t="n">
        <v>54172.437</v>
      </c>
      <c r="M10" s="205" t="n">
        <v>25256.618</v>
      </c>
      <c r="N10" s="160" t="n"/>
      <c r="O10" s="203" t="inlineStr">
        <is>
          <t>OGÓŁEM</t>
        </is>
      </c>
      <c r="P10" s="204" t="n">
        <v>54434.862</v>
      </c>
      <c r="Q10" s="205" t="n">
        <v>25876.714</v>
      </c>
      <c r="R10" s="238" t="n"/>
    </row>
    <row r="11" ht="20.15" customHeight="1" s="524">
      <c r="B11" s="206" t="inlineStr">
        <is>
          <t>Niemcy</t>
        </is>
      </c>
      <c r="C11" s="207" t="n">
        <v>22710.475</v>
      </c>
      <c r="D11" s="208" t="n">
        <v>35731.932</v>
      </c>
      <c r="E11" s="160" t="n"/>
      <c r="F11" s="206" t="inlineStr">
        <is>
          <t>Egipt</t>
        </is>
      </c>
      <c r="G11" s="212" t="n">
        <v>24534.341</v>
      </c>
      <c r="H11" s="222" t="n">
        <v>36870.121</v>
      </c>
      <c r="K11" s="206" t="inlineStr">
        <is>
          <t>Niemcy</t>
        </is>
      </c>
      <c r="L11" s="207" t="n">
        <v>22455.432</v>
      </c>
      <c r="M11" s="208" t="n">
        <v>8579.858</v>
      </c>
      <c r="N11" s="160" t="n"/>
      <c r="O11" s="206" t="inlineStr">
        <is>
          <t>Holandia</t>
        </is>
      </c>
      <c r="P11" s="212" t="n">
        <v>23026.353</v>
      </c>
      <c r="Q11" s="222" t="n">
        <v>7477.029</v>
      </c>
      <c r="R11" s="239" t="n"/>
    </row>
    <row r="12" ht="20.15" customHeight="1" s="524">
      <c r="B12" s="209" t="inlineStr">
        <is>
          <t>Rumunia</t>
        </is>
      </c>
      <c r="C12" s="210" t="n">
        <v>21198.708</v>
      </c>
      <c r="D12" s="211" t="n">
        <v>29473.751</v>
      </c>
      <c r="E12" s="160" t="n"/>
      <c r="F12" s="209" t="inlineStr">
        <is>
          <t>Rumunia</t>
        </is>
      </c>
      <c r="G12" s="210" t="n">
        <v>20259.227</v>
      </c>
      <c r="H12" s="211" t="n">
        <v>33694.686</v>
      </c>
      <c r="K12" s="209" t="inlineStr">
        <is>
          <t>Holandia</t>
        </is>
      </c>
      <c r="L12" s="210" t="n">
        <v>16175.863</v>
      </c>
      <c r="M12" s="211" t="n">
        <v>6677.998</v>
      </c>
      <c r="N12" s="160" t="n"/>
      <c r="O12" s="209" t="inlineStr">
        <is>
          <t>Ukraina</t>
        </is>
      </c>
      <c r="P12" s="210" t="n">
        <v>16990.289</v>
      </c>
      <c r="Q12" s="211" t="n">
        <v>11645.287</v>
      </c>
      <c r="R12" s="239" t="n"/>
    </row>
    <row r="13" ht="20.15" customHeight="1" s="524">
      <c r="B13" s="209" t="inlineStr">
        <is>
          <t>Republika Czeska</t>
        </is>
      </c>
      <c r="C13" s="210" t="n">
        <v>17082.681</v>
      </c>
      <c r="D13" s="211" t="n">
        <v>23115.742</v>
      </c>
      <c r="E13" s="160" t="n"/>
      <c r="F13" s="209" t="inlineStr">
        <is>
          <t>Kazachstan</t>
        </is>
      </c>
      <c r="G13" s="210" t="n">
        <v>18900.554</v>
      </c>
      <c r="H13" s="211" t="n">
        <v>41931.272</v>
      </c>
      <c r="K13" s="209" t="inlineStr">
        <is>
          <t>Ukraina</t>
        </is>
      </c>
      <c r="L13" s="210" t="n">
        <v>5901.582</v>
      </c>
      <c r="M13" s="211" t="n">
        <v>4531.773</v>
      </c>
      <c r="N13" s="160" t="n"/>
      <c r="O13" s="209" t="inlineStr">
        <is>
          <t>Niemcy</t>
        </is>
      </c>
      <c r="P13" s="210" t="n">
        <v>6296.322</v>
      </c>
      <c r="Q13" s="211" t="n">
        <v>2851.083</v>
      </c>
      <c r="R13" s="239" t="n"/>
    </row>
    <row r="14" ht="20.15" customHeight="1" s="524">
      <c r="B14" s="209" t="inlineStr">
        <is>
          <t>Egipt</t>
        </is>
      </c>
      <c r="C14" s="210" t="n">
        <v>16762.43</v>
      </c>
      <c r="D14" s="211" t="n">
        <v>22478.775</v>
      </c>
      <c r="E14" s="160" t="n"/>
      <c r="F14" s="209" t="inlineStr">
        <is>
          <t>Białoruś</t>
        </is>
      </c>
      <c r="G14" s="210" t="n">
        <v>17311.911</v>
      </c>
      <c r="H14" s="211" t="n">
        <v>32159.682</v>
      </c>
      <c r="K14" s="209" t="inlineStr">
        <is>
          <t>Wielka Brytania</t>
        </is>
      </c>
      <c r="L14" s="210" t="n">
        <v>2300.452</v>
      </c>
      <c r="M14" s="211" t="n">
        <v>920.1950000000001</v>
      </c>
      <c r="N14" s="160" t="n"/>
      <c r="O14" s="209" t="inlineStr">
        <is>
          <t>Wielka Brytania</t>
        </is>
      </c>
      <c r="P14" s="210" t="n">
        <v>1965.7</v>
      </c>
      <c r="Q14" s="211" t="n">
        <v>760.14</v>
      </c>
      <c r="R14" s="239" t="n"/>
    </row>
    <row r="15" ht="20.15" customHeight="1" s="524">
      <c r="B15" s="209" t="inlineStr">
        <is>
          <t>Kazachstan</t>
        </is>
      </c>
      <c r="C15" s="210" t="n">
        <v>14577.316</v>
      </c>
      <c r="D15" s="211" t="n">
        <v>29840.358</v>
      </c>
      <c r="E15" s="160" t="n"/>
      <c r="F15" s="209" t="inlineStr">
        <is>
          <t>India</t>
        </is>
      </c>
      <c r="G15" s="210" t="n">
        <v>15046.658</v>
      </c>
      <c r="H15" s="211" t="n">
        <v>20511.928</v>
      </c>
      <c r="K15" s="209" t="inlineStr">
        <is>
          <t>Szwecja</t>
        </is>
      </c>
      <c r="L15" s="210" t="n">
        <v>1647.107</v>
      </c>
      <c r="M15" s="211" t="n">
        <v>780.869</v>
      </c>
      <c r="N15" s="160" t="n"/>
      <c r="O15" s="209" t="inlineStr">
        <is>
          <t>Bułgaria</t>
        </is>
      </c>
      <c r="P15" s="210" t="n">
        <v>1552.041</v>
      </c>
      <c r="Q15" s="211" t="n">
        <v>814.673</v>
      </c>
      <c r="R15" s="239" t="n"/>
    </row>
    <row r="16" ht="20.15" customHeight="1" s="524">
      <c r="B16" s="209" t="inlineStr">
        <is>
          <t>Holandia</t>
        </is>
      </c>
      <c r="C16" s="210" t="n">
        <v>13697.71</v>
      </c>
      <c r="D16" s="211" t="n">
        <v>26257.68</v>
      </c>
      <c r="E16" s="160" t="n"/>
      <c r="F16" s="209" t="inlineStr">
        <is>
          <t>Węgry</t>
        </is>
      </c>
      <c r="G16" s="210" t="n">
        <v>11888.821</v>
      </c>
      <c r="H16" s="211" t="n">
        <v>18782.37</v>
      </c>
      <c r="K16" s="209" t="inlineStr">
        <is>
          <t>Republika Czeska</t>
        </is>
      </c>
      <c r="L16" s="210" t="n">
        <v>1433.075</v>
      </c>
      <c r="M16" s="211" t="n">
        <v>633.1319999999999</v>
      </c>
      <c r="N16" s="160" t="n"/>
      <c r="O16" s="209" t="inlineStr">
        <is>
          <t>Szwecja</t>
        </is>
      </c>
      <c r="P16" s="210" t="n">
        <v>1121.56</v>
      </c>
      <c r="Q16" s="211" t="n">
        <v>505.639</v>
      </c>
      <c r="R16" s="239" t="n"/>
    </row>
    <row r="17" ht="20.15" customHeight="1" s="524">
      <c r="B17" s="209" t="inlineStr">
        <is>
          <t>Białoruś</t>
        </is>
      </c>
      <c r="C17" s="210" t="n">
        <v>12224.97</v>
      </c>
      <c r="D17" s="211" t="n">
        <v>20680.627</v>
      </c>
      <c r="E17" s="160" t="n"/>
      <c r="F17" s="209" t="inlineStr">
        <is>
          <t>Litwa</t>
        </is>
      </c>
      <c r="G17" s="210" t="n">
        <v>10986.784</v>
      </c>
      <c r="H17" s="211" t="n">
        <v>18366.369</v>
      </c>
      <c r="K17" s="209" t="inlineStr">
        <is>
          <t>Białoruś</t>
        </is>
      </c>
      <c r="L17" s="210" t="n">
        <v>915.885</v>
      </c>
      <c r="M17" s="211" t="n">
        <v>641.433</v>
      </c>
      <c r="N17" s="160" t="n"/>
      <c r="O17" s="209" t="inlineStr">
        <is>
          <t>Białoruś</t>
        </is>
      </c>
      <c r="P17" s="210" t="n">
        <v>983.2910000000001</v>
      </c>
      <c r="Q17" s="211" t="n">
        <v>648.023</v>
      </c>
      <c r="R17" s="239" t="n"/>
    </row>
    <row r="18" ht="20.15" customHeight="1" s="524">
      <c r="B18" s="209" t="inlineStr">
        <is>
          <t>Węgry</t>
        </is>
      </c>
      <c r="C18" s="210" t="n">
        <v>10360.475</v>
      </c>
      <c r="D18" s="211" t="n">
        <v>15105.159</v>
      </c>
      <c r="E18" s="160" t="n"/>
      <c r="F18" s="209" t="inlineStr">
        <is>
          <t>Republika Czeska</t>
        </is>
      </c>
      <c r="G18" s="210" t="n">
        <v>9394.785</v>
      </c>
      <c r="H18" s="211" t="n">
        <v>14922.528</v>
      </c>
      <c r="K18" s="209" t="inlineStr">
        <is>
          <t>Bułgaria</t>
        </is>
      </c>
      <c r="L18" s="210" t="n">
        <v>706.462</v>
      </c>
      <c r="M18" s="211" t="n">
        <v>549.864</v>
      </c>
      <c r="N18" s="160" t="n"/>
      <c r="O18" s="209" t="inlineStr">
        <is>
          <t>Republika Czeska</t>
        </is>
      </c>
      <c r="P18" s="210" t="n">
        <v>797.47</v>
      </c>
      <c r="Q18" s="211" t="n">
        <v>406.893</v>
      </c>
      <c r="R18" s="239" t="n"/>
    </row>
    <row r="19" ht="20.15" customHeight="1" s="524">
      <c r="B19" s="209" t="inlineStr">
        <is>
          <t>Szwecja</t>
        </is>
      </c>
      <c r="C19" s="210" t="n">
        <v>10026.055</v>
      </c>
      <c r="D19" s="211" t="n">
        <v>12470.226</v>
      </c>
      <c r="E19" s="160" t="n"/>
      <c r="F19" s="209" t="inlineStr">
        <is>
          <t>Szwecja</t>
        </is>
      </c>
      <c r="G19" s="210" t="n">
        <v>8658.207</v>
      </c>
      <c r="H19" s="211" t="n">
        <v>12002.964</v>
      </c>
      <c r="K19" s="209" t="inlineStr">
        <is>
          <t>Litwa</t>
        </is>
      </c>
      <c r="L19" s="210" t="n">
        <v>441.945</v>
      </c>
      <c r="M19" s="211" t="n">
        <v>292.3</v>
      </c>
      <c r="N19" s="160" t="n"/>
      <c r="O19" s="209" t="inlineStr">
        <is>
          <t>Łotwa</t>
        </is>
      </c>
      <c r="P19" s="210" t="n">
        <v>422.919</v>
      </c>
      <c r="Q19" s="211" t="n">
        <v>166.565</v>
      </c>
      <c r="R19" s="239" t="n"/>
    </row>
    <row r="20" ht="20.15" customHeight="1" s="524">
      <c r="B20" s="209" t="inlineStr">
        <is>
          <t>India</t>
        </is>
      </c>
      <c r="C20" s="210" t="n">
        <v>8389.593999999999</v>
      </c>
      <c r="D20" s="211" t="n">
        <v>10963.288</v>
      </c>
      <c r="E20" s="160" t="n"/>
      <c r="F20" s="209" t="inlineStr">
        <is>
          <t>Niemcy</t>
        </is>
      </c>
      <c r="G20" s="210" t="n">
        <v>8424.745999999999</v>
      </c>
      <c r="H20" s="211" t="n">
        <v>14314.494</v>
      </c>
      <c r="K20" s="209" t="inlineStr">
        <is>
          <t>Węgry</t>
        </is>
      </c>
      <c r="L20" s="210" t="n">
        <v>422.235</v>
      </c>
      <c r="M20" s="211" t="n">
        <v>238.173</v>
      </c>
      <c r="N20" s="160" t="n"/>
      <c r="O20" s="209" t="inlineStr">
        <is>
          <t>Litwa</t>
        </is>
      </c>
      <c r="P20" s="210" t="n">
        <v>386.957</v>
      </c>
      <c r="Q20" s="211" t="n">
        <v>183.061</v>
      </c>
      <c r="R20" s="239" t="n"/>
    </row>
    <row r="21" ht="20.15" customHeight="1" s="524">
      <c r="B21" s="209" t="inlineStr">
        <is>
          <t>Wielka Brytania</t>
        </is>
      </c>
      <c r="C21" s="210" t="n">
        <v>7887.829</v>
      </c>
      <c r="D21" s="211" t="n">
        <v>9654.102999999999</v>
      </c>
      <c r="E21" s="160" t="n"/>
      <c r="F21" s="209" t="inlineStr">
        <is>
          <t>Hiszpania</t>
        </is>
      </c>
      <c r="G21" s="210" t="n">
        <v>7223.279</v>
      </c>
      <c r="H21" s="211" t="n">
        <v>9940.49</v>
      </c>
      <c r="K21" s="209" t="inlineStr">
        <is>
          <t>Łotwa</t>
        </is>
      </c>
      <c r="L21" s="210" t="n">
        <v>394.682</v>
      </c>
      <c r="M21" s="211" t="n">
        <v>214</v>
      </c>
      <c r="N21" s="160" t="n"/>
      <c r="O21" s="209" t="inlineStr">
        <is>
          <t>Słowacja</t>
        </is>
      </c>
      <c r="P21" s="210" t="n">
        <v>182.154</v>
      </c>
      <c r="Q21" s="211" t="n">
        <v>76.211</v>
      </c>
      <c r="R21" s="239" t="n"/>
    </row>
    <row r="22" ht="20.15" customHeight="1" s="524">
      <c r="B22" s="209" t="inlineStr">
        <is>
          <t>Hiszpania</t>
        </is>
      </c>
      <c r="C22" s="210" t="n">
        <v>6667.416</v>
      </c>
      <c r="D22" s="211" t="n">
        <v>8595.885</v>
      </c>
      <c r="E22" s="160" t="n"/>
      <c r="F22" s="209" t="inlineStr">
        <is>
          <t>Holandia</t>
        </is>
      </c>
      <c r="G22" s="210" t="n">
        <v>7056.032</v>
      </c>
      <c r="H22" s="211" t="n">
        <v>13267.796</v>
      </c>
      <c r="K22" s="209" t="inlineStr">
        <is>
          <t>Rumunia</t>
        </is>
      </c>
      <c r="L22" s="210" t="n">
        <v>231.218</v>
      </c>
      <c r="M22" s="211" t="n">
        <v>297.029</v>
      </c>
      <c r="N22" s="160" t="n"/>
      <c r="O22" s="209" t="inlineStr">
        <is>
          <t>Irlandia</t>
        </is>
      </c>
      <c r="P22" s="210" t="n">
        <v>117.957</v>
      </c>
      <c r="Q22" s="211" t="n">
        <v>36.952</v>
      </c>
      <c r="R22" s="239" t="n"/>
    </row>
    <row r="23" ht="20.15" customHeight="1" s="524">
      <c r="B23" s="209" t="inlineStr">
        <is>
          <t>Ukraina</t>
        </is>
      </c>
      <c r="C23" s="210" t="n">
        <v>6497.53</v>
      </c>
      <c r="D23" s="211" t="n">
        <v>8090.92</v>
      </c>
      <c r="E23" s="160" t="n"/>
      <c r="F23" s="209" t="inlineStr">
        <is>
          <t>Bułgaria</t>
        </is>
      </c>
      <c r="G23" s="210" t="n">
        <v>7035.356</v>
      </c>
      <c r="H23" s="211" t="n">
        <v>11223.527</v>
      </c>
      <c r="K23" s="209" t="inlineStr">
        <is>
          <t>Włochy</t>
        </is>
      </c>
      <c r="L23" s="210" t="n">
        <v>174.927</v>
      </c>
      <c r="M23" s="211" t="n">
        <v>201.789</v>
      </c>
      <c r="N23" s="160" t="n"/>
      <c r="O23" s="209" t="inlineStr">
        <is>
          <t>Finlandia</t>
        </is>
      </c>
      <c r="P23" s="210" t="n">
        <v>87.87</v>
      </c>
      <c r="Q23" s="211" t="n">
        <v>65.88</v>
      </c>
      <c r="R23" s="239" t="n"/>
    </row>
    <row r="24" ht="20.15" customHeight="1" s="524">
      <c r="B24" s="209" t="inlineStr">
        <is>
          <t>Litwa</t>
        </is>
      </c>
      <c r="C24" s="210" t="n">
        <v>6183.662</v>
      </c>
      <c r="D24" s="211" t="n">
        <v>9428.334000000001</v>
      </c>
      <c r="E24" s="160" t="n"/>
      <c r="F24" s="209" t="inlineStr">
        <is>
          <t>Słowacja</t>
        </is>
      </c>
      <c r="G24" s="210" t="n">
        <v>6847.259</v>
      </c>
      <c r="H24" s="211" t="n">
        <v>10276.747</v>
      </c>
      <c r="K24" s="209" t="inlineStr">
        <is>
          <t>Irlandia</t>
        </is>
      </c>
      <c r="L24" s="210" t="n">
        <v>168.592</v>
      </c>
      <c r="M24" s="211" t="n">
        <v>64.756</v>
      </c>
      <c r="N24" s="160" t="n"/>
      <c r="O24" s="209" t="inlineStr">
        <is>
          <t>Estonia</t>
        </is>
      </c>
      <c r="P24" s="210" t="n">
        <v>86.82599999999999</v>
      </c>
      <c r="Q24" s="211" t="n">
        <v>40.461</v>
      </c>
      <c r="R24" s="239" t="n"/>
    </row>
    <row r="25" ht="20.15" customHeight="1" s="524">
      <c r="B25" s="209" t="inlineStr">
        <is>
          <t>Słowacja</t>
        </is>
      </c>
      <c r="C25" s="210" t="n">
        <v>5858.333</v>
      </c>
      <c r="D25" s="211" t="n">
        <v>7744.358</v>
      </c>
      <c r="E25" s="160" t="n"/>
      <c r="F25" s="209" t="inlineStr">
        <is>
          <t>Jordania</t>
        </is>
      </c>
      <c r="G25" s="210" t="n">
        <v>6102.943</v>
      </c>
      <c r="H25" s="211" t="n">
        <v>9333.911</v>
      </c>
      <c r="K25" s="209" t="inlineStr">
        <is>
          <t>Francja</t>
        </is>
      </c>
      <c r="L25" s="210" t="n">
        <v>138.429</v>
      </c>
      <c r="M25" s="211" t="n">
        <v>125.612</v>
      </c>
      <c r="N25" s="160" t="n"/>
      <c r="O25" s="209" t="inlineStr">
        <is>
          <t>Belgia</t>
        </is>
      </c>
      <c r="P25" s="210" t="n">
        <v>76.824</v>
      </c>
      <c r="Q25" s="211" t="n">
        <v>22.581</v>
      </c>
      <c r="R25" s="239" t="n"/>
    </row>
    <row r="26" ht="20.15" customHeight="1" s="524">
      <c r="B26" s="213" t="inlineStr">
        <is>
          <t>Łotwa</t>
        </is>
      </c>
      <c r="C26" s="214" t="n">
        <v>4968.695</v>
      </c>
      <c r="D26" s="215" t="n">
        <v>7223.491</v>
      </c>
      <c r="E26" s="160" t="n"/>
      <c r="F26" s="213" t="inlineStr">
        <is>
          <t>Wielka Brytania</t>
        </is>
      </c>
      <c r="G26" s="214" t="n">
        <v>5232.062</v>
      </c>
      <c r="H26" s="215" t="n">
        <v>6291.852</v>
      </c>
      <c r="I26" s="238" t="n"/>
      <c r="J26" s="238" t="n"/>
      <c r="K26" s="213" t="inlineStr">
        <is>
          <t>Słowacja</t>
        </is>
      </c>
      <c r="L26" s="214" t="n">
        <v>120.969</v>
      </c>
      <c r="M26" s="215" t="n">
        <v>70.298</v>
      </c>
      <c r="N26" s="160" t="n"/>
      <c r="O26" s="213" t="inlineStr">
        <is>
          <t>Węgry</t>
        </is>
      </c>
      <c r="P26" s="214" t="n">
        <v>66.605</v>
      </c>
      <c r="Q26" s="215" t="n">
        <v>26.455</v>
      </c>
      <c r="R26" s="239" t="n"/>
    </row>
    <row r="27" ht="20.15" customHeight="1" s="524" thickBot="1">
      <c r="B27" s="240" t="n"/>
      <c r="C27" s="241" t="n"/>
      <c r="D27" s="241" t="n"/>
      <c r="E27" s="242" t="n"/>
      <c r="F27" s="243" t="n"/>
      <c r="G27" s="244" t="n"/>
      <c r="H27" s="242" t="n"/>
      <c r="I27" s="245" t="n"/>
      <c r="J27" s="245" t="n"/>
      <c r="K27" s="245" t="n"/>
      <c r="L27" s="245" t="n"/>
      <c r="M27" s="242" t="n"/>
      <c r="N27" s="242" t="n"/>
      <c r="O27" s="242" t="n"/>
      <c r="P27" s="242" t="n"/>
      <c r="Q27" s="242" t="n"/>
      <c r="R27" s="246" t="n"/>
    </row>
    <row r="28" ht="20.15" customHeight="1" s="524">
      <c r="B28" s="247" t="n"/>
      <c r="C28" s="248" t="n"/>
      <c r="D28" s="248" t="n"/>
      <c r="E28" s="238" t="n"/>
      <c r="F28" s="249" t="n"/>
      <c r="G28" s="250" t="n"/>
      <c r="H28" s="238" t="n"/>
      <c r="I28" s="251" t="n"/>
      <c r="J28" s="251" t="n"/>
      <c r="K28" s="251" t="n"/>
      <c r="L28" s="251" t="n"/>
      <c r="M28" s="238" t="n"/>
      <c r="N28" s="238" t="n"/>
      <c r="O28" s="238" t="n"/>
      <c r="P28" s="238" t="n"/>
      <c r="Q28" s="238" t="n"/>
      <c r="R28" s="239" t="n"/>
    </row>
    <row r="30" ht="18.5" customHeight="1" s="524">
      <c r="B30" s="11" t="inlineStr">
        <is>
          <t>Eksport grzybów agaricus (CN 70095100) wg. ważniejszych krajów</t>
        </is>
      </c>
      <c r="C30" s="10" t="n"/>
      <c r="D30" s="10" t="n"/>
      <c r="E30" s="10" t="n"/>
      <c r="F30" s="10" t="n"/>
      <c r="G30" s="10" t="n"/>
      <c r="H30" s="10" t="n"/>
      <c r="K30" s="11" t="inlineStr">
        <is>
          <t>Eksport cebuli i szalotki (CN 070310) wg. ważniejszych krajów</t>
        </is>
      </c>
      <c r="L30" s="10" t="n"/>
      <c r="M30" s="10" t="n"/>
      <c r="N30" s="10" t="n"/>
      <c r="O30" s="10" t="n"/>
      <c r="P30" s="10" t="n"/>
      <c r="Q30" s="10" t="n"/>
    </row>
    <row r="31" ht="15.5" customHeight="1" s="524">
      <c r="B31" s="216" t="inlineStr">
        <is>
          <t xml:space="preserve">według ważniejszych krajów </t>
        </is>
      </c>
      <c r="C31" s="217" t="n"/>
      <c r="D31" s="217" t="n"/>
      <c r="E31" s="217" t="n"/>
      <c r="F31" s="218" t="n"/>
      <c r="G31" s="219" t="n"/>
      <c r="H31" s="220" t="n"/>
      <c r="K31" s="216" t="inlineStr">
        <is>
          <t xml:space="preserve">według ważniejszych krajów </t>
        </is>
      </c>
      <c r="L31" s="217" t="n"/>
      <c r="M31" s="217" t="n"/>
      <c r="N31" s="217" t="n"/>
      <c r="O31" s="218" t="n"/>
      <c r="P31" s="219" t="n"/>
      <c r="Q31" s="220" t="n"/>
    </row>
    <row r="32" ht="17" customHeight="1" s="524">
      <c r="B32" s="197" t="inlineStr">
        <is>
          <t>I-IV 2025r.*</t>
        </is>
      </c>
      <c r="C32" s="198" t="n"/>
      <c r="D32" s="199" t="n"/>
      <c r="E32" s="221" t="n"/>
      <c r="F32" s="197" t="inlineStr">
        <is>
          <t>I-IV 2026r.*</t>
        </is>
      </c>
      <c r="G32" s="198" t="n"/>
      <c r="H32" s="199" t="n"/>
      <c r="K32" s="197" t="inlineStr">
        <is>
          <t>I-IV 2025r.*</t>
        </is>
      </c>
      <c r="L32" s="198" t="n"/>
      <c r="M32" s="199" t="n"/>
      <c r="N32" s="221" t="n"/>
      <c r="O32" s="197" t="inlineStr">
        <is>
          <t>I-IV 2026r.*</t>
        </is>
      </c>
      <c r="P32" s="198" t="n"/>
      <c r="Q32" s="199" t="n"/>
    </row>
    <row r="33" ht="29.5" customHeight="1" s="524" thickBot="1">
      <c r="B33" s="200" t="inlineStr">
        <is>
          <t>Kraj</t>
        </is>
      </c>
      <c r="C33" s="201" t="inlineStr">
        <is>
          <t>Wartość [tys. EUR]</t>
        </is>
      </c>
      <c r="D33" s="202" t="inlineStr">
        <is>
          <t>Wolumen   [tony]</t>
        </is>
      </c>
      <c r="E33" s="160" t="n"/>
      <c r="F33" s="200" t="inlineStr">
        <is>
          <t>Kraj</t>
        </is>
      </c>
      <c r="G33" s="201" t="inlineStr">
        <is>
          <t>Wartość [tys. EUR]</t>
        </is>
      </c>
      <c r="H33" s="202" t="inlineStr">
        <is>
          <t>Wolumen   [tony]</t>
        </is>
      </c>
      <c r="K33" s="200" t="inlineStr">
        <is>
          <t>Kraj</t>
        </is>
      </c>
      <c r="L33" s="201" t="inlineStr">
        <is>
          <t>Wartość [tys. EUR]</t>
        </is>
      </c>
      <c r="M33" s="202" t="inlineStr">
        <is>
          <t>Wolumen   [tony]</t>
        </is>
      </c>
      <c r="N33" s="160" t="n"/>
      <c r="O33" s="200" t="inlineStr">
        <is>
          <t>Kraj</t>
        </is>
      </c>
      <c r="P33" s="201" t="inlineStr">
        <is>
          <t>Wartość [tys. EUR]</t>
        </is>
      </c>
      <c r="Q33" s="202" t="inlineStr">
        <is>
          <t>Wolumen   [tony]</t>
        </is>
      </c>
    </row>
    <row r="34" ht="14.5" customHeight="1" s="524">
      <c r="B34" s="203" t="inlineStr">
        <is>
          <t>OGÓŁEM</t>
        </is>
      </c>
      <c r="C34" s="204" t="n">
        <v>196843.819</v>
      </c>
      <c r="D34" s="205" t="n">
        <v>85744.637</v>
      </c>
      <c r="E34" s="160" t="n"/>
      <c r="F34" s="203" t="inlineStr">
        <is>
          <t>OGÓŁEM</t>
        </is>
      </c>
      <c r="G34" s="204" t="n">
        <v>190546.143</v>
      </c>
      <c r="H34" s="205" t="n">
        <v>81680.519</v>
      </c>
      <c r="K34" s="203" t="inlineStr">
        <is>
          <t>OGÓŁEM</t>
        </is>
      </c>
      <c r="L34" s="204" t="n">
        <v>39674.431</v>
      </c>
      <c r="M34" s="205" t="n">
        <v>59395.803</v>
      </c>
      <c r="N34" s="160" t="n"/>
      <c r="O34" s="203" t="inlineStr">
        <is>
          <t>OGÓŁEM</t>
        </is>
      </c>
      <c r="P34" s="204" t="n">
        <v>38777.673</v>
      </c>
      <c r="Q34" s="205" t="n">
        <v>64072.976</v>
      </c>
    </row>
    <row r="35" ht="14.5" customHeight="1" s="524">
      <c r="B35" s="206" t="inlineStr">
        <is>
          <t>Niemcy</t>
        </is>
      </c>
      <c r="C35" s="207" t="n">
        <v>55409.377</v>
      </c>
      <c r="D35" s="208" t="n">
        <v>22660.764</v>
      </c>
      <c r="E35" s="160" t="n"/>
      <c r="F35" s="206" t="inlineStr">
        <is>
          <t>Niemcy</t>
        </is>
      </c>
      <c r="G35" s="212" t="n">
        <v>56375.955</v>
      </c>
      <c r="H35" s="222" t="n">
        <v>21953.82</v>
      </c>
      <c r="K35" s="206" t="inlineStr">
        <is>
          <t>Holandia</t>
        </is>
      </c>
      <c r="L35" s="207" t="n">
        <v>11007.226</v>
      </c>
      <c r="M35" s="208" t="n">
        <v>16551.743</v>
      </c>
      <c r="N35" s="160" t="n"/>
      <c r="O35" s="206" t="inlineStr">
        <is>
          <t>Holandia</t>
        </is>
      </c>
      <c r="P35" s="212" t="n">
        <v>11233.004</v>
      </c>
      <c r="Q35" s="222" t="n">
        <v>18783.72</v>
      </c>
    </row>
    <row r="36" ht="14.5" customHeight="1" s="524">
      <c r="B36" s="209" t="inlineStr">
        <is>
          <t>Wielka Brytania</t>
        </is>
      </c>
      <c r="C36" s="210" t="n">
        <v>37422.31</v>
      </c>
      <c r="D36" s="211" t="n">
        <v>15979.846</v>
      </c>
      <c r="E36" s="160" t="n"/>
      <c r="F36" s="209" t="inlineStr">
        <is>
          <t>Wielka Brytania</t>
        </is>
      </c>
      <c r="G36" s="210" t="n">
        <v>34072.243</v>
      </c>
      <c r="H36" s="211" t="n">
        <v>14894.218</v>
      </c>
      <c r="K36" s="209" t="inlineStr">
        <is>
          <t>Wielka Brytania</t>
        </is>
      </c>
      <c r="L36" s="210" t="n">
        <v>9075.190000000001</v>
      </c>
      <c r="M36" s="211" t="n">
        <v>10477.814</v>
      </c>
      <c r="N36" s="160" t="n"/>
      <c r="O36" s="209" t="inlineStr">
        <is>
          <t>Wielka Brytania</t>
        </is>
      </c>
      <c r="P36" s="210" t="n">
        <v>7221.698</v>
      </c>
      <c r="Q36" s="211" t="n">
        <v>8793.715</v>
      </c>
    </row>
    <row r="37" ht="14.5" customHeight="1" s="524">
      <c r="B37" s="209" t="inlineStr">
        <is>
          <t>Francja</t>
        </is>
      </c>
      <c r="C37" s="210" t="n">
        <v>29016.448</v>
      </c>
      <c r="D37" s="211" t="n">
        <v>11777.669</v>
      </c>
      <c r="E37" s="160" t="n"/>
      <c r="F37" s="209" t="inlineStr">
        <is>
          <t>Francja</t>
        </is>
      </c>
      <c r="G37" s="210" t="n">
        <v>30864.553</v>
      </c>
      <c r="H37" s="211" t="n">
        <v>12027.222</v>
      </c>
      <c r="K37" s="209" t="inlineStr">
        <is>
          <t>Niemcy</t>
        </is>
      </c>
      <c r="L37" s="210" t="n">
        <v>4200.232</v>
      </c>
      <c r="M37" s="211" t="n">
        <v>6423.265</v>
      </c>
      <c r="N37" s="160" t="n"/>
      <c r="O37" s="209" t="inlineStr">
        <is>
          <t>Niemcy</t>
        </is>
      </c>
      <c r="P37" s="210" t="n">
        <v>4467.267</v>
      </c>
      <c r="Q37" s="211" t="n">
        <v>7158.792</v>
      </c>
    </row>
    <row r="38" ht="14.5" customHeight="1" s="524">
      <c r="B38" s="209" t="inlineStr">
        <is>
          <t>Włochy</t>
        </is>
      </c>
      <c r="C38" s="210" t="n">
        <v>11825.855</v>
      </c>
      <c r="D38" s="211" t="n">
        <v>7948.714</v>
      </c>
      <c r="E38" s="160" t="n"/>
      <c r="F38" s="209" t="inlineStr">
        <is>
          <t>Grecja</t>
        </is>
      </c>
      <c r="G38" s="210" t="n">
        <v>10043.785</v>
      </c>
      <c r="H38" s="211" t="n">
        <v>4873.164</v>
      </c>
      <c r="K38" s="209" t="inlineStr">
        <is>
          <t>Francja</t>
        </is>
      </c>
      <c r="L38" s="210" t="n">
        <v>3466.81</v>
      </c>
      <c r="M38" s="211" t="n">
        <v>5244.423</v>
      </c>
      <c r="N38" s="160" t="n"/>
      <c r="O38" s="209" t="inlineStr">
        <is>
          <t>Francja</t>
        </is>
      </c>
      <c r="P38" s="210" t="n">
        <v>4315.418</v>
      </c>
      <c r="Q38" s="211" t="n">
        <v>5977.797</v>
      </c>
    </row>
    <row r="39" ht="14.5" customHeight="1" s="524">
      <c r="B39" s="209" t="inlineStr">
        <is>
          <t>Grecja</t>
        </is>
      </c>
      <c r="C39" s="210" t="n">
        <v>10952.092</v>
      </c>
      <c r="D39" s="211" t="n">
        <v>5031.481</v>
      </c>
      <c r="E39" s="160" t="n"/>
      <c r="F39" s="209" t="inlineStr">
        <is>
          <t>Szwecja</t>
        </is>
      </c>
      <c r="G39" s="210" t="n">
        <v>8546.397999999999</v>
      </c>
      <c r="H39" s="211" t="n">
        <v>3080.195</v>
      </c>
      <c r="K39" s="209" t="inlineStr">
        <is>
          <t>Ukraina</t>
        </is>
      </c>
      <c r="L39" s="210" t="n">
        <v>2475.336</v>
      </c>
      <c r="M39" s="211" t="n">
        <v>2171.948</v>
      </c>
      <c r="N39" s="160" t="n"/>
      <c r="O39" s="209" t="inlineStr">
        <is>
          <t>Belgia</t>
        </is>
      </c>
      <c r="P39" s="210" t="n">
        <v>3713.198</v>
      </c>
      <c r="Q39" s="211" t="n">
        <v>7929.002</v>
      </c>
    </row>
    <row r="40" ht="14.5" customHeight="1" s="524">
      <c r="B40" s="209" t="inlineStr">
        <is>
          <t>Szwecja</t>
        </is>
      </c>
      <c r="C40" s="210" t="n">
        <v>7614.626</v>
      </c>
      <c r="D40" s="211" t="n">
        <v>2748.295</v>
      </c>
      <c r="E40" s="160" t="n"/>
      <c r="F40" s="209" t="inlineStr">
        <is>
          <t>Włochy</t>
        </is>
      </c>
      <c r="G40" s="210" t="n">
        <v>8439</v>
      </c>
      <c r="H40" s="211" t="n">
        <v>5865.809</v>
      </c>
      <c r="K40" s="209" t="inlineStr">
        <is>
          <t>Belgia</t>
        </is>
      </c>
      <c r="L40" s="210" t="n">
        <v>2461.102</v>
      </c>
      <c r="M40" s="211" t="n">
        <v>5303.44</v>
      </c>
      <c r="N40" s="160" t="n"/>
      <c r="O40" s="209" t="inlineStr">
        <is>
          <t>Ukraina</t>
        </is>
      </c>
      <c r="P40" s="210" t="n">
        <v>1623.882</v>
      </c>
      <c r="Q40" s="211" t="n">
        <v>1578.372</v>
      </c>
    </row>
    <row r="41" ht="14.5" customHeight="1" s="524">
      <c r="B41" s="209" t="inlineStr">
        <is>
          <t>Dania</t>
        </is>
      </c>
      <c r="C41" s="210" t="n">
        <v>5839.683</v>
      </c>
      <c r="D41" s="211" t="n">
        <v>1920.819</v>
      </c>
      <c r="E41" s="160" t="n"/>
      <c r="F41" s="209" t="inlineStr">
        <is>
          <t>Dania</t>
        </is>
      </c>
      <c r="G41" s="210" t="n">
        <v>5695.022</v>
      </c>
      <c r="H41" s="211" t="n">
        <v>1852.196</v>
      </c>
      <c r="K41" s="209" t="inlineStr">
        <is>
          <t>Włochy</t>
        </is>
      </c>
      <c r="L41" s="210" t="n">
        <v>1439.875</v>
      </c>
      <c r="M41" s="211" t="n">
        <v>1763.513</v>
      </c>
      <c r="N41" s="160" t="n"/>
      <c r="O41" s="209" t="inlineStr">
        <is>
          <t>Włochy</t>
        </is>
      </c>
      <c r="P41" s="210" t="n">
        <v>1255.505</v>
      </c>
      <c r="Q41" s="211" t="n">
        <v>1719.218</v>
      </c>
    </row>
    <row r="42" ht="14.5" customHeight="1" s="524">
      <c r="B42" s="209" t="inlineStr">
        <is>
          <t>Austria</t>
        </is>
      </c>
      <c r="C42" s="210" t="n">
        <v>5033.714</v>
      </c>
      <c r="D42" s="211" t="n">
        <v>1896.141</v>
      </c>
      <c r="E42" s="160" t="n"/>
      <c r="F42" s="209" t="inlineStr">
        <is>
          <t>Bułgaria</t>
        </is>
      </c>
      <c r="G42" s="210" t="n">
        <v>5445.693</v>
      </c>
      <c r="H42" s="211" t="n">
        <v>3318.401</v>
      </c>
      <c r="K42" s="209" t="inlineStr">
        <is>
          <t>Republika Czeska</t>
        </is>
      </c>
      <c r="L42" s="210" t="n">
        <v>1218.371</v>
      </c>
      <c r="M42" s="211" t="n">
        <v>2718.237</v>
      </c>
      <c r="N42" s="160" t="n"/>
      <c r="O42" s="209" t="inlineStr">
        <is>
          <t>Rumunia</t>
        </is>
      </c>
      <c r="P42" s="210" t="n">
        <v>842.52</v>
      </c>
      <c r="Q42" s="211" t="n">
        <v>2420.761</v>
      </c>
    </row>
    <row r="43" ht="14.5" customHeight="1" s="524">
      <c r="B43" s="209" t="inlineStr">
        <is>
          <t>Rumunia</t>
        </is>
      </c>
      <c r="C43" s="210" t="n">
        <v>5003.524</v>
      </c>
      <c r="D43" s="211" t="n">
        <v>2430.614</v>
      </c>
      <c r="E43" s="160" t="n"/>
      <c r="F43" s="209" t="inlineStr">
        <is>
          <t>Holandia</t>
        </is>
      </c>
      <c r="G43" s="210" t="n">
        <v>3744.104</v>
      </c>
      <c r="H43" s="211" t="n">
        <v>1623.548</v>
      </c>
      <c r="K43" s="209" t="inlineStr">
        <is>
          <t>Rumunia</t>
        </is>
      </c>
      <c r="L43" s="210" t="n">
        <v>967.318</v>
      </c>
      <c r="M43" s="211" t="n">
        <v>2410.951</v>
      </c>
      <c r="N43" s="160" t="n"/>
      <c r="O43" s="209" t="inlineStr">
        <is>
          <t>Hiszpania</t>
        </is>
      </c>
      <c r="P43" s="210" t="n">
        <v>769.774</v>
      </c>
      <c r="Q43" s="211" t="n">
        <v>1845.742</v>
      </c>
    </row>
    <row r="44" ht="14.5" customHeight="1" s="524">
      <c r="B44" s="209" t="inlineStr">
        <is>
          <t>Bułgaria</t>
        </is>
      </c>
      <c r="C44" s="210" t="n">
        <v>4904.753</v>
      </c>
      <c r="D44" s="211" t="n">
        <v>2595.652</v>
      </c>
      <c r="E44" s="160" t="n"/>
      <c r="F44" s="209" t="inlineStr">
        <is>
          <t>Norwegia</t>
        </is>
      </c>
      <c r="G44" s="210" t="n">
        <v>3696.212</v>
      </c>
      <c r="H44" s="211" t="n">
        <v>1347.834</v>
      </c>
      <c r="K44" s="209" t="inlineStr">
        <is>
          <t>Słowacja</t>
        </is>
      </c>
      <c r="L44" s="210" t="n">
        <v>944.59</v>
      </c>
      <c r="M44" s="211" t="n">
        <v>1892.105</v>
      </c>
      <c r="N44" s="160" t="n"/>
      <c r="O44" s="209" t="inlineStr">
        <is>
          <t>Słowacja</t>
        </is>
      </c>
      <c r="P44" s="210" t="n">
        <v>677.458</v>
      </c>
      <c r="Q44" s="211" t="n">
        <v>1696.502</v>
      </c>
    </row>
    <row r="45" ht="14.5" customHeight="1" s="524">
      <c r="B45" s="209" t="inlineStr">
        <is>
          <t>Holandia</t>
        </is>
      </c>
      <c r="C45" s="210" t="n">
        <v>4141.148</v>
      </c>
      <c r="D45" s="211" t="n">
        <v>1770.236</v>
      </c>
      <c r="E45" s="160" t="n"/>
      <c r="F45" s="209" t="inlineStr">
        <is>
          <t>Belgia</t>
        </is>
      </c>
      <c r="G45" s="210" t="n">
        <v>3640.057</v>
      </c>
      <c r="H45" s="211" t="n">
        <v>1477.654</v>
      </c>
      <c r="K45" s="209" t="inlineStr">
        <is>
          <t>Szwecja</t>
        </is>
      </c>
      <c r="L45" s="210" t="n">
        <v>420.166</v>
      </c>
      <c r="M45" s="211" t="n">
        <v>272.095</v>
      </c>
      <c r="N45" s="160" t="n"/>
      <c r="O45" s="209" t="inlineStr">
        <is>
          <t>Republika Czeska</t>
        </is>
      </c>
      <c r="P45" s="210" t="n">
        <v>582.208</v>
      </c>
      <c r="Q45" s="211" t="n">
        <v>1421.71</v>
      </c>
    </row>
    <row r="46" ht="14.5" customHeight="1" s="524">
      <c r="B46" s="209" t="inlineStr">
        <is>
          <t>Norwegia</t>
        </is>
      </c>
      <c r="C46" s="210" t="n">
        <v>3728.75</v>
      </c>
      <c r="D46" s="211" t="n">
        <v>1361.057</v>
      </c>
      <c r="E46" s="160" t="n"/>
      <c r="F46" s="209" t="inlineStr">
        <is>
          <t>Austria</t>
        </is>
      </c>
      <c r="G46" s="210" t="n">
        <v>3589.642</v>
      </c>
      <c r="H46" s="211" t="n">
        <v>1404.835</v>
      </c>
      <c r="K46" s="209" t="inlineStr">
        <is>
          <t>Litwa</t>
        </is>
      </c>
      <c r="L46" s="210" t="n">
        <v>368.469</v>
      </c>
      <c r="M46" s="211" t="n">
        <v>702.369</v>
      </c>
      <c r="N46" s="160" t="n"/>
      <c r="O46" s="209" t="inlineStr">
        <is>
          <t>Litwa</t>
        </is>
      </c>
      <c r="P46" s="210" t="n">
        <v>434.934</v>
      </c>
      <c r="Q46" s="211" t="n">
        <v>1060.856</v>
      </c>
    </row>
    <row r="47" ht="14.5" customHeight="1" s="524">
      <c r="B47" s="209" t="inlineStr">
        <is>
          <t>Belgia</t>
        </is>
      </c>
      <c r="C47" s="210" t="n">
        <v>3088.735</v>
      </c>
      <c r="D47" s="211" t="n">
        <v>1295.855</v>
      </c>
      <c r="E47" s="160" t="n"/>
      <c r="F47" s="209" t="inlineStr">
        <is>
          <t>Republika Czeska</t>
        </is>
      </c>
      <c r="G47" s="210" t="n">
        <v>3550.518</v>
      </c>
      <c r="H47" s="211" t="n">
        <v>1902.334</v>
      </c>
      <c r="K47" s="209" t="inlineStr">
        <is>
          <t>Bułgaria</t>
        </is>
      </c>
      <c r="L47" s="210" t="n">
        <v>367.304</v>
      </c>
      <c r="M47" s="211" t="n">
        <v>1081.99</v>
      </c>
      <c r="N47" s="160" t="n"/>
      <c r="O47" s="209" t="inlineStr">
        <is>
          <t>Białoruś</t>
        </is>
      </c>
      <c r="P47" s="210" t="n">
        <v>312.129</v>
      </c>
      <c r="Q47" s="211" t="n">
        <v>715.0650000000001</v>
      </c>
    </row>
    <row r="48" ht="14.5" customHeight="1" s="524">
      <c r="B48" s="209" t="inlineStr">
        <is>
          <t>Republika Czeska</t>
        </is>
      </c>
      <c r="C48" s="210" t="n">
        <v>2686.996</v>
      </c>
      <c r="D48" s="211" t="n">
        <v>1507.09</v>
      </c>
      <c r="E48" s="160" t="n"/>
      <c r="F48" s="209" t="inlineStr">
        <is>
          <t>Rumunia</t>
        </is>
      </c>
      <c r="G48" s="210" t="n">
        <v>3507.123</v>
      </c>
      <c r="H48" s="211" t="n">
        <v>1739.887</v>
      </c>
      <c r="K48" s="209" t="inlineStr">
        <is>
          <t>Białoruś</t>
        </is>
      </c>
      <c r="L48" s="210" t="n">
        <v>286.684</v>
      </c>
      <c r="M48" s="211" t="n">
        <v>568.9</v>
      </c>
      <c r="N48" s="160" t="n"/>
      <c r="O48" s="209" t="inlineStr">
        <is>
          <t>Węgry</t>
        </is>
      </c>
      <c r="P48" s="210" t="n">
        <v>283.317</v>
      </c>
      <c r="Q48" s="211" t="n">
        <v>528.8150000000001</v>
      </c>
    </row>
    <row r="49" ht="14.5" customHeight="1" s="524">
      <c r="B49" s="209" t="inlineStr">
        <is>
          <t>Szwajcaria</t>
        </is>
      </c>
      <c r="C49" s="210" t="n">
        <v>2027.559</v>
      </c>
      <c r="D49" s="211" t="n">
        <v>627.1900000000001</v>
      </c>
      <c r="E49" s="160" t="n"/>
      <c r="F49" s="209" t="inlineStr">
        <is>
          <t>Szwajcaria</t>
        </is>
      </c>
      <c r="G49" s="210" t="n">
        <v>2068.868</v>
      </c>
      <c r="H49" s="211" t="n">
        <v>620.95</v>
      </c>
      <c r="K49" s="209" t="inlineStr">
        <is>
          <t>Węgry</t>
        </is>
      </c>
      <c r="L49" s="210" t="n">
        <v>237.364</v>
      </c>
      <c r="M49" s="211" t="n">
        <v>370.343</v>
      </c>
      <c r="N49" s="160" t="n"/>
      <c r="O49" s="209" t="inlineStr">
        <is>
          <t>Irlandia</t>
        </is>
      </c>
      <c r="P49" s="210" t="n">
        <v>228.454</v>
      </c>
      <c r="Q49" s="211" t="n">
        <v>344.95</v>
      </c>
    </row>
    <row r="50" ht="14.5" customHeight="1" s="524">
      <c r="B50" s="213" t="inlineStr">
        <is>
          <t>Węgry</t>
        </is>
      </c>
      <c r="C50" s="214" t="n">
        <v>1973</v>
      </c>
      <c r="D50" s="215" t="n">
        <v>1051.314</v>
      </c>
      <c r="E50" s="160" t="n"/>
      <c r="F50" s="213" t="inlineStr">
        <is>
          <t>Słowacja</t>
        </is>
      </c>
      <c r="G50" s="214" t="n">
        <v>1825.163</v>
      </c>
      <c r="H50" s="215" t="n">
        <v>1063.528</v>
      </c>
      <c r="K50" s="213" t="inlineStr">
        <is>
          <t>Łotwa</t>
        </is>
      </c>
      <c r="L50" s="214" t="n">
        <v>179.85</v>
      </c>
      <c r="M50" s="215" t="n">
        <v>397.628</v>
      </c>
      <c r="N50" s="160" t="n"/>
      <c r="O50" s="213" t="inlineStr">
        <is>
          <t>Mołdowa</t>
        </is>
      </c>
      <c r="P50" s="214" t="n">
        <v>149.121</v>
      </c>
      <c r="Q50" s="215" t="n">
        <v>152</v>
      </c>
    </row>
  </sheetData>
  <pageMargins left="0" right="0" top="0.3543307086614174" bottom="0.3543307086614174" header="0.2362204724409449" footer="0.1181102362204725"/>
  <pageSetup orientation="landscape" paperSize="9" scale="54"/>
  <headerFooter alignWithMargins="0">
    <oddHeader/>
    <oddFooter>&amp;L&amp;"Times New Roman CE,Pogrubiona kursywa"&amp;12 Źródło: Dane MF, CIHZ&amp;R&amp;"Times New Roman CE,Pogrubiona kursywa"&amp;12 Przygotowała: Agnieszka Szarejko-Pater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theme="8" tint="0.3999755851924192"/>
    <outlinePr summaryBelow="1" summaryRight="1"/>
    <pageSetUpPr fitToPage="1"/>
  </sheetPr>
  <dimension ref="A1:R51"/>
  <sheetViews>
    <sheetView showGridLines="0" zoomScaleNormal="100" workbookViewId="0">
      <selection activeCell="K33" sqref="K33"/>
    </sheetView>
  </sheetViews>
  <sheetFormatPr baseColWidth="8" defaultColWidth="9.1796875" defaultRowHeight="13"/>
  <cols>
    <col width="10.7265625" customWidth="1" style="228" min="1" max="1"/>
    <col width="15.7265625" customWidth="1" style="228" min="2" max="2"/>
    <col width="10.7265625" customWidth="1" style="228" min="3" max="5"/>
    <col width="26.81640625" bestFit="1" customWidth="1" style="228" min="6" max="6"/>
    <col width="10.7265625" customWidth="1" style="228" min="7" max="8"/>
    <col width="5.7265625" customWidth="1" style="228" min="9" max="10"/>
    <col width="15.7265625" customWidth="1" style="228" min="11" max="11"/>
    <col width="10.7265625" customWidth="1" style="228" min="12" max="14"/>
    <col width="15.7265625" customWidth="1" style="228" min="15" max="15"/>
    <col width="10" customWidth="1" style="228" min="16" max="16"/>
    <col width="10.7265625" customWidth="1" style="228" min="17" max="17"/>
    <col width="14.1796875" customWidth="1" style="228" min="18" max="18"/>
    <col width="9.1796875" customWidth="1" style="228" min="19" max="16384"/>
  </cols>
  <sheetData>
    <row r="1" ht="25" customFormat="1" customHeight="1" s="29">
      <c r="C1" s="129" t="n"/>
      <c r="E1" s="30" t="n"/>
      <c r="J1" s="31" t="n"/>
      <c r="K1" s="32" t="n"/>
    </row>
    <row r="2" ht="25" customFormat="1" customHeight="1" s="29">
      <c r="A2" s="223" t="n"/>
      <c r="B2" s="34" t="inlineStr">
        <is>
          <t>HANDEL ZAGRANICZNY I-XI 2025 - DANE WSTĘPNE</t>
        </is>
      </c>
      <c r="C2" s="48" t="n"/>
      <c r="D2" s="224" t="n"/>
      <c r="E2" s="224" t="n"/>
      <c r="F2" s="224" t="n"/>
      <c r="G2" s="224" t="n"/>
      <c r="H2" s="224" t="n"/>
      <c r="I2" s="224" t="n"/>
    </row>
    <row r="3" ht="25" customFormat="1" customHeight="1" s="29" thickBot="1">
      <c r="B3" s="37" t="n"/>
      <c r="C3" s="149" t="n"/>
      <c r="D3" s="149" t="n"/>
      <c r="E3" s="151" t="n"/>
      <c r="F3" s="152" t="n"/>
      <c r="G3" s="225" t="n"/>
      <c r="H3" s="226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</row>
    <row r="4" ht="25" customFormat="1" customHeight="1" s="29" thickTop="1">
      <c r="B4" s="227" t="inlineStr">
        <is>
          <t>Źródło danych: Ministerstwo Finansów</t>
        </is>
      </c>
      <c r="C4" s="48" t="n"/>
      <c r="D4" s="47" t="n"/>
      <c r="E4" s="48" t="n"/>
      <c r="F4" s="132" t="n"/>
      <c r="G4" s="228" t="n"/>
      <c r="H4" s="224" t="n"/>
      <c r="K4" s="228" t="n"/>
      <c r="L4" s="228" t="n"/>
      <c r="M4" s="228" t="n"/>
      <c r="P4" s="228" t="n"/>
      <c r="Q4" s="159">
        <f>POMOC!B5</f>
        <v/>
      </c>
    </row>
    <row r="5" ht="20.15" customFormat="1" customHeight="1" s="229">
      <c r="B5" s="286" t="inlineStr">
        <is>
          <t>UWAGA! DANE W TRAKCIE WERYFIKACJI - MOGĄ BYĆ OBARCZONE ISTOTNYMI BŁĘDAMI</t>
        </is>
      </c>
      <c r="C5" s="230" t="n"/>
      <c r="D5" s="231" t="n"/>
      <c r="E5" s="231" t="n"/>
      <c r="F5" s="231" t="n"/>
      <c r="M5" s="29" t="n"/>
      <c r="N5" s="29" t="n"/>
    </row>
    <row r="6" ht="20.15" customFormat="1" customHeight="1" s="229">
      <c r="B6" s="11" t="inlineStr">
        <is>
          <t>Import bananów (CN 0803) wg. ważniejszych krajów</t>
        </is>
      </c>
      <c r="C6" s="10" t="n"/>
      <c r="D6" s="10" t="n"/>
      <c r="E6" s="10" t="n"/>
      <c r="F6" s="10" t="n"/>
      <c r="G6" s="10" t="n"/>
      <c r="H6" s="10" t="n"/>
      <c r="I6" s="10" t="n"/>
      <c r="J6" s="11" t="inlineStr">
        <is>
          <t>Import pomidorów (CN 0702) wg. ważniejszych krajów</t>
        </is>
      </c>
      <c r="K6" s="10" t="n"/>
      <c r="L6" s="10" t="n"/>
      <c r="M6" s="10" t="n"/>
      <c r="N6" s="10" t="n"/>
      <c r="O6" s="10" t="n"/>
    </row>
    <row r="7" ht="20.15" customFormat="1" customHeight="1" s="233">
      <c r="B7" s="216" t="inlineStr">
        <is>
          <t xml:space="preserve">według ważniejszych krajów </t>
        </is>
      </c>
      <c r="C7" s="217" t="n"/>
      <c r="D7" s="217" t="n"/>
      <c r="E7" s="217" t="n"/>
      <c r="F7" s="218" t="n"/>
      <c r="G7" s="219" t="n"/>
      <c r="H7" s="220" t="n"/>
      <c r="I7" s="234" t="n"/>
      <c r="J7" s="234" t="n"/>
      <c r="K7" s="216" t="inlineStr">
        <is>
          <t xml:space="preserve">według ważniejszych krajów </t>
        </is>
      </c>
      <c r="L7" s="217" t="n"/>
      <c r="M7" s="232" t="n"/>
      <c r="N7" s="232" t="n"/>
      <c r="O7" s="235" t="n"/>
      <c r="P7" s="236" t="n"/>
      <c r="Q7" s="236" t="n"/>
    </row>
    <row r="8" ht="20.15" customHeight="1" s="524">
      <c r="B8" s="197" t="inlineStr">
        <is>
          <t>I-V 2025r.*</t>
        </is>
      </c>
      <c r="C8" s="198" t="n"/>
      <c r="D8" s="199" t="n"/>
      <c r="E8" s="221" t="n"/>
      <c r="F8" s="197" t="inlineStr">
        <is>
          <t>I-V 2026r.*</t>
        </is>
      </c>
      <c r="G8" s="198" t="n"/>
      <c r="H8" s="199" t="n"/>
      <c r="I8" s="237" t="n"/>
      <c r="J8" s="237" t="n"/>
      <c r="K8" s="197" t="inlineStr">
        <is>
          <t>I-V 2025r.*</t>
        </is>
      </c>
      <c r="L8" s="198" t="n"/>
      <c r="M8" s="199" t="n"/>
      <c r="N8" s="221" t="n"/>
      <c r="O8" s="197" t="inlineStr">
        <is>
          <t>I-V 2026r.*</t>
        </is>
      </c>
      <c r="P8" s="198" t="n"/>
      <c r="Q8" s="199" t="n"/>
      <c r="R8" s="238" t="n"/>
    </row>
    <row r="9" ht="40" customHeight="1" s="524" thickBot="1">
      <c r="B9" s="200" t="inlineStr">
        <is>
          <t>Kraj</t>
        </is>
      </c>
      <c r="C9" s="201" t="inlineStr">
        <is>
          <t>Wartość [tys. EUR]</t>
        </is>
      </c>
      <c r="D9" s="202" t="inlineStr">
        <is>
          <t>Wolumen   [tony]</t>
        </is>
      </c>
      <c r="E9" s="160" t="n"/>
      <c r="F9" s="200" t="inlineStr">
        <is>
          <t>Kraj</t>
        </is>
      </c>
      <c r="G9" s="201" t="inlineStr">
        <is>
          <t>Wartość [tys. EUR]</t>
        </is>
      </c>
      <c r="H9" s="202" t="inlineStr">
        <is>
          <t>Wolumen   [tony]</t>
        </is>
      </c>
      <c r="K9" s="200" t="inlineStr">
        <is>
          <t>Kraj</t>
        </is>
      </c>
      <c r="L9" s="201" t="inlineStr">
        <is>
          <t>Wartość [tys. EUR]</t>
        </is>
      </c>
      <c r="M9" s="202" t="inlineStr">
        <is>
          <t>Wolumen   [tony]</t>
        </is>
      </c>
      <c r="N9" s="160" t="n"/>
      <c r="O9" s="200" t="inlineStr">
        <is>
          <t>Kraj</t>
        </is>
      </c>
      <c r="P9" s="201" t="inlineStr">
        <is>
          <t>Wartość [tys. EUR]</t>
        </is>
      </c>
      <c r="Q9" s="202" t="inlineStr">
        <is>
          <t>Wolumen   [tony]</t>
        </is>
      </c>
      <c r="R9" s="238" t="n"/>
    </row>
    <row r="10" ht="20.15" customHeight="1" s="524">
      <c r="B10" s="203" t="inlineStr">
        <is>
          <t>OGÓŁEM</t>
        </is>
      </c>
      <c r="C10" s="204" t="n">
        <v>164883.213</v>
      </c>
      <c r="D10" s="205" t="n">
        <v>219630.023</v>
      </c>
      <c r="E10" s="160" t="n"/>
      <c r="F10" s="203" t="inlineStr">
        <is>
          <t>OGÓŁEM</t>
        </is>
      </c>
      <c r="G10" s="204" t="n">
        <v>169823.247</v>
      </c>
      <c r="H10" s="205" t="n">
        <v>234434.209</v>
      </c>
      <c r="K10" s="203" t="inlineStr">
        <is>
          <t>OGÓŁEM</t>
        </is>
      </c>
      <c r="L10" s="204" t="n">
        <v>248174.367</v>
      </c>
      <c r="M10" s="205" t="n">
        <v>127578.546</v>
      </c>
      <c r="N10" s="160" t="n"/>
      <c r="O10" s="203" t="inlineStr">
        <is>
          <t>OGÓŁEM</t>
        </is>
      </c>
      <c r="P10" s="204" t="n">
        <v>286410.962</v>
      </c>
      <c r="Q10" s="205" t="n">
        <v>119409.107</v>
      </c>
      <c r="R10" s="238" t="n"/>
    </row>
    <row r="11" ht="20.15" customHeight="1" s="524">
      <c r="B11" s="206" t="inlineStr">
        <is>
          <t>Ekwador</t>
        </is>
      </c>
      <c r="C11" s="207" t="n">
        <v>83760.821</v>
      </c>
      <c r="D11" s="208" t="n">
        <v>114217.317</v>
      </c>
      <c r="E11" s="160" t="n"/>
      <c r="F11" s="206" t="inlineStr">
        <is>
          <t>Ekwador</t>
        </is>
      </c>
      <c r="G11" s="212" t="n">
        <v>83455.948</v>
      </c>
      <c r="H11" s="222" t="n">
        <v>116762.208</v>
      </c>
      <c r="K11" s="206" t="inlineStr">
        <is>
          <t>Holandia</t>
        </is>
      </c>
      <c r="L11" s="207" t="n">
        <v>88759.458</v>
      </c>
      <c r="M11" s="208" t="n">
        <v>50031.509</v>
      </c>
      <c r="N11" s="160" t="n"/>
      <c r="O11" s="206" t="inlineStr">
        <is>
          <t>Holandia</t>
        </is>
      </c>
      <c r="P11" s="212" t="n">
        <v>94309.686</v>
      </c>
      <c r="Q11" s="222" t="n">
        <v>43562.05</v>
      </c>
      <c r="R11" s="239" t="n"/>
    </row>
    <row r="12" ht="20.15" customHeight="1" s="524">
      <c r="B12" s="209" t="inlineStr">
        <is>
          <t>Kolumbia</t>
        </is>
      </c>
      <c r="C12" s="210" t="n">
        <v>38096.739</v>
      </c>
      <c r="D12" s="211" t="n">
        <v>44499.123</v>
      </c>
      <c r="E12" s="160" t="n"/>
      <c r="F12" s="209" t="inlineStr">
        <is>
          <t>Kolumbia</t>
        </is>
      </c>
      <c r="G12" s="210" t="n">
        <v>39808.359</v>
      </c>
      <c r="H12" s="211" t="n">
        <v>52501.457</v>
      </c>
      <c r="K12" s="209" t="inlineStr">
        <is>
          <t>Hiszpania</t>
        </is>
      </c>
      <c r="L12" s="210" t="n">
        <v>45508.524</v>
      </c>
      <c r="M12" s="211" t="n">
        <v>23982.588</v>
      </c>
      <c r="N12" s="160" t="n"/>
      <c r="O12" s="209" t="inlineStr">
        <is>
          <t>Hiszpania</t>
        </is>
      </c>
      <c r="P12" s="210" t="n">
        <v>83083.126</v>
      </c>
      <c r="Q12" s="211" t="n">
        <v>33904.12</v>
      </c>
      <c r="R12" s="239" t="n"/>
    </row>
    <row r="13" ht="20.15" customHeight="1" s="524">
      <c r="B13" s="209" t="inlineStr">
        <is>
          <t>Gwatemala</t>
        </is>
      </c>
      <c r="C13" s="210" t="n">
        <v>20034.98</v>
      </c>
      <c r="D13" s="211" t="n">
        <v>28951.234</v>
      </c>
      <c r="E13" s="160" t="n"/>
      <c r="F13" s="209" t="inlineStr">
        <is>
          <t>Gwatemala</t>
        </is>
      </c>
      <c r="G13" s="210" t="n">
        <v>25835.592</v>
      </c>
      <c r="H13" s="211" t="n">
        <v>38537.482</v>
      </c>
      <c r="K13" s="209" t="inlineStr">
        <is>
          <t>Niemcy</t>
        </is>
      </c>
      <c r="L13" s="210" t="n">
        <v>38086.946</v>
      </c>
      <c r="M13" s="211" t="n">
        <v>13804.135</v>
      </c>
      <c r="N13" s="160" t="n"/>
      <c r="O13" s="209" t="inlineStr">
        <is>
          <t>Niemcy</t>
        </is>
      </c>
      <c r="P13" s="210" t="n">
        <v>43327.51</v>
      </c>
      <c r="Q13" s="211" t="n">
        <v>12894.128</v>
      </c>
      <c r="R13" s="239" t="n"/>
    </row>
    <row r="14" ht="20.15" customHeight="1" s="524">
      <c r="B14" s="209" t="inlineStr">
        <is>
          <t>Kostaryka</t>
        </is>
      </c>
      <c r="C14" s="210" t="n">
        <v>16306.224</v>
      </c>
      <c r="D14" s="211" t="n">
        <v>22237.717</v>
      </c>
      <c r="E14" s="160" t="n"/>
      <c r="F14" s="209" t="inlineStr">
        <is>
          <t>Kostaryka</t>
        </is>
      </c>
      <c r="G14" s="210" t="n">
        <v>13835.891</v>
      </c>
      <c r="H14" s="211" t="n">
        <v>18262.398</v>
      </c>
      <c r="K14" s="209" t="inlineStr">
        <is>
          <t>Maroko</t>
        </is>
      </c>
      <c r="L14" s="210" t="n">
        <v>33719.784</v>
      </c>
      <c r="M14" s="211" t="n">
        <v>16365.65</v>
      </c>
      <c r="N14" s="160" t="n"/>
      <c r="O14" s="209" t="inlineStr">
        <is>
          <t>Maroko</t>
        </is>
      </c>
      <c r="P14" s="210" t="n">
        <v>26292.415</v>
      </c>
      <c r="Q14" s="211" t="n">
        <v>12040.58</v>
      </c>
      <c r="R14" s="239" t="n"/>
    </row>
    <row r="15" ht="20.15" customHeight="1" s="524">
      <c r="B15" s="209" t="inlineStr">
        <is>
          <t>Panama</t>
        </is>
      </c>
      <c r="C15" s="210" t="n">
        <v>3592.329</v>
      </c>
      <c r="D15" s="211" t="n">
        <v>5514.272</v>
      </c>
      <c r="E15" s="160" t="n"/>
      <c r="F15" s="209" t="inlineStr">
        <is>
          <t>Kamerun</t>
        </is>
      </c>
      <c r="G15" s="210" t="n">
        <v>2739.554</v>
      </c>
      <c r="H15" s="211" t="n">
        <v>3456.197</v>
      </c>
      <c r="K15" s="209" t="inlineStr">
        <is>
          <t>Turcja</t>
        </is>
      </c>
      <c r="L15" s="210" t="n">
        <v>21134.359</v>
      </c>
      <c r="M15" s="211" t="n">
        <v>15432.983</v>
      </c>
      <c r="N15" s="160" t="n"/>
      <c r="O15" s="209" t="inlineStr">
        <is>
          <t>Turcja</t>
        </is>
      </c>
      <c r="P15" s="210" t="n">
        <v>17088.877</v>
      </c>
      <c r="Q15" s="211" t="n">
        <v>9826.156999999999</v>
      </c>
      <c r="R15" s="239" t="n"/>
    </row>
    <row r="16" ht="20.15" customHeight="1" s="524">
      <c r="B16" s="209" t="inlineStr">
        <is>
          <t>Dominikana</t>
        </is>
      </c>
      <c r="C16" s="210" t="n">
        <v>568.5940000000001</v>
      </c>
      <c r="D16" s="211" t="n">
        <v>1086.005</v>
      </c>
      <c r="E16" s="160" t="n"/>
      <c r="F16" s="209" t="inlineStr">
        <is>
          <t>Panama</t>
        </is>
      </c>
      <c r="G16" s="210" t="n">
        <v>1375.489</v>
      </c>
      <c r="H16" s="211" t="n">
        <v>2164.817</v>
      </c>
      <c r="K16" s="209" t="inlineStr">
        <is>
          <t>Francja</t>
        </is>
      </c>
      <c r="L16" s="210" t="n">
        <v>6733.255</v>
      </c>
      <c r="M16" s="211" t="n">
        <v>2633.562</v>
      </c>
      <c r="N16" s="160" t="n"/>
      <c r="O16" s="209" t="inlineStr">
        <is>
          <t>Włochy</t>
        </is>
      </c>
      <c r="P16" s="210" t="n">
        <v>10345.895</v>
      </c>
      <c r="Q16" s="211" t="n">
        <v>3024.44</v>
      </c>
      <c r="R16" s="239" t="n"/>
    </row>
    <row r="17" ht="20.15" customHeight="1" s="524">
      <c r="B17" s="209" t="inlineStr">
        <is>
          <t>Hiszpania</t>
        </is>
      </c>
      <c r="C17" s="210" t="n">
        <v>512.02</v>
      </c>
      <c r="D17" s="211" t="n">
        <v>512.8920000000001</v>
      </c>
      <c r="E17" s="160" t="n"/>
      <c r="F17" s="209" t="inlineStr">
        <is>
          <t>Hiszpania</t>
        </is>
      </c>
      <c r="G17" s="210" t="n">
        <v>494.489</v>
      </c>
      <c r="H17" s="211" t="n">
        <v>493.992</v>
      </c>
      <c r="K17" s="209" t="inlineStr">
        <is>
          <t>Włochy</t>
        </is>
      </c>
      <c r="L17" s="210" t="n">
        <v>5663.31</v>
      </c>
      <c r="M17" s="211" t="n">
        <v>1872.925</v>
      </c>
      <c r="N17" s="160" t="n"/>
      <c r="O17" s="209" t="inlineStr">
        <is>
          <t>Belgia</t>
        </is>
      </c>
      <c r="P17" s="210" t="n">
        <v>5390.064</v>
      </c>
      <c r="Q17" s="211" t="n">
        <v>1273.07</v>
      </c>
      <c r="R17" s="239" t="n"/>
    </row>
    <row r="18" ht="20.15" customHeight="1" s="524">
      <c r="B18" s="209" t="inlineStr">
        <is>
          <t>Włochy</t>
        </is>
      </c>
      <c r="C18" s="210" t="n">
        <v>404.457</v>
      </c>
      <c r="D18" s="211" t="n">
        <v>19.354</v>
      </c>
      <c r="E18" s="160" t="n"/>
      <c r="F18" s="209" t="inlineStr">
        <is>
          <t>Włochy</t>
        </is>
      </c>
      <c r="G18" s="210" t="n">
        <v>434.398</v>
      </c>
      <c r="H18" s="211" t="n">
        <v>19.631</v>
      </c>
      <c r="K18" s="209" t="inlineStr">
        <is>
          <t>Belgia</t>
        </is>
      </c>
      <c r="L18" s="210" t="n">
        <v>2726.016</v>
      </c>
      <c r="M18" s="211" t="n">
        <v>589.585</v>
      </c>
      <c r="N18" s="160" t="n"/>
      <c r="O18" s="209" t="inlineStr">
        <is>
          <t>Tunezja</t>
        </is>
      </c>
      <c r="P18" s="210" t="n">
        <v>2227.788</v>
      </c>
      <c r="Q18" s="211" t="n">
        <v>691.301</v>
      </c>
      <c r="R18" s="239" t="n"/>
    </row>
    <row r="19" ht="20.15" customHeight="1" s="524">
      <c r="B19" s="209" t="inlineStr">
        <is>
          <t>Wybrzeże Kości Słoniowej</t>
        </is>
      </c>
      <c r="C19" s="210" t="n">
        <v>397.057</v>
      </c>
      <c r="D19" s="211" t="n">
        <v>605.047</v>
      </c>
      <c r="E19" s="160" t="n"/>
      <c r="F19" s="209" t="inlineStr">
        <is>
          <t>Wybrzeże Kości Słoniowej</t>
        </is>
      </c>
      <c r="G19" s="210" t="n">
        <v>313.309</v>
      </c>
      <c r="H19" s="211" t="n">
        <v>391.196</v>
      </c>
      <c r="K19" s="209" t="inlineStr">
        <is>
          <t>Portugalia</t>
        </is>
      </c>
      <c r="L19" s="210" t="n">
        <v>1533.306</v>
      </c>
      <c r="M19" s="211" t="n">
        <v>695.755</v>
      </c>
      <c r="N19" s="160" t="n"/>
      <c r="O19" s="209" t="inlineStr">
        <is>
          <t>Azerbejdżan</t>
        </is>
      </c>
      <c r="P19" s="210" t="n">
        <v>1165.803</v>
      </c>
      <c r="Q19" s="211" t="n">
        <v>804</v>
      </c>
      <c r="R19" s="239" t="n"/>
    </row>
    <row r="20" ht="20.15" customHeight="1" s="524">
      <c r="B20" s="209" t="inlineStr">
        <is>
          <t>Francja</t>
        </is>
      </c>
      <c r="C20" s="210" t="n">
        <v>369.528</v>
      </c>
      <c r="D20" s="211" t="n">
        <v>979.893</v>
      </c>
      <c r="E20" s="160" t="n"/>
      <c r="F20" s="209" t="inlineStr">
        <is>
          <t>Nikaragua</t>
        </is>
      </c>
      <c r="G20" s="210" t="n">
        <v>259.683</v>
      </c>
      <c r="H20" s="211" t="n">
        <v>366.013</v>
      </c>
      <c r="K20" s="209" t="inlineStr">
        <is>
          <t>Senegal</t>
        </is>
      </c>
      <c r="L20" s="210" t="n">
        <v>1368.462</v>
      </c>
      <c r="M20" s="211" t="n">
        <v>476.988</v>
      </c>
      <c r="N20" s="160" t="n"/>
      <c r="O20" s="209" t="inlineStr">
        <is>
          <t>Macedonia</t>
        </is>
      </c>
      <c r="P20" s="210" t="n">
        <v>526.431</v>
      </c>
      <c r="Q20" s="211" t="n">
        <v>239.544</v>
      </c>
      <c r="R20" s="239" t="n"/>
    </row>
    <row r="21" ht="20.15" customHeight="1" s="524">
      <c r="B21" s="209" t="inlineStr">
        <is>
          <t>Kamerun</t>
        </is>
      </c>
      <c r="C21" s="210" t="n">
        <v>266.598</v>
      </c>
      <c r="D21" s="211" t="n">
        <v>318.889</v>
      </c>
      <c r="E21" s="160" t="n"/>
      <c r="F21" s="209" t="inlineStr">
        <is>
          <t>Francja</t>
        </is>
      </c>
      <c r="G21" s="210" t="n">
        <v>251.434</v>
      </c>
      <c r="H21" s="211" t="n">
        <v>192.188</v>
      </c>
      <c r="K21" s="209" t="inlineStr">
        <is>
          <t>Tunezja</t>
        </is>
      </c>
      <c r="L21" s="210" t="n">
        <v>1184.082</v>
      </c>
      <c r="M21" s="211" t="n">
        <v>685.056</v>
      </c>
      <c r="N21" s="160" t="n"/>
      <c r="O21" s="209" t="inlineStr">
        <is>
          <t>Francja</t>
        </is>
      </c>
      <c r="P21" s="210" t="n">
        <v>514.9</v>
      </c>
      <c r="Q21" s="211" t="n">
        <v>191.073</v>
      </c>
      <c r="R21" s="239" t="n"/>
    </row>
    <row r="22" ht="20.15" customHeight="1" s="524">
      <c r="B22" s="209" t="inlineStr">
        <is>
          <t>Peru</t>
        </is>
      </c>
      <c r="C22" s="210" t="n">
        <v>118.724</v>
      </c>
      <c r="D22" s="211" t="n">
        <v>221.385</v>
      </c>
      <c r="E22" s="160" t="n"/>
      <c r="F22" s="209" t="inlineStr">
        <is>
          <t>Dominikana</t>
        </is>
      </c>
      <c r="G22" s="210" t="n">
        <v>181.122</v>
      </c>
      <c r="H22" s="211" t="n">
        <v>271.708</v>
      </c>
      <c r="K22" s="209" t="inlineStr">
        <is>
          <t>Azerbejdżan</t>
        </is>
      </c>
      <c r="L22" s="210" t="n">
        <v>1070.787</v>
      </c>
      <c r="M22" s="211" t="n">
        <v>708.5</v>
      </c>
      <c r="N22" s="160" t="n"/>
      <c r="O22" s="209" t="inlineStr">
        <is>
          <t>Ukraina</t>
        </is>
      </c>
      <c r="P22" s="210" t="n">
        <v>498.597</v>
      </c>
      <c r="Q22" s="211" t="n">
        <v>144.936</v>
      </c>
      <c r="R22" s="239" t="n"/>
    </row>
    <row r="23" ht="20.15" customHeight="1" s="524">
      <c r="B23" s="209" t="inlineStr">
        <is>
          <t>Brazylia</t>
        </is>
      </c>
      <c r="C23" s="210" t="n">
        <v>105.896</v>
      </c>
      <c r="D23" s="211" t="n">
        <v>117.158</v>
      </c>
      <c r="E23" s="160" t="n"/>
      <c r="F23" s="209" t="inlineStr">
        <is>
          <t>Chiny</t>
        </is>
      </c>
      <c r="G23" s="210" t="n">
        <v>140.697</v>
      </c>
      <c r="H23" s="211" t="n">
        <v>16.949</v>
      </c>
      <c r="K23" s="209" t="inlineStr">
        <is>
          <t>Egipt</t>
        </is>
      </c>
      <c r="L23" s="210" t="n">
        <v>265.538</v>
      </c>
      <c r="M23" s="211" t="n">
        <v>97.48</v>
      </c>
      <c r="N23" s="160" t="n"/>
      <c r="O23" s="209" t="inlineStr">
        <is>
          <t>Bułgaria</t>
        </is>
      </c>
      <c r="P23" s="210" t="n">
        <v>441.252</v>
      </c>
      <c r="Q23" s="211" t="n">
        <v>230.657</v>
      </c>
      <c r="R23" s="239" t="n"/>
    </row>
    <row r="24" ht="20.15" customHeight="1" s="524">
      <c r="B24" s="209" t="inlineStr">
        <is>
          <t>India</t>
        </is>
      </c>
      <c r="C24" s="210" t="n">
        <v>68.956</v>
      </c>
      <c r="D24" s="211" t="n">
        <v>7.858</v>
      </c>
      <c r="E24" s="160" t="n"/>
      <c r="F24" s="209" t="inlineStr">
        <is>
          <t>Brazylia</t>
        </is>
      </c>
      <c r="G24" s="210" t="n">
        <v>121.116</v>
      </c>
      <c r="H24" s="211" t="n">
        <v>192.234</v>
      </c>
      <c r="K24" s="209" t="inlineStr">
        <is>
          <t>Ukraina</t>
        </is>
      </c>
      <c r="L24" s="210" t="n">
        <v>137.28</v>
      </c>
      <c r="M24" s="211" t="n">
        <v>34.32</v>
      </c>
      <c r="N24" s="160" t="n"/>
      <c r="O24" s="209" t="inlineStr">
        <is>
          <t>Węgry</t>
        </is>
      </c>
      <c r="P24" s="210" t="n">
        <v>439.873</v>
      </c>
      <c r="Q24" s="211" t="n">
        <v>223.768</v>
      </c>
      <c r="R24" s="239" t="n"/>
    </row>
    <row r="25" ht="20.15" customHeight="1" s="524">
      <c r="B25" s="209" t="inlineStr">
        <is>
          <t>Nikaragua</t>
        </is>
      </c>
      <c r="C25" s="210" t="n">
        <v>59.286</v>
      </c>
      <c r="D25" s="211" t="n">
        <v>172.642</v>
      </c>
      <c r="E25" s="160" t="n"/>
      <c r="F25" s="209" t="inlineStr">
        <is>
          <t>Niemcy</t>
        </is>
      </c>
      <c r="G25" s="210" t="n">
        <v>101.201</v>
      </c>
      <c r="H25" s="211" t="n">
        <v>46.181</v>
      </c>
      <c r="K25" s="209" t="inlineStr">
        <is>
          <t>Węgry</t>
        </is>
      </c>
      <c r="L25" s="210" t="n">
        <v>125.531</v>
      </c>
      <c r="M25" s="211" t="n">
        <v>90.547</v>
      </c>
      <c r="N25" s="160" t="n"/>
      <c r="O25" s="209" t="inlineStr">
        <is>
          <t>Egipt</t>
        </is>
      </c>
      <c r="P25" s="210" t="n">
        <v>257.366</v>
      </c>
      <c r="Q25" s="211" t="n">
        <v>88.425</v>
      </c>
      <c r="R25" s="239" t="n"/>
    </row>
    <row r="26" ht="20.15" customHeight="1" s="524">
      <c r="B26" s="213" t="n"/>
      <c r="C26" s="214" t="n"/>
      <c r="D26" s="215" t="n"/>
      <c r="E26" s="160" t="n"/>
      <c r="F26" s="213" t="n"/>
      <c r="G26" s="214" t="n"/>
      <c r="H26" s="215" t="n"/>
      <c r="I26" s="238" t="n"/>
      <c r="J26" s="238" t="n"/>
      <c r="K26" s="213" t="n"/>
      <c r="L26" s="214" t="n"/>
      <c r="M26" s="215" t="n"/>
      <c r="N26" s="160" t="n"/>
      <c r="O26" s="213" t="n"/>
      <c r="P26" s="214" t="n"/>
      <c r="Q26" s="215" t="n"/>
      <c r="R26" s="239" t="n"/>
    </row>
    <row r="27" ht="20.15" customHeight="1" s="524" thickBot="1">
      <c r="B27" s="240" t="n"/>
      <c r="C27" s="241" t="n"/>
      <c r="D27" s="241" t="n"/>
      <c r="E27" s="242" t="n"/>
      <c r="F27" s="243" t="n"/>
      <c r="G27" s="244" t="n"/>
      <c r="H27" s="242" t="n"/>
      <c r="I27" s="245" t="n"/>
      <c r="J27" s="245" t="n"/>
      <c r="K27" s="245" t="n"/>
      <c r="L27" s="245" t="n"/>
      <c r="M27" s="242" t="n"/>
      <c r="N27" s="242" t="n"/>
      <c r="O27" s="242" t="n"/>
      <c r="P27" s="242" t="n"/>
      <c r="Q27" s="242" t="n"/>
      <c r="R27" s="246" t="n"/>
    </row>
    <row r="28" ht="20.15" customHeight="1" s="524">
      <c r="B28" s="247" t="n"/>
      <c r="C28" s="248" t="n"/>
      <c r="D28" s="248" t="n"/>
      <c r="E28" s="238" t="n"/>
      <c r="F28" s="249" t="n"/>
      <c r="G28" s="250" t="n"/>
      <c r="H28" s="238" t="n"/>
      <c r="I28" s="251" t="n"/>
      <c r="J28" s="251" t="n"/>
      <c r="K28" s="251" t="n"/>
      <c r="L28" s="251" t="n"/>
      <c r="M28" s="238" t="n"/>
      <c r="N28" s="238" t="n"/>
      <c r="O28" s="238" t="n"/>
      <c r="P28" s="238" t="n"/>
      <c r="Q28" s="238" t="n"/>
      <c r="R28" s="239" t="n"/>
    </row>
    <row r="31" ht="18.5" customHeight="1" s="524">
      <c r="B31" s="11" t="inlineStr">
        <is>
          <t>Import papryki czerwonej (CN 07096010) wg. ważniejszych krajów</t>
        </is>
      </c>
      <c r="C31" s="10" t="n"/>
      <c r="D31" s="10" t="n"/>
      <c r="E31" s="10" t="n"/>
      <c r="F31" s="10" t="n"/>
      <c r="G31" s="10" t="n"/>
      <c r="H31" s="10" t="n"/>
    </row>
    <row r="32" ht="15.5" customHeight="1" s="524">
      <c r="B32" s="216" t="inlineStr">
        <is>
          <t xml:space="preserve">według ważniejszych krajów </t>
        </is>
      </c>
      <c r="C32" s="217" t="n"/>
      <c r="D32" s="217" t="n"/>
      <c r="E32" s="217" t="n"/>
      <c r="F32" s="218" t="n"/>
      <c r="G32" s="219" t="n"/>
      <c r="H32" s="220" t="n"/>
    </row>
    <row r="33" ht="17" customHeight="1" s="524">
      <c r="B33" s="197" t="inlineStr">
        <is>
          <t>I-IV 2025r.*</t>
        </is>
      </c>
      <c r="C33" s="198" t="n"/>
      <c r="D33" s="199" t="n"/>
      <c r="E33" s="221" t="n"/>
      <c r="F33" s="197" t="inlineStr">
        <is>
          <t>I-IV 2026r.*</t>
        </is>
      </c>
      <c r="G33" s="198" t="n"/>
      <c r="H33" s="199" t="n"/>
    </row>
    <row r="34" ht="29.5" customHeight="1" s="524" thickBot="1">
      <c r="B34" s="200" t="inlineStr">
        <is>
          <t>Kraj</t>
        </is>
      </c>
      <c r="C34" s="201" t="inlineStr">
        <is>
          <t>Wartość [tys. EUR]</t>
        </is>
      </c>
      <c r="D34" s="202" t="inlineStr">
        <is>
          <t>Wolumen   [tony]</t>
        </is>
      </c>
      <c r="E34" s="160" t="n"/>
      <c r="F34" s="200" t="inlineStr">
        <is>
          <t>Kraj</t>
        </is>
      </c>
      <c r="G34" s="201" t="inlineStr">
        <is>
          <t>Wartość [tys. EUR]</t>
        </is>
      </c>
      <c r="H34" s="202" t="inlineStr">
        <is>
          <t>Wolumen   [tony]</t>
        </is>
      </c>
    </row>
    <row r="35" ht="14.5" customHeight="1" s="524">
      <c r="B35" s="203" t="inlineStr">
        <is>
          <t>OGÓŁEM</t>
        </is>
      </c>
      <c r="C35" s="204" t="n">
        <v>98636.298</v>
      </c>
      <c r="D35" s="205" t="n">
        <v>40444.928</v>
      </c>
      <c r="E35" s="160" t="n"/>
      <c r="F35" s="203" t="inlineStr">
        <is>
          <t>OGÓŁEM</t>
        </is>
      </c>
      <c r="G35" s="204" t="n">
        <v>100958.615</v>
      </c>
      <c r="H35" s="205" t="n">
        <v>37592.525</v>
      </c>
    </row>
    <row r="36" ht="14.5" customHeight="1" s="524">
      <c r="B36" s="206" t="inlineStr">
        <is>
          <t>Hiszpania</t>
        </is>
      </c>
      <c r="C36" s="207" t="n">
        <v>43451.57</v>
      </c>
      <c r="D36" s="208" t="n">
        <v>17525.422</v>
      </c>
      <c r="E36" s="160" t="n"/>
      <c r="F36" s="206" t="inlineStr">
        <is>
          <t>Hiszpania</t>
        </is>
      </c>
      <c r="G36" s="212" t="n">
        <v>44300.478</v>
      </c>
      <c r="H36" s="222" t="n">
        <v>16201.947</v>
      </c>
    </row>
    <row r="37" ht="14.5" customHeight="1" s="524">
      <c r="B37" s="209" t="inlineStr">
        <is>
          <t>Niemcy</t>
        </is>
      </c>
      <c r="C37" s="210" t="n">
        <v>19235.48</v>
      </c>
      <c r="D37" s="211" t="n">
        <v>6165.693</v>
      </c>
      <c r="E37" s="160" t="n"/>
      <c r="F37" s="209" t="inlineStr">
        <is>
          <t>Niemcy</t>
        </is>
      </c>
      <c r="G37" s="210" t="n">
        <v>21544.015</v>
      </c>
      <c r="H37" s="211" t="n">
        <v>6677.193</v>
      </c>
    </row>
    <row r="38" ht="14.5" customHeight="1" s="524">
      <c r="B38" s="209" t="inlineStr">
        <is>
          <t>Holandia</t>
        </is>
      </c>
      <c r="C38" s="210" t="n">
        <v>17042.7</v>
      </c>
      <c r="D38" s="211" t="n">
        <v>9076.772999999999</v>
      </c>
      <c r="E38" s="160" t="n"/>
      <c r="F38" s="209" t="inlineStr">
        <is>
          <t>Turcja</t>
        </is>
      </c>
      <c r="G38" s="210" t="n">
        <v>12885.179</v>
      </c>
      <c r="H38" s="211" t="n">
        <v>4688.726</v>
      </c>
    </row>
    <row r="39" ht="14.5" customHeight="1" s="524">
      <c r="B39" s="209" t="inlineStr">
        <is>
          <t>Turcja</t>
        </is>
      </c>
      <c r="C39" s="210" t="n">
        <v>10362.827</v>
      </c>
      <c r="D39" s="211" t="n">
        <v>4164.529</v>
      </c>
      <c r="E39" s="160" t="n"/>
      <c r="F39" s="209" t="inlineStr">
        <is>
          <t>Holandia</t>
        </is>
      </c>
      <c r="G39" s="210" t="n">
        <v>9274.526</v>
      </c>
      <c r="H39" s="211" t="n">
        <v>4433.287</v>
      </c>
    </row>
    <row r="40" ht="14.5" customHeight="1" s="524">
      <c r="B40" s="209" t="inlineStr">
        <is>
          <t>Izrael</t>
        </is>
      </c>
      <c r="C40" s="210" t="n">
        <v>5810.946</v>
      </c>
      <c r="D40" s="211" t="n">
        <v>2193.865</v>
      </c>
      <c r="E40" s="160" t="n"/>
      <c r="F40" s="209" t="inlineStr">
        <is>
          <t>Izrael</t>
        </is>
      </c>
      <c r="G40" s="210" t="n">
        <v>7089.863</v>
      </c>
      <c r="H40" s="211" t="n">
        <v>2761.914</v>
      </c>
    </row>
    <row r="41" ht="14.5" customHeight="1" s="524">
      <c r="B41" s="209" t="inlineStr">
        <is>
          <t>Maroko</t>
        </is>
      </c>
      <c r="C41" s="210" t="n">
        <v>1427.436</v>
      </c>
      <c r="D41" s="211" t="n">
        <v>656.511</v>
      </c>
      <c r="E41" s="160" t="n"/>
      <c r="F41" s="209" t="inlineStr">
        <is>
          <t>Jordania</t>
        </is>
      </c>
      <c r="G41" s="210" t="n">
        <v>2172.823</v>
      </c>
      <c r="H41" s="211" t="n">
        <v>897.987</v>
      </c>
    </row>
    <row r="42" ht="14.5" customHeight="1" s="524">
      <c r="B42" s="209" t="inlineStr">
        <is>
          <t>Belgia</t>
        </is>
      </c>
      <c r="C42" s="210" t="n">
        <v>276.581</v>
      </c>
      <c r="D42" s="211" t="n">
        <v>134.053</v>
      </c>
      <c r="E42" s="160" t="n"/>
      <c r="F42" s="209" t="inlineStr">
        <is>
          <t>Bułgaria</t>
        </is>
      </c>
      <c r="G42" s="210" t="n">
        <v>1291.802</v>
      </c>
      <c r="H42" s="211" t="n">
        <v>460.001</v>
      </c>
    </row>
    <row r="43" ht="14.5" customHeight="1" s="524">
      <c r="B43" s="209" t="inlineStr">
        <is>
          <t>Słowenia</t>
        </is>
      </c>
      <c r="C43" s="210" t="n">
        <v>194.882</v>
      </c>
      <c r="D43" s="211" t="n">
        <v>115.925</v>
      </c>
      <c r="E43" s="160" t="n"/>
      <c r="F43" s="209" t="inlineStr">
        <is>
          <t>Maroko</t>
        </is>
      </c>
      <c r="G43" s="210" t="n">
        <v>1056.595</v>
      </c>
      <c r="H43" s="211" t="n">
        <v>765.643</v>
      </c>
    </row>
    <row r="44" ht="14.5" customHeight="1" s="524">
      <c r="B44" s="209" t="inlineStr">
        <is>
          <t>Iran</t>
        </is>
      </c>
      <c r="C44" s="210" t="n">
        <v>169.364</v>
      </c>
      <c r="D44" s="211" t="n">
        <v>115.59</v>
      </c>
      <c r="E44" s="160" t="n"/>
      <c r="F44" s="209" t="inlineStr">
        <is>
          <t>Egipt</t>
        </is>
      </c>
      <c r="G44" s="210" t="n">
        <v>384.94</v>
      </c>
      <c r="H44" s="211" t="n">
        <v>185.02</v>
      </c>
    </row>
    <row r="45" ht="14.5" customHeight="1" s="524">
      <c r="B45" s="209" t="inlineStr">
        <is>
          <t>Szwecja</t>
        </is>
      </c>
      <c r="C45" s="210" t="n">
        <v>169.336</v>
      </c>
      <c r="D45" s="211" t="n">
        <v>64.511</v>
      </c>
      <c r="E45" s="160" t="n"/>
      <c r="F45" s="209" t="inlineStr">
        <is>
          <t>Belgia</t>
        </is>
      </c>
      <c r="G45" s="210" t="n">
        <v>322.49</v>
      </c>
      <c r="H45" s="211" t="n">
        <v>129.034</v>
      </c>
    </row>
    <row r="46" ht="14.5" customHeight="1" s="524">
      <c r="B46" s="209" t="inlineStr">
        <is>
          <t>Grecja</t>
        </is>
      </c>
      <c r="C46" s="210" t="n">
        <v>120.818</v>
      </c>
      <c r="D46" s="211" t="n">
        <v>47.945</v>
      </c>
      <c r="E46" s="160" t="n"/>
      <c r="F46" s="209" t="inlineStr">
        <is>
          <t>Iran</t>
        </is>
      </c>
      <c r="G46" s="210" t="n">
        <v>199.765</v>
      </c>
      <c r="H46" s="211" t="n">
        <v>219.09</v>
      </c>
    </row>
    <row r="47" ht="14.5" customHeight="1" s="524">
      <c r="B47" s="209" t="inlineStr">
        <is>
          <t>Tunezja</t>
        </is>
      </c>
      <c r="C47" s="210" t="n">
        <v>117.763</v>
      </c>
      <c r="D47" s="211" t="n">
        <v>42.12</v>
      </c>
      <c r="E47" s="160" t="n"/>
      <c r="F47" s="209" t="inlineStr">
        <is>
          <t>Austria</t>
        </is>
      </c>
      <c r="G47" s="210" t="n">
        <v>171.227</v>
      </c>
      <c r="H47" s="211" t="n">
        <v>71.61799999999999</v>
      </c>
    </row>
    <row r="48" ht="14.5" customHeight="1" s="524">
      <c r="B48" s="209" t="inlineStr">
        <is>
          <t>Albania</t>
        </is>
      </c>
      <c r="C48" s="210" t="n">
        <v>65.872</v>
      </c>
      <c r="D48" s="211" t="n">
        <v>29.546</v>
      </c>
      <c r="E48" s="160" t="n"/>
      <c r="F48" s="209" t="inlineStr">
        <is>
          <t>Szwecja</t>
        </is>
      </c>
      <c r="G48" s="210" t="n">
        <v>86.928</v>
      </c>
      <c r="H48" s="211" t="n">
        <v>33.511</v>
      </c>
    </row>
    <row r="49" ht="14.5" customHeight="1" s="524">
      <c r="B49" s="209" t="inlineStr">
        <is>
          <t>Egipt</t>
        </is>
      </c>
      <c r="C49" s="210" t="n">
        <v>65.122</v>
      </c>
      <c r="D49" s="211" t="n">
        <v>53.185</v>
      </c>
      <c r="E49" s="160" t="n"/>
      <c r="F49" s="209" t="inlineStr">
        <is>
          <t>Słowenia</t>
        </is>
      </c>
      <c r="G49" s="210" t="n">
        <v>73.706</v>
      </c>
      <c r="H49" s="211" t="n">
        <v>28.38</v>
      </c>
    </row>
    <row r="50" ht="14.5" customHeight="1" s="524">
      <c r="B50" s="209" t="inlineStr">
        <is>
          <t>Włochy</t>
        </is>
      </c>
      <c r="C50" s="210" t="n">
        <v>51.286</v>
      </c>
      <c r="D50" s="211" t="n">
        <v>23.639</v>
      </c>
      <c r="E50" s="160" t="n"/>
      <c r="F50" s="209" t="inlineStr">
        <is>
          <t>Portugalia</t>
        </is>
      </c>
      <c r="G50" s="210" t="n">
        <v>32.358</v>
      </c>
      <c r="H50" s="211" t="n">
        <v>9.710000000000001</v>
      </c>
    </row>
    <row r="51" ht="14.5" customHeight="1" s="524">
      <c r="B51" s="213" t="inlineStr">
        <is>
          <t>Jordania</t>
        </is>
      </c>
      <c r="C51" s="214" t="n">
        <v>42.418</v>
      </c>
      <c r="D51" s="215" t="n">
        <v>20.59</v>
      </c>
      <c r="E51" s="160" t="n"/>
      <c r="F51" s="213" t="inlineStr">
        <is>
          <t>Włochy</t>
        </is>
      </c>
      <c r="G51" s="214" t="n">
        <v>32.357</v>
      </c>
      <c r="H51" s="215" t="n">
        <v>14.353</v>
      </c>
    </row>
  </sheetData>
  <pageMargins left="0" right="0" top="0.3543307086614174" bottom="0.3543307086614174" header="0.2362204724409449" footer="0.1181102362204725"/>
  <pageSetup orientation="landscape" paperSize="9" scale="54"/>
  <headerFooter alignWithMargins="0">
    <oddHeader/>
    <oddFooter>&amp;L&amp;"Times New Roman CE,Pogrubiona kursywa"&amp;12 Źródło: Dane MF, CIHZ&amp;R&amp;"Times New Roman CE,Pogrubiona kursywa"&amp;12 Przygotowała: Agnieszka Szarejko-Pater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theme="8" tint="0.3999755851924192"/>
    <outlinePr summaryBelow="1" summaryRight="1"/>
    <pageSetUpPr fitToPage="1"/>
  </sheetPr>
  <dimension ref="A1:L38"/>
  <sheetViews>
    <sheetView showGridLines="0" zoomScale="85" zoomScaleNormal="85" workbookViewId="0">
      <selection activeCell="G8" sqref="G8:I26"/>
    </sheetView>
  </sheetViews>
  <sheetFormatPr baseColWidth="8" defaultColWidth="9.1796875" defaultRowHeight="13"/>
  <cols>
    <col width="10.7265625" customWidth="1" style="228" min="1" max="1"/>
    <col width="20.7265625" customWidth="1" style="228" min="2" max="2"/>
    <col width="10.7265625" customWidth="1" style="228" min="3" max="6"/>
    <col width="20.7265625" customWidth="1" style="228" min="7" max="7"/>
    <col width="10.7265625" customWidth="1" style="228" min="8" max="10"/>
    <col width="5.7265625" customWidth="1" style="228" min="11" max="12"/>
    <col width="9.1796875" customWidth="1" style="228" min="13" max="16384"/>
  </cols>
  <sheetData>
    <row r="1" ht="25" customFormat="1" customHeight="1" s="29">
      <c r="D1" s="129" t="n"/>
      <c r="G1" s="30" t="n"/>
    </row>
    <row r="2" ht="25" customFormat="1" customHeight="1" s="29">
      <c r="A2" s="223" t="n"/>
      <c r="B2" s="34" t="inlineStr">
        <is>
          <t>HANDEL ZAGRANICZNY ARTYKUŁAMI Z RYNKU OWOCÓW</t>
        </is>
      </c>
      <c r="C2" s="34" t="n"/>
      <c r="D2" s="48" t="n"/>
      <c r="E2" s="224" t="n"/>
      <c r="F2" s="224" t="n"/>
      <c r="G2" s="224" t="n"/>
      <c r="H2" s="224" t="n"/>
      <c r="I2" s="224" t="n"/>
      <c r="J2" s="224" t="n"/>
      <c r="K2" s="224" t="n"/>
      <c r="L2" s="224" t="n"/>
    </row>
    <row r="3" ht="25" customFormat="1" customHeight="1" s="29" thickBot="1">
      <c r="B3" s="395" t="inlineStr">
        <is>
          <t>W OKRESIE I - IV 2026 - DANE WSTĘPNE</t>
        </is>
      </c>
      <c r="C3" s="37" t="n"/>
      <c r="D3" s="149" t="n"/>
      <c r="E3" s="150" t="n"/>
      <c r="F3" s="149" t="n"/>
      <c r="G3" s="151" t="n"/>
      <c r="H3" s="152" t="n"/>
      <c r="I3" s="225" t="n"/>
      <c r="J3" s="225" t="n"/>
      <c r="K3" s="226" t="n"/>
      <c r="L3" s="155" t="n"/>
    </row>
    <row r="4" ht="25" customFormat="1" customHeight="1" s="29" thickTop="1">
      <c r="B4" s="227" t="inlineStr">
        <is>
          <t>Źródło danych: Ministerstwo Finansów</t>
        </is>
      </c>
      <c r="C4" s="131" t="n"/>
      <c r="D4" s="48" t="n"/>
      <c r="E4" s="47" t="n"/>
      <c r="F4" s="48" t="n"/>
      <c r="G4" s="49" t="n"/>
      <c r="H4" s="132" t="n"/>
      <c r="I4" s="224" t="n"/>
      <c r="J4" s="224" t="n"/>
      <c r="K4" s="257" t="n"/>
    </row>
    <row r="5" ht="20.15" customFormat="1" customHeight="1" s="229">
      <c r="B5" s="230" t="inlineStr">
        <is>
          <t>UWAGA! DANE W TRAKCIE WERYFIKACJI - MOGĄ BYĆ OBARCZONE ISTOTNYMI BŁĘDAMI</t>
        </is>
      </c>
      <c r="C5" s="230" t="n"/>
      <c r="D5" s="231" t="n"/>
      <c r="E5" s="231" t="n"/>
      <c r="F5" s="231" t="n"/>
      <c r="G5" s="231" t="n"/>
      <c r="I5" s="396" t="n"/>
    </row>
    <row r="6" ht="20.15" customFormat="1" customHeight="1" s="229">
      <c r="B6" s="397" t="n"/>
      <c r="C6" s="397" t="n"/>
      <c r="D6" s="397" t="n"/>
      <c r="E6" s="397" t="n"/>
      <c r="F6" s="397" t="n"/>
      <c r="G6" s="397" t="n"/>
      <c r="H6" s="397" t="n"/>
      <c r="I6" s="396" t="n"/>
    </row>
    <row r="7" ht="40" customFormat="1" customHeight="1" s="233">
      <c r="B7" s="398" t="inlineStr">
        <is>
          <t>Eksport jabłek z Polski (CN 080810)</t>
        </is>
      </c>
      <c r="C7" s="399" t="n"/>
      <c r="D7" s="399" t="n"/>
      <c r="E7" s="400" t="n"/>
      <c r="F7" s="235" t="n"/>
      <c r="G7" s="401" t="n"/>
      <c r="H7" s="402" t="n"/>
      <c r="I7" s="399" t="n"/>
      <c r="J7" s="399" t="n"/>
      <c r="K7" s="403" t="n"/>
    </row>
    <row r="8" ht="20.15" customHeight="1" s="524">
      <c r="B8" s="197" t="inlineStr">
        <is>
          <t>I-V 2025r.*</t>
        </is>
      </c>
      <c r="C8" s="198" t="n"/>
      <c r="D8" s="199" t="n"/>
      <c r="E8" s="199" t="n"/>
      <c r="F8" s="221" t="n"/>
      <c r="G8" s="197" t="inlineStr">
        <is>
          <t>I-V 2026r.*</t>
        </is>
      </c>
      <c r="H8" s="198" t="n"/>
      <c r="I8" s="199" t="n"/>
      <c r="J8" s="199" t="n"/>
      <c r="K8" s="404" t="n"/>
      <c r="L8" s="237" t="n"/>
    </row>
    <row r="9" ht="40" customHeight="1" s="524" thickBot="1">
      <c r="B9" s="200" t="inlineStr">
        <is>
          <t>Kraj</t>
        </is>
      </c>
      <c r="C9" s="201" t="inlineStr">
        <is>
          <t>Wartość [tys. EUR]</t>
        </is>
      </c>
      <c r="D9" s="202" t="inlineStr">
        <is>
          <t>Wolumen   [tony]</t>
        </is>
      </c>
      <c r="E9" s="202" t="inlineStr">
        <is>
          <t>Wolumen  (t)</t>
        </is>
      </c>
      <c r="F9" s="160" t="n"/>
      <c r="G9" s="200" t="inlineStr">
        <is>
          <t>Kraj</t>
        </is>
      </c>
      <c r="H9" s="201" t="inlineStr">
        <is>
          <t>Wartość [tys. EUR]</t>
        </is>
      </c>
      <c r="I9" s="202" t="inlineStr">
        <is>
          <t>Wolumen   [tony]</t>
        </is>
      </c>
      <c r="J9" s="202" t="inlineStr">
        <is>
          <t>Wolumen  (t)</t>
        </is>
      </c>
      <c r="K9" s="405" t="n"/>
    </row>
    <row r="10" ht="20.15" customHeight="1" s="524">
      <c r="B10" s="203" t="inlineStr">
        <is>
          <t>OGÓŁEM</t>
        </is>
      </c>
      <c r="C10" s="406" t="n">
        <v>244814.328</v>
      </c>
      <c r="D10" s="407" t="n">
        <v>359199.881</v>
      </c>
      <c r="E10" s="205" t="n">
        <v>121510.115</v>
      </c>
      <c r="F10" s="160" t="n"/>
      <c r="G10" s="203" t="inlineStr">
        <is>
          <t>OGÓŁEM</t>
        </is>
      </c>
      <c r="H10" s="406" t="n">
        <v>246472.025</v>
      </c>
      <c r="I10" s="407" t="n">
        <v>400356.332</v>
      </c>
      <c r="J10" s="205" t="n">
        <v>120336.791</v>
      </c>
      <c r="K10" s="405" t="n"/>
    </row>
    <row r="11" ht="20.15" customHeight="1" s="524">
      <c r="B11" s="206" t="inlineStr">
        <is>
          <t>Niemcy</t>
        </is>
      </c>
      <c r="C11" s="408" t="n">
        <v>22710.475</v>
      </c>
      <c r="D11" s="409" t="n">
        <v>35731.932</v>
      </c>
      <c r="E11" s="208" t="n">
        <v>10668.68</v>
      </c>
      <c r="F11" s="160" t="n"/>
      <c r="G11" s="206" t="inlineStr">
        <is>
          <t>Egipt</t>
        </is>
      </c>
      <c r="H11" s="410" t="n">
        <v>24534.341</v>
      </c>
      <c r="I11" s="212" t="n">
        <v>36870.121</v>
      </c>
      <c r="J11" s="222" t="n">
        <v>11543.733</v>
      </c>
      <c r="K11" s="405" t="n"/>
    </row>
    <row r="12" ht="20.15" customHeight="1" s="524">
      <c r="B12" s="209" t="inlineStr">
        <is>
          <t>Rumunia</t>
        </is>
      </c>
      <c r="C12" s="411" t="n">
        <v>21198.708</v>
      </c>
      <c r="D12" s="210" t="n">
        <v>29473.751</v>
      </c>
      <c r="E12" s="211" t="n">
        <v>11481.727</v>
      </c>
      <c r="F12" s="160" t="n"/>
      <c r="G12" s="209" t="inlineStr">
        <is>
          <t>Rumunia</t>
        </is>
      </c>
      <c r="H12" s="411" t="n">
        <v>20259.227</v>
      </c>
      <c r="I12" s="210" t="n">
        <v>33694.686</v>
      </c>
      <c r="J12" s="211" t="n">
        <v>11611.22</v>
      </c>
      <c r="K12" s="405" t="n"/>
    </row>
    <row r="13" ht="20.15" customHeight="1" s="524">
      <c r="B13" s="209" t="inlineStr">
        <is>
          <t>Republika Czeska</t>
        </is>
      </c>
      <c r="C13" s="411" t="n">
        <v>17082.681</v>
      </c>
      <c r="D13" s="210" t="n">
        <v>23115.742</v>
      </c>
      <c r="E13" s="211" t="n">
        <v>7050.959</v>
      </c>
      <c r="F13" s="160" t="n"/>
      <c r="G13" s="209" t="inlineStr">
        <is>
          <t>Kazachstan</t>
        </is>
      </c>
      <c r="H13" s="411" t="n">
        <v>18900.554</v>
      </c>
      <c r="I13" s="210" t="n">
        <v>41931.272</v>
      </c>
      <c r="J13" s="211" t="n">
        <v>6158.882</v>
      </c>
      <c r="K13" s="405" t="n"/>
    </row>
    <row r="14" ht="20.15" customHeight="1" s="524">
      <c r="B14" s="209" t="inlineStr">
        <is>
          <t>Egipt</t>
        </is>
      </c>
      <c r="C14" s="411" t="n">
        <v>16762.43</v>
      </c>
      <c r="D14" s="210" t="n">
        <v>22478.775</v>
      </c>
      <c r="E14" s="211" t="n">
        <v>6809.036</v>
      </c>
      <c r="F14" s="160" t="n"/>
      <c r="G14" s="209" t="inlineStr">
        <is>
          <t>Białoruś</t>
        </is>
      </c>
      <c r="H14" s="411" t="n">
        <v>17311.911</v>
      </c>
      <c r="I14" s="210" t="n">
        <v>32159.682</v>
      </c>
      <c r="J14" s="211" t="n">
        <v>6963.219</v>
      </c>
      <c r="K14" s="405" t="n"/>
    </row>
    <row r="15" ht="20.15" customHeight="1" s="524">
      <c r="B15" s="209" t="inlineStr">
        <is>
          <t>Kazachstan</t>
        </is>
      </c>
      <c r="C15" s="411" t="n">
        <v>14577.316</v>
      </c>
      <c r="D15" s="210" t="n">
        <v>29840.358</v>
      </c>
      <c r="E15" s="211" t="n">
        <v>6046.84</v>
      </c>
      <c r="F15" s="160" t="n"/>
      <c r="G15" s="209" t="inlineStr">
        <is>
          <t>India</t>
        </is>
      </c>
      <c r="H15" s="411" t="n">
        <v>15046.658</v>
      </c>
      <c r="I15" s="210" t="n">
        <v>20511.928</v>
      </c>
      <c r="J15" s="211" t="n">
        <v>4852.63</v>
      </c>
      <c r="K15" s="405" t="n"/>
    </row>
    <row r="16" ht="20.15" customHeight="1" s="524">
      <c r="B16" s="209" t="inlineStr">
        <is>
          <t>Holandia</t>
        </is>
      </c>
      <c r="C16" s="411" t="n">
        <v>13697.71</v>
      </c>
      <c r="D16" s="210" t="n">
        <v>26257.68</v>
      </c>
      <c r="E16" s="211" t="n">
        <v>6254.455</v>
      </c>
      <c r="F16" s="160" t="n"/>
      <c r="G16" s="209" t="inlineStr">
        <is>
          <t>Węgry</t>
        </is>
      </c>
      <c r="H16" s="411" t="n">
        <v>11888.821</v>
      </c>
      <c r="I16" s="210" t="n">
        <v>18782.37</v>
      </c>
      <c r="J16" s="211" t="n">
        <v>5704.42</v>
      </c>
      <c r="K16" s="405" t="n"/>
    </row>
    <row r="17" ht="20.15" customHeight="1" s="524">
      <c r="B17" s="209" t="inlineStr">
        <is>
          <t>Białoruś</t>
        </is>
      </c>
      <c r="C17" s="411" t="n">
        <v>12224.97</v>
      </c>
      <c r="D17" s="210" t="n">
        <v>20680.627</v>
      </c>
      <c r="E17" s="211" t="n">
        <v>7444.331</v>
      </c>
      <c r="F17" s="160" t="n"/>
      <c r="G17" s="209" t="inlineStr">
        <is>
          <t>Litwa</t>
        </is>
      </c>
      <c r="H17" s="411" t="n">
        <v>10986.784</v>
      </c>
      <c r="I17" s="210" t="n">
        <v>18366.369</v>
      </c>
      <c r="J17" s="211" t="n">
        <v>5203.753</v>
      </c>
      <c r="K17" s="405" t="n"/>
    </row>
    <row r="18" ht="20.15" customHeight="1" s="524">
      <c r="B18" s="209" t="inlineStr">
        <is>
          <t>Węgry</t>
        </is>
      </c>
      <c r="C18" s="411" t="n">
        <v>10360.475</v>
      </c>
      <c r="D18" s="210" t="n">
        <v>15105.159</v>
      </c>
      <c r="E18" s="211" t="n">
        <v>4380.392</v>
      </c>
      <c r="F18" s="160" t="n"/>
      <c r="G18" s="209" t="inlineStr">
        <is>
          <t>Republika Czeska</t>
        </is>
      </c>
      <c r="H18" s="411" t="n">
        <v>9394.785</v>
      </c>
      <c r="I18" s="210" t="n">
        <v>14922.528</v>
      </c>
      <c r="J18" s="211" t="n">
        <v>9388.439</v>
      </c>
      <c r="K18" s="405" t="n"/>
    </row>
    <row r="19" ht="20.15" customHeight="1" s="524">
      <c r="B19" s="209" t="inlineStr">
        <is>
          <t>Szwecja</t>
        </is>
      </c>
      <c r="C19" s="411" t="n">
        <v>10026.055</v>
      </c>
      <c r="D19" s="210" t="n">
        <v>12470.226</v>
      </c>
      <c r="E19" s="211" t="n">
        <v>9217.92</v>
      </c>
      <c r="F19" s="160" t="n"/>
      <c r="G19" s="209" t="inlineStr">
        <is>
          <t>Szwecja</t>
        </is>
      </c>
      <c r="H19" s="411" t="n">
        <v>8658.207</v>
      </c>
      <c r="I19" s="210" t="n">
        <v>12002.964</v>
      </c>
      <c r="J19" s="211" t="n">
        <v>5278.734</v>
      </c>
      <c r="K19" s="405" t="n"/>
    </row>
    <row r="20" ht="20.15" customHeight="1" s="524">
      <c r="B20" s="209" t="inlineStr">
        <is>
          <t>India</t>
        </is>
      </c>
      <c r="C20" s="411" t="n">
        <v>8389.593999999999</v>
      </c>
      <c r="D20" s="210" t="n">
        <v>10963.288</v>
      </c>
      <c r="E20" s="211" t="n">
        <v>7895.188</v>
      </c>
      <c r="F20" s="160" t="n"/>
      <c r="G20" s="209" t="inlineStr">
        <is>
          <t>Niemcy</t>
        </is>
      </c>
      <c r="H20" s="411" t="n">
        <v>8424.745999999999</v>
      </c>
      <c r="I20" s="210" t="n">
        <v>14314.494</v>
      </c>
      <c r="J20" s="211" t="n">
        <v>5599.52</v>
      </c>
      <c r="K20" s="405" t="n"/>
    </row>
    <row r="21" ht="20.15" customHeight="1" s="524">
      <c r="B21" s="209" t="inlineStr">
        <is>
          <t>Wielka Brytania</t>
        </is>
      </c>
      <c r="C21" s="411" t="n">
        <v>7887.829</v>
      </c>
      <c r="D21" s="210" t="n">
        <v>9654.102999999999</v>
      </c>
      <c r="E21" s="211" t="n">
        <v>3627.163</v>
      </c>
      <c r="F21" s="160" t="n"/>
      <c r="G21" s="209" t="inlineStr">
        <is>
          <t>Hiszpania</t>
        </is>
      </c>
      <c r="H21" s="411" t="n">
        <v>7223.279</v>
      </c>
      <c r="I21" s="210" t="n">
        <v>9940.49</v>
      </c>
      <c r="J21" s="211" t="n">
        <v>4048.644</v>
      </c>
      <c r="K21" s="405" t="n"/>
    </row>
    <row r="22" ht="20.15" customHeight="1" s="524">
      <c r="B22" s="209" t="inlineStr">
        <is>
          <t>Hiszpania</t>
        </is>
      </c>
      <c r="C22" s="411" t="n">
        <v>6667.416</v>
      </c>
      <c r="D22" s="210" t="n">
        <v>8595.885</v>
      </c>
      <c r="E22" s="211" t="n">
        <v>4168.794</v>
      </c>
      <c r="F22" s="160" t="n"/>
      <c r="G22" s="209" t="inlineStr">
        <is>
          <t>Holandia</t>
        </is>
      </c>
      <c r="H22" s="411" t="n">
        <v>7056.032</v>
      </c>
      <c r="I22" s="210" t="n">
        <v>13267.796</v>
      </c>
      <c r="J22" s="211" t="n">
        <v>3937.452</v>
      </c>
      <c r="K22" s="405" t="n"/>
    </row>
    <row r="23" ht="20.15" customHeight="1" s="524">
      <c r="B23" s="209" t="inlineStr">
        <is>
          <t>Ukraina</t>
        </is>
      </c>
      <c r="C23" s="411" t="n">
        <v>6497.53</v>
      </c>
      <c r="D23" s="210" t="n">
        <v>8090.92</v>
      </c>
      <c r="E23" s="211" t="n">
        <v>3856.753</v>
      </c>
      <c r="F23" s="160" t="n"/>
      <c r="G23" s="209" t="inlineStr">
        <is>
          <t>Bułgaria</t>
        </is>
      </c>
      <c r="H23" s="411" t="n">
        <v>7035.356</v>
      </c>
      <c r="I23" s="210" t="n">
        <v>11223.527</v>
      </c>
      <c r="J23" s="211" t="n">
        <v>3814.636</v>
      </c>
      <c r="K23" s="405" t="n"/>
    </row>
    <row r="24" ht="20.15" customHeight="1" s="524">
      <c r="B24" s="209" t="inlineStr">
        <is>
          <t>Litwa</t>
        </is>
      </c>
      <c r="C24" s="411" t="n">
        <v>6183.662</v>
      </c>
      <c r="D24" s="210" t="n">
        <v>9428.334000000001</v>
      </c>
      <c r="E24" s="211" t="n">
        <v>3146.559</v>
      </c>
      <c r="F24" s="160" t="n"/>
      <c r="G24" s="209" t="inlineStr">
        <is>
          <t>Słowacja</t>
        </is>
      </c>
      <c r="H24" s="411" t="n">
        <v>6847.259</v>
      </c>
      <c r="I24" s="210" t="n">
        <v>10276.747</v>
      </c>
      <c r="J24" s="211" t="n">
        <v>2836.024</v>
      </c>
      <c r="K24" s="405" t="n"/>
    </row>
    <row r="25" ht="20.15" customHeight="1" s="524">
      <c r="B25" s="209" t="inlineStr">
        <is>
          <t>Słowacja</t>
        </is>
      </c>
      <c r="C25" s="411" t="n">
        <v>5858.333</v>
      </c>
      <c r="D25" s="210" t="n">
        <v>7744.358</v>
      </c>
      <c r="E25" s="211" t="n">
        <v>2017.099</v>
      </c>
      <c r="F25" s="160" t="n"/>
      <c r="G25" s="209" t="inlineStr">
        <is>
          <t>Jordania</t>
        </is>
      </c>
      <c r="H25" s="411" t="n">
        <v>6102.943</v>
      </c>
      <c r="I25" s="210" t="n">
        <v>9333.911</v>
      </c>
      <c r="J25" s="211" t="n">
        <v>3443.223</v>
      </c>
      <c r="K25" s="405" t="n"/>
    </row>
    <row r="26" ht="20.15" customHeight="1" s="524">
      <c r="B26" s="206" t="inlineStr">
        <is>
          <t>Łotwa</t>
        </is>
      </c>
      <c r="C26" s="411" t="n">
        <v>4968.695</v>
      </c>
      <c r="D26" s="210" t="n">
        <v>7223.491</v>
      </c>
      <c r="E26" s="211" t="n">
        <v>5164.449</v>
      </c>
      <c r="F26" s="160" t="n"/>
      <c r="G26" s="206" t="inlineStr">
        <is>
          <t>Wielka Brytania</t>
        </is>
      </c>
      <c r="H26" s="411" t="n">
        <v>5232.062</v>
      </c>
      <c r="I26" s="210" t="n">
        <v>6291.852</v>
      </c>
      <c r="J26" s="211" t="n">
        <v>1980.584</v>
      </c>
      <c r="K26" s="412" t="n"/>
      <c r="L26" s="238" t="n"/>
    </row>
    <row r="27" ht="20.15" customHeight="1" s="524">
      <c r="B27" s="206" t="n"/>
      <c r="C27" s="411" t="n"/>
      <c r="D27" s="210" t="n"/>
      <c r="E27" s="211" t="n"/>
      <c r="F27" s="160" t="n"/>
      <c r="G27" s="206" t="n"/>
      <c r="H27" s="411" t="n"/>
      <c r="I27" s="210" t="n"/>
      <c r="J27" s="211" t="n"/>
      <c r="K27" s="412" t="n"/>
      <c r="L27" s="238" t="n"/>
    </row>
    <row r="28" ht="20.15" customHeight="1" s="524">
      <c r="B28" s="206" t="n"/>
      <c r="C28" s="411" t="n"/>
      <c r="D28" s="210" t="n"/>
      <c r="E28" s="211" t="n"/>
      <c r="F28" s="160" t="n"/>
      <c r="G28" s="206" t="n"/>
      <c r="H28" s="411" t="n"/>
      <c r="I28" s="210" t="n"/>
      <c r="J28" s="211" t="n"/>
      <c r="K28" s="412" t="n"/>
      <c r="L28" s="238" t="n"/>
    </row>
    <row r="29" ht="20.15" customHeight="1" s="524">
      <c r="B29" s="213" t="n"/>
      <c r="C29" s="413" t="n"/>
      <c r="D29" s="214" t="n"/>
      <c r="E29" s="215" t="n"/>
      <c r="F29" s="160" t="n"/>
      <c r="G29" s="213" t="n"/>
      <c r="H29" s="413" t="n"/>
      <c r="I29" s="214" t="n"/>
      <c r="J29" s="215" t="n"/>
      <c r="K29" s="414" t="n"/>
      <c r="L29" s="415" t="n"/>
    </row>
    <row r="30" ht="20.15" customHeight="1" s="524">
      <c r="B30" s="247" t="n"/>
      <c r="C30" s="248" t="n"/>
      <c r="D30" s="248" t="n"/>
      <c r="E30" s="248" t="n"/>
      <c r="F30" s="238" t="n"/>
      <c r="G30" s="249" t="n"/>
      <c r="H30" s="250" t="n"/>
      <c r="I30" s="251" t="n"/>
      <c r="J30" s="238" t="n"/>
      <c r="K30" s="416" t="n"/>
      <c r="L30" s="251" t="n"/>
    </row>
    <row r="38">
      <c r="A38" s="417" t="n"/>
    </row>
  </sheetData>
  <pageMargins left="0" right="0" top="0.3543307086614174" bottom="0.3543307086614174" header="0.2362204724409449" footer="0.1181102362204725"/>
  <pageSetup orientation="landscape" paperSize="9" scale="54"/>
  <headerFooter alignWithMargins="0">
    <oddHeader/>
    <oddFooter>&amp;L&amp;"Times New Roman CE,Pogrubiona kursywa"&amp;12 Źródło: Dane MF, CIHZ&amp;R&amp;"Times New Roman CE,Pogrubiona kursywa"&amp;12 Przygotowała: Agnieszka Szarejko-Pater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theme="8" tint="0.3999755851924192"/>
    <outlinePr summaryBelow="1" summaryRight="1"/>
    <pageSetUpPr fitToPage="1"/>
  </sheetPr>
  <dimension ref="A1:L31"/>
  <sheetViews>
    <sheetView showGridLines="0" topLeftCell="A3" zoomScale="85" zoomScaleNormal="85" workbookViewId="0">
      <selection activeCell="G6" sqref="G6"/>
    </sheetView>
  </sheetViews>
  <sheetFormatPr baseColWidth="8" defaultColWidth="9.1796875" defaultRowHeight="13"/>
  <cols>
    <col width="10.7265625" customWidth="1" style="228" min="1" max="1"/>
    <col width="20.7265625" customWidth="1" style="228" min="2" max="2"/>
    <col width="10.7265625" customWidth="1" style="228" min="3" max="6"/>
    <col width="20.7265625" customWidth="1" style="228" min="7" max="7"/>
    <col width="10.7265625" customWidth="1" style="228" min="8" max="10"/>
    <col width="5.7265625" customWidth="1" style="228" min="11" max="12"/>
    <col width="9.1796875" customWidth="1" style="228" min="13" max="16384"/>
  </cols>
  <sheetData>
    <row r="1" ht="25" customFormat="1" customHeight="1" s="29">
      <c r="D1" s="129" t="n"/>
      <c r="G1" s="30" t="n"/>
    </row>
    <row r="2" ht="25" customFormat="1" customHeight="1" s="29">
      <c r="A2" s="223" t="n"/>
      <c r="B2" s="34" t="inlineStr">
        <is>
          <t>HANDEL ZAGRANICZNY ARTYKUŁAMI Z RYNKU WIEPRZOWINY W OKRESIE I - XII 2025 - DANE WSTĘPNE</t>
        </is>
      </c>
      <c r="C2" s="34" t="n"/>
      <c r="D2" s="48" t="n"/>
      <c r="E2" s="224" t="n"/>
      <c r="F2" s="224" t="n"/>
      <c r="G2" s="224" t="n"/>
      <c r="H2" s="224" t="n"/>
      <c r="I2" s="224" t="n"/>
      <c r="J2" s="224" t="n"/>
      <c r="K2" s="224" t="n"/>
      <c r="L2" s="224" t="n"/>
    </row>
    <row r="3" ht="25" customFormat="1" customHeight="1" s="29" thickBot="1">
      <c r="B3" s="395" t="n"/>
      <c r="C3" s="37" t="n"/>
      <c r="D3" s="149" t="n"/>
      <c r="E3" s="150" t="n"/>
      <c r="F3" s="149" t="n"/>
      <c r="G3" s="151" t="n"/>
      <c r="H3" s="152" t="n"/>
      <c r="I3" s="225" t="n"/>
      <c r="J3" s="225" t="n"/>
      <c r="K3" s="226" t="n"/>
      <c r="L3" s="155" t="n"/>
    </row>
    <row r="4" ht="24.75" customFormat="1" customHeight="1" s="29" thickTop="1">
      <c r="B4" s="227" t="inlineStr">
        <is>
          <t>Źródło danych: Ministerstwo Finansów</t>
        </is>
      </c>
      <c r="C4" s="131" t="n"/>
      <c r="D4" s="48" t="n"/>
      <c r="E4" s="47" t="n"/>
      <c r="F4" s="48" t="n"/>
      <c r="G4" s="49" t="n"/>
      <c r="H4" s="132" t="n"/>
      <c r="I4" s="224" t="n"/>
      <c r="J4" s="224" t="n"/>
      <c r="K4" s="257" t="n"/>
    </row>
    <row r="5" ht="20.15" customFormat="1" customHeight="1" s="229">
      <c r="B5" s="230" t="n"/>
      <c r="C5" s="230" t="n"/>
      <c r="D5" s="231" t="n"/>
      <c r="E5" s="231" t="n"/>
      <c r="F5" s="231" t="n"/>
      <c r="G5" s="231" t="n"/>
      <c r="I5" s="396" t="n"/>
    </row>
    <row r="6" ht="20.15" customFormat="1" customHeight="1" s="229">
      <c r="B6" s="397" t="n"/>
      <c r="C6" s="397" t="n"/>
      <c r="D6" s="397" t="n"/>
      <c r="E6" s="397" t="n"/>
      <c r="F6" s="397" t="n"/>
      <c r="G6" s="397" t="n"/>
      <c r="H6" s="397" t="n"/>
      <c r="I6" s="396" t="n"/>
    </row>
    <row r="7" ht="40" customFormat="1" customHeight="1" s="233">
      <c r="B7" s="398" t="inlineStr">
        <is>
          <t>Eksport jabłek z Polski (CN 080810)</t>
        </is>
      </c>
      <c r="C7" s="399" t="n"/>
      <c r="D7" s="399" t="n"/>
      <c r="E7" s="400" t="n"/>
      <c r="F7" s="235" t="n"/>
      <c r="G7" s="401" t="n"/>
      <c r="H7" s="402" t="n"/>
      <c r="I7" s="399" t="n"/>
      <c r="J7" s="399" t="n"/>
      <c r="K7" s="403" t="n"/>
    </row>
    <row r="8" ht="20.15" customHeight="1" s="524">
      <c r="B8" s="197" t="inlineStr">
        <is>
          <t>I - XII 2024 r.</t>
        </is>
      </c>
      <c r="C8" s="198" t="n"/>
      <c r="D8" s="199" t="n"/>
      <c r="E8" s="199" t="n"/>
      <c r="F8" s="221" t="n"/>
      <c r="G8" s="197" t="inlineStr">
        <is>
          <t>I - XII 2025 r. (dane wstępne)</t>
        </is>
      </c>
      <c r="H8" s="198" t="n"/>
      <c r="I8" s="199" t="n"/>
      <c r="J8" s="199" t="n"/>
      <c r="K8" s="404" t="n"/>
      <c r="L8" s="237" t="n"/>
    </row>
    <row r="9" ht="40" customHeight="1" s="524" thickBot="1">
      <c r="B9" s="200" t="inlineStr">
        <is>
          <t>Kraj</t>
        </is>
      </c>
      <c r="C9" s="201" t="inlineStr">
        <is>
          <t>Wartość (tys. EUR)</t>
        </is>
      </c>
      <c r="D9" s="202" t="inlineStr">
        <is>
          <t>Wolumen  (t)</t>
        </is>
      </c>
      <c r="E9" s="202" t="inlineStr">
        <is>
          <t>Wolumen  (t)</t>
        </is>
      </c>
      <c r="F9" s="160" t="n"/>
      <c r="G9" s="200" t="inlineStr">
        <is>
          <t>Kraj</t>
        </is>
      </c>
      <c r="H9" s="201" t="inlineStr">
        <is>
          <t>Wartość (tys. EUR)</t>
        </is>
      </c>
      <c r="I9" s="202" t="inlineStr">
        <is>
          <t>Wolumen  (t)</t>
        </is>
      </c>
      <c r="J9" s="202" t="inlineStr">
        <is>
          <t>Wolumen  (t)</t>
        </is>
      </c>
      <c r="K9" s="405" t="n"/>
    </row>
    <row r="10" ht="20.15" customHeight="1" s="524">
      <c r="B10" s="203" t="inlineStr">
        <is>
          <t>OGÓŁEM</t>
        </is>
      </c>
      <c r="C10" s="406" t="n">
        <v>477007.249</v>
      </c>
      <c r="D10" s="407" t="n">
        <v>806264.686</v>
      </c>
      <c r="E10" s="205" t="n">
        <v>806264.686</v>
      </c>
      <c r="F10" s="160" t="n"/>
      <c r="G10" s="203" t="inlineStr">
        <is>
          <t>OGÓŁEM</t>
        </is>
      </c>
      <c r="H10" s="406" t="n">
        <v>486212.408</v>
      </c>
      <c r="I10" s="407" t="n">
        <v>700508.137</v>
      </c>
      <c r="J10" s="205" t="n">
        <v>700508.137</v>
      </c>
      <c r="K10" s="405" t="n"/>
    </row>
    <row r="11" ht="20.15" customHeight="1" s="524">
      <c r="B11" s="206" t="inlineStr">
        <is>
          <t>Niemcy</t>
        </is>
      </c>
      <c r="C11" s="408" t="n">
        <v>57867.333</v>
      </c>
      <c r="D11" s="409" t="n">
        <v>111789.819</v>
      </c>
      <c r="E11" s="208" t="n">
        <v>111789.819</v>
      </c>
      <c r="F11" s="160" t="n"/>
      <c r="G11" s="206" t="inlineStr">
        <is>
          <t>Egipt</t>
        </is>
      </c>
      <c r="H11" s="410" t="n">
        <v>44556.36</v>
      </c>
      <c r="I11" s="212" t="n">
        <v>62719.407</v>
      </c>
      <c r="J11" s="222" t="n">
        <v>62719.407</v>
      </c>
      <c r="K11" s="405" t="n"/>
    </row>
    <row r="12" ht="20.15" customHeight="1" s="524">
      <c r="B12" s="209" t="inlineStr">
        <is>
          <t>Rumunia</t>
        </is>
      </c>
      <c r="C12" s="411" t="n">
        <v>33670.529</v>
      </c>
      <c r="D12" s="210" t="n">
        <v>56733.489</v>
      </c>
      <c r="E12" s="211" t="n">
        <v>56733.489</v>
      </c>
      <c r="F12" s="160" t="n"/>
      <c r="G12" s="209" t="inlineStr">
        <is>
          <t>Rumunia</t>
        </is>
      </c>
      <c r="H12" s="411" t="n">
        <v>43974.121</v>
      </c>
      <c r="I12" s="210" t="n">
        <v>57414.521</v>
      </c>
      <c r="J12" s="211" t="n">
        <v>57414.521</v>
      </c>
      <c r="K12" s="405" t="n"/>
    </row>
    <row r="13" ht="20.15" customHeight="1" s="524">
      <c r="B13" s="209" t="inlineStr">
        <is>
          <t>Egipt</t>
        </is>
      </c>
      <c r="C13" s="411" t="n">
        <v>32613.758</v>
      </c>
      <c r="D13" s="210" t="n">
        <v>49925.33</v>
      </c>
      <c r="E13" s="211" t="n">
        <v>49925.33</v>
      </c>
      <c r="F13" s="160" t="n"/>
      <c r="G13" s="209" t="inlineStr">
        <is>
          <t>Niemcy</t>
        </is>
      </c>
      <c r="H13" s="411" t="n">
        <v>41697.462</v>
      </c>
      <c r="I13" s="210" t="n">
        <v>76603.03</v>
      </c>
      <c r="J13" s="211" t="n">
        <v>76603.03</v>
      </c>
      <c r="K13" s="405" t="n"/>
    </row>
    <row r="14" ht="20.15" customHeight="1" s="524">
      <c r="B14" s="209" t="inlineStr">
        <is>
          <t>Holandia</t>
        </is>
      </c>
      <c r="C14" s="411" t="n">
        <v>30039.133</v>
      </c>
      <c r="D14" s="210" t="n">
        <v>64552.435</v>
      </c>
      <c r="E14" s="211" t="n">
        <v>64552.435</v>
      </c>
      <c r="F14" s="160" t="n"/>
      <c r="G14" s="209" t="inlineStr">
        <is>
          <t>Republika Czeska</t>
        </is>
      </c>
      <c r="H14" s="411" t="n">
        <v>28312.106</v>
      </c>
      <c r="I14" s="210" t="n">
        <v>37366.124</v>
      </c>
      <c r="J14" s="211" t="n">
        <v>37366.124</v>
      </c>
      <c r="K14" s="405" t="n"/>
    </row>
    <row r="15" ht="20.15" customHeight="1" s="524">
      <c r="B15" s="209" t="inlineStr">
        <is>
          <t>India</t>
        </is>
      </c>
      <c r="C15" s="411" t="n">
        <v>27433.208</v>
      </c>
      <c r="D15" s="210" t="n">
        <v>36502.19</v>
      </c>
      <c r="E15" s="211" t="n">
        <v>36502.19</v>
      </c>
      <c r="F15" s="160" t="n"/>
      <c r="G15" s="209" t="inlineStr">
        <is>
          <t>India</t>
        </is>
      </c>
      <c r="H15" s="411" t="n">
        <v>25530.056</v>
      </c>
      <c r="I15" s="210" t="n">
        <v>32109.57</v>
      </c>
      <c r="J15" s="211" t="n">
        <v>32109.57</v>
      </c>
      <c r="K15" s="405" t="n"/>
    </row>
    <row r="16" ht="20.15" customHeight="1" s="524">
      <c r="B16" s="209" t="inlineStr">
        <is>
          <t>Republika Czeska</t>
        </is>
      </c>
      <c r="C16" s="411" t="n">
        <v>24858.528</v>
      </c>
      <c r="D16" s="210" t="n">
        <v>39726.658</v>
      </c>
      <c r="E16" s="211" t="n">
        <v>39726.658</v>
      </c>
      <c r="F16" s="160" t="n"/>
      <c r="G16" s="209" t="inlineStr">
        <is>
          <t>Białoruś</t>
        </is>
      </c>
      <c r="H16" s="411" t="n">
        <v>22781.442</v>
      </c>
      <c r="I16" s="210" t="n">
        <v>35680.952</v>
      </c>
      <c r="J16" s="211" t="n">
        <v>35680.952</v>
      </c>
      <c r="K16" s="405" t="n"/>
    </row>
    <row r="17" ht="20.15" customHeight="1" s="524">
      <c r="B17" s="209" t="inlineStr">
        <is>
          <t>Kazachstan</t>
        </is>
      </c>
      <c r="C17" s="411" t="n">
        <v>22469.752</v>
      </c>
      <c r="D17" s="210" t="n">
        <v>49837.466</v>
      </c>
      <c r="E17" s="211" t="n">
        <v>49837.466</v>
      </c>
      <c r="F17" s="160" t="n"/>
      <c r="G17" s="209" t="inlineStr">
        <is>
          <t>Holandia</t>
        </is>
      </c>
      <c r="H17" s="411" t="n">
        <v>22191.287</v>
      </c>
      <c r="I17" s="210" t="n">
        <v>39796.766</v>
      </c>
      <c r="J17" s="211" t="n">
        <v>39796.766</v>
      </c>
      <c r="K17" s="405" t="n"/>
    </row>
    <row r="18" ht="20.15" customHeight="1" s="524">
      <c r="B18" s="209" t="inlineStr">
        <is>
          <t>Szwecja</t>
        </is>
      </c>
      <c r="C18" s="411" t="n">
        <v>19970.989</v>
      </c>
      <c r="D18" s="210" t="n">
        <v>27948.481</v>
      </c>
      <c r="E18" s="211" t="n">
        <v>27948.481</v>
      </c>
      <c r="F18" s="160" t="n"/>
      <c r="G18" s="209" t="inlineStr">
        <is>
          <t>Węgry</t>
        </is>
      </c>
      <c r="H18" s="411" t="n">
        <v>21094.25</v>
      </c>
      <c r="I18" s="210" t="n">
        <v>30551.64</v>
      </c>
      <c r="J18" s="211" t="n">
        <v>30551.64</v>
      </c>
      <c r="K18" s="405" t="n"/>
    </row>
    <row r="19" ht="20.15" customHeight="1" s="524">
      <c r="B19" s="209" t="inlineStr">
        <is>
          <t>Wielka Brytania</t>
        </is>
      </c>
      <c r="C19" s="411" t="n">
        <v>19033.955</v>
      </c>
      <c r="D19" s="210" t="n">
        <v>26116.881</v>
      </c>
      <c r="E19" s="211" t="n">
        <v>26116.881</v>
      </c>
      <c r="F19" s="160" t="n"/>
      <c r="G19" s="209" t="inlineStr">
        <is>
          <t>Szwecja</t>
        </is>
      </c>
      <c r="H19" s="411" t="n">
        <v>19925.551</v>
      </c>
      <c r="I19" s="210" t="n">
        <v>23047.835</v>
      </c>
      <c r="J19" s="211" t="n">
        <v>23047.835</v>
      </c>
      <c r="K19" s="405" t="n"/>
    </row>
    <row r="20" ht="20.15" customHeight="1" s="524">
      <c r="B20" s="209" t="inlineStr">
        <is>
          <t>Francja</t>
        </is>
      </c>
      <c r="C20" s="411" t="n">
        <v>18373.113</v>
      </c>
      <c r="D20" s="210" t="n">
        <v>36300.871</v>
      </c>
      <c r="E20" s="211" t="n">
        <v>36300.871</v>
      </c>
      <c r="F20" s="160" t="n"/>
      <c r="G20" s="209" t="inlineStr">
        <is>
          <t>Kazachstan</t>
        </is>
      </c>
      <c r="H20" s="411" t="n">
        <v>19620.358</v>
      </c>
      <c r="I20" s="210" t="n">
        <v>40302.204</v>
      </c>
      <c r="J20" s="211" t="n">
        <v>40302.204</v>
      </c>
      <c r="K20" s="405" t="n"/>
    </row>
    <row r="21" ht="20.15" customHeight="1" s="524">
      <c r="B21" s="209" t="inlineStr">
        <is>
          <t>Hiszpania</t>
        </is>
      </c>
      <c r="C21" s="411" t="n">
        <v>16763.658</v>
      </c>
      <c r="D21" s="210" t="n">
        <v>24837.097</v>
      </c>
      <c r="E21" s="211" t="n">
        <v>24837.097</v>
      </c>
      <c r="F21" s="160" t="n"/>
      <c r="G21" s="209" t="inlineStr">
        <is>
          <t>Litwa</t>
        </is>
      </c>
      <c r="H21" s="411" t="n">
        <v>16914.04</v>
      </c>
      <c r="I21" s="210" t="n">
        <v>23227.383</v>
      </c>
      <c r="J21" s="211" t="n">
        <v>23227.383</v>
      </c>
      <c r="K21" s="405" t="n"/>
    </row>
    <row r="22" ht="20.15" customHeight="1" s="524">
      <c r="B22" s="209" t="inlineStr">
        <is>
          <t>Węgry</t>
        </is>
      </c>
      <c r="C22" s="411" t="n">
        <v>14988.316</v>
      </c>
      <c r="D22" s="210" t="n">
        <v>28111.282</v>
      </c>
      <c r="E22" s="211" t="n">
        <v>28111.282</v>
      </c>
      <c r="F22" s="160" t="n"/>
      <c r="G22" s="209" t="inlineStr">
        <is>
          <t>Hiszpania</t>
        </is>
      </c>
      <c r="H22" s="411" t="n">
        <v>12877.455</v>
      </c>
      <c r="I22" s="210" t="n">
        <v>16281.914</v>
      </c>
      <c r="J22" s="211" t="n">
        <v>16281.914</v>
      </c>
      <c r="K22" s="405" t="n"/>
    </row>
    <row r="23" ht="20.15" customHeight="1" s="524">
      <c r="B23" s="209" t="inlineStr">
        <is>
          <t>Białoruś</t>
        </is>
      </c>
      <c r="C23" s="411" t="n">
        <v>12330.199</v>
      </c>
      <c r="D23" s="210" t="n">
        <v>24681.04</v>
      </c>
      <c r="E23" s="211" t="n">
        <v>24681.04</v>
      </c>
      <c r="F23" s="160" t="n"/>
      <c r="G23" s="209" t="inlineStr">
        <is>
          <t>Wielka Brytania</t>
        </is>
      </c>
      <c r="H23" s="411" t="n">
        <v>12822.666</v>
      </c>
      <c r="I23" s="210" t="n">
        <v>15261.061</v>
      </c>
      <c r="J23" s="211" t="n">
        <v>15261.061</v>
      </c>
      <c r="K23" s="405" t="n"/>
    </row>
    <row r="24" ht="20.15" customHeight="1" s="524">
      <c r="B24" s="209" t="inlineStr">
        <is>
          <t>Mongolia</t>
        </is>
      </c>
      <c r="C24" s="411" t="n">
        <v>9933.754000000001</v>
      </c>
      <c r="D24" s="210" t="n">
        <v>16666.479</v>
      </c>
      <c r="E24" s="211" t="n">
        <v>16666.479</v>
      </c>
      <c r="F24" s="160" t="n"/>
      <c r="G24" s="209" t="inlineStr">
        <is>
          <t>Ukraina</t>
        </is>
      </c>
      <c r="H24" s="411" t="n">
        <v>11756.689</v>
      </c>
      <c r="I24" s="210" t="n">
        <v>13267.849</v>
      </c>
      <c r="J24" s="211" t="n">
        <v>13267.849</v>
      </c>
      <c r="K24" s="405" t="n"/>
    </row>
    <row r="25" ht="20.15" customHeight="1" s="524">
      <c r="B25" s="209" t="inlineStr">
        <is>
          <t>Słowacja</t>
        </is>
      </c>
      <c r="C25" s="411" t="n">
        <v>9878.466</v>
      </c>
      <c r="D25" s="210" t="n">
        <v>14686.39</v>
      </c>
      <c r="E25" s="211" t="n">
        <v>14686.39</v>
      </c>
      <c r="F25" s="160" t="n"/>
      <c r="G25" s="209" t="inlineStr">
        <is>
          <t>Słowacja</t>
        </is>
      </c>
      <c r="H25" s="411" t="n">
        <v>11296.416</v>
      </c>
      <c r="I25" s="210" t="n">
        <v>14748.796</v>
      </c>
      <c r="J25" s="211" t="n">
        <v>14748.796</v>
      </c>
      <c r="K25" s="405" t="n"/>
    </row>
    <row r="26" ht="20.15" customHeight="1" s="524">
      <c r="B26" s="206" t="inlineStr">
        <is>
          <t>Litwa</t>
        </is>
      </c>
      <c r="C26" s="411" t="n">
        <v>9688.003000000001</v>
      </c>
      <c r="D26" s="210" t="n">
        <v>17808.343</v>
      </c>
      <c r="E26" s="211" t="n">
        <v>17808.343</v>
      </c>
      <c r="F26" s="160" t="n"/>
      <c r="G26" s="206" t="inlineStr">
        <is>
          <t>Jordania</t>
        </is>
      </c>
      <c r="H26" s="411" t="n">
        <v>10017.868</v>
      </c>
      <c r="I26" s="210" t="n">
        <v>13195.878</v>
      </c>
      <c r="J26" s="211" t="n">
        <v>13195.878</v>
      </c>
      <c r="K26" s="412" t="n"/>
      <c r="L26" s="238" t="n"/>
    </row>
    <row r="27" ht="20.15" customHeight="1" s="524">
      <c r="B27" s="206" t="inlineStr">
        <is>
          <t>Belgia</t>
        </is>
      </c>
      <c r="C27" s="411" t="n">
        <v>8958.129999999999</v>
      </c>
      <c r="D27" s="210" t="n">
        <v>16148.075</v>
      </c>
      <c r="E27" s="211" t="n">
        <v>16148.075</v>
      </c>
      <c r="F27" s="160" t="n"/>
      <c r="G27" s="206" t="inlineStr">
        <is>
          <t>Bułgaria</t>
        </is>
      </c>
      <c r="H27" s="411" t="n">
        <v>9845.282999999999</v>
      </c>
      <c r="I27" s="210" t="n">
        <v>14244.856</v>
      </c>
      <c r="J27" s="211" t="n">
        <v>14244.856</v>
      </c>
      <c r="K27" s="412" t="n"/>
      <c r="L27" s="238" t="n"/>
    </row>
    <row r="28" ht="20.15" customHeight="1" s="524">
      <c r="B28" s="206" t="inlineStr">
        <is>
          <t>Arabia Saudyjska</t>
        </is>
      </c>
      <c r="C28" s="411" t="n">
        <v>8770.6</v>
      </c>
      <c r="D28" s="210" t="n">
        <v>9608.91</v>
      </c>
      <c r="E28" s="211" t="n">
        <v>9608.91</v>
      </c>
      <c r="F28" s="160" t="n"/>
      <c r="G28" s="206" t="inlineStr">
        <is>
          <t>Finlandia</t>
        </is>
      </c>
      <c r="H28" s="411" t="n">
        <v>9803.536</v>
      </c>
      <c r="I28" s="210" t="n">
        <v>12824.444</v>
      </c>
      <c r="J28" s="211" t="n">
        <v>12824.444</v>
      </c>
      <c r="K28" s="412" t="n"/>
      <c r="L28" s="238" t="n"/>
    </row>
    <row r="29" ht="20.15" customHeight="1" s="524">
      <c r="B29" s="213" t="inlineStr">
        <is>
          <t>Finlandia</t>
        </is>
      </c>
      <c r="C29" s="413" t="n">
        <v>8576.839</v>
      </c>
      <c r="D29" s="214" t="n">
        <v>13919.759</v>
      </c>
      <c r="E29" s="215" t="n">
        <v>13919.759</v>
      </c>
      <c r="F29" s="160" t="n"/>
      <c r="G29" s="213" t="inlineStr">
        <is>
          <t>Łotwa</t>
        </is>
      </c>
      <c r="H29" s="413" t="n">
        <v>8383.107</v>
      </c>
      <c r="I29" s="214" t="n">
        <v>11582.628</v>
      </c>
      <c r="J29" s="215" t="n">
        <v>11582.628</v>
      </c>
      <c r="K29" s="414" t="n"/>
      <c r="L29" s="415" t="n"/>
    </row>
    <row r="30" ht="20.15" customHeight="1" s="524">
      <c r="B30" s="247" t="inlineStr">
        <is>
          <t>Łotwa</t>
        </is>
      </c>
      <c r="C30" s="248" t="n">
        <v>8361.075999999999</v>
      </c>
      <c r="D30" s="248" t="n">
        <v>15058.968</v>
      </c>
      <c r="E30" s="248" t="n"/>
      <c r="F30" s="238" t="n"/>
      <c r="G30" s="249" t="n"/>
      <c r="H30" s="250" t="n"/>
      <c r="I30" s="251" t="n"/>
      <c r="J30" s="238" t="n"/>
      <c r="K30" s="416" t="n"/>
      <c r="L30" s="251" t="n"/>
    </row>
    <row r="31" ht="20.15" customHeight="1" s="524">
      <c r="C31" s="160" t="n"/>
      <c r="D31" s="238" t="n"/>
      <c r="E31" s="238" t="n"/>
      <c r="F31" s="418" t="n"/>
      <c r="G31" s="418" t="n"/>
      <c r="H31" s="418" t="n"/>
      <c r="I31" s="419" t="n"/>
      <c r="J31" s="238" t="n"/>
      <c r="K31" s="412" t="n"/>
      <c r="L31" s="238" t="n"/>
    </row>
  </sheetData>
  <pageMargins left="0" right="0" top="0.3543307086614174" bottom="0.3543307086614174" header="0.2362204724409449" footer="0.1181102362204725"/>
  <pageSetup orientation="landscape" paperSize="9" scale="54"/>
  <headerFooter alignWithMargins="0">
    <oddHeader/>
    <oddFooter>&amp;L&amp;"Times New Roman CE,Pogrubiona kursywa"&amp;12 Źródło: Dane MF, CIHZ&amp;R&amp;"Times New Roman CE,Pogrubiona kursywa"&amp;12 Przygotowała: Agnieszka Szarejko-Pater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theme="8" tint="0.3999755851924192"/>
    <outlinePr summaryBelow="1" summaryRight="1"/>
    <pageSetUpPr fitToPage="1"/>
  </sheetPr>
  <dimension ref="A1:AD32"/>
  <sheetViews>
    <sheetView showGridLines="0" zoomScale="85" zoomScaleNormal="85" workbookViewId="0">
      <selection activeCell="H10" sqref="H10"/>
    </sheetView>
  </sheetViews>
  <sheetFormatPr baseColWidth="8" defaultColWidth="9.1796875" defaultRowHeight="13"/>
  <cols>
    <col width="10.7265625" customWidth="1" style="228" min="1" max="1"/>
    <col width="20.7265625" customWidth="1" style="228" min="2" max="2"/>
    <col width="10.7265625" customWidth="1" style="228" min="3" max="18"/>
    <col width="20.7265625" customWidth="1" style="228" min="19" max="19"/>
    <col width="10.7265625" customWidth="1" style="228" min="20" max="23"/>
    <col width="14.1796875" customWidth="1" style="228" min="24" max="24"/>
    <col width="9.1796875" customWidth="1" style="228" min="25" max="16384"/>
  </cols>
  <sheetData>
    <row r="1" ht="25" customFormat="1" customHeight="1" s="29">
      <c r="D1" s="129" t="n"/>
      <c r="G1" s="30" t="n"/>
      <c r="M1" s="32" t="n"/>
    </row>
    <row r="2" ht="25" customFormat="1" customHeight="1" s="29">
      <c r="A2" s="223" t="n"/>
      <c r="B2" s="34" t="inlineStr">
        <is>
          <t xml:space="preserve">EKSPORT  ARTYKUŁAMI Z RYNKU OWOCÓW - WAŻNIEJSZE KRAJE </t>
        </is>
      </c>
      <c r="C2" s="34" t="n"/>
      <c r="D2" s="48" t="n"/>
      <c r="E2" s="224" t="n"/>
      <c r="F2" s="224" t="n"/>
      <c r="G2" s="224" t="n"/>
      <c r="H2" s="224" t="n"/>
      <c r="I2" s="224" t="n"/>
      <c r="J2" s="224" t="n"/>
      <c r="K2" s="224" t="n"/>
      <c r="L2" s="224" t="n"/>
    </row>
    <row r="3" ht="25" customFormat="1" customHeight="1" s="29" thickBot="1">
      <c r="B3" s="395" t="inlineStr">
        <is>
          <t>(WG WARTOŚCI W OKRESIE I - IV 2026)</t>
        </is>
      </c>
      <c r="C3" s="37" t="n"/>
      <c r="D3" s="149" t="n"/>
      <c r="E3" s="150" t="n"/>
      <c r="F3" s="149" t="n"/>
      <c r="G3" s="151" t="n"/>
      <c r="H3" s="152" t="n"/>
      <c r="I3" s="225" t="n"/>
      <c r="J3" s="225" t="n"/>
      <c r="K3" s="226" t="n"/>
      <c r="L3" s="155" t="n"/>
      <c r="M3" s="155" t="n"/>
      <c r="N3" s="155" t="n"/>
      <c r="O3" s="155" t="n"/>
      <c r="P3" s="155" t="n"/>
      <c r="R3" s="420" t="n"/>
    </row>
    <row r="4" ht="25" customFormat="1" customHeight="1" s="29" thickTop="1">
      <c r="B4" s="227" t="inlineStr">
        <is>
          <t>Źródło danych: Ministerstwo Finansów</t>
        </is>
      </c>
      <c r="C4" s="131" t="n"/>
      <c r="D4" s="48" t="n"/>
      <c r="E4" s="47" t="n"/>
      <c r="F4" s="48" t="n"/>
      <c r="G4" s="49" t="n"/>
      <c r="H4" s="132" t="n"/>
      <c r="I4" s="224" t="n"/>
      <c r="J4" s="224" t="n"/>
      <c r="K4" s="257" t="n"/>
      <c r="O4" s="228" t="n"/>
      <c r="P4" s="159">
        <f>[5]POMOC!B6</f>
        <v/>
      </c>
    </row>
    <row r="5" ht="20.15" customFormat="1" customHeight="1" s="229">
      <c r="B5" s="230" t="inlineStr">
        <is>
          <t>UWAGA! DANE W TRAKCIE WERYFIKACJI - MOGĄ BYĆ OBARACZONE ISTOTNYMI BŁĘDAMI</t>
        </is>
      </c>
      <c r="P5" s="421" t="n"/>
    </row>
    <row r="6" ht="20.15" customFormat="1" customHeight="1" s="229">
      <c r="B6" s="231" t="n"/>
    </row>
    <row r="7" ht="40" customFormat="1" customHeight="1" s="422">
      <c r="A7" s="599" t="inlineStr">
        <is>
          <t>Ważniejsze kraje w eksporcie jabłek (CN 080810) z Polski</t>
        </is>
      </c>
    </row>
    <row r="8" ht="20.15" customFormat="1" customHeight="1" s="423">
      <c r="B8" s="424" t="n"/>
      <c r="C8" s="425" t="inlineStr">
        <is>
          <t>Wartość (tys. EUR)</t>
        </is>
      </c>
      <c r="D8" s="426" t="n"/>
      <c r="E8" s="426" t="n"/>
      <c r="F8" s="426" t="n"/>
      <c r="G8" s="426" t="n"/>
      <c r="H8" s="426" t="n"/>
      <c r="I8" s="427" t="n"/>
      <c r="J8" s="425" t="inlineStr">
        <is>
          <t>Wolumen (t)</t>
        </is>
      </c>
      <c r="K8" s="426" t="n"/>
      <c r="L8" s="426" t="n"/>
      <c r="M8" s="426" t="n"/>
      <c r="N8" s="426" t="n"/>
      <c r="O8" s="426" t="n"/>
      <c r="P8" s="426" t="n"/>
      <c r="T8" s="428" t="n"/>
      <c r="U8" s="429" t="n"/>
      <c r="V8" s="430" t="n"/>
      <c r="W8" s="430" t="n"/>
      <c r="X8" s="430" t="n"/>
      <c r="Y8" s="431" t="n"/>
      <c r="Z8" s="432" t="n"/>
      <c r="AA8" s="432" t="n"/>
      <c r="AB8" s="432" t="n"/>
      <c r="AC8" s="433" t="n"/>
      <c r="AD8" s="428" t="n"/>
    </row>
    <row r="9" ht="60" customHeight="1" s="524" thickBot="1">
      <c r="B9" s="434" t="inlineStr">
        <is>
          <t>Kraj</t>
        </is>
      </c>
      <c r="C9" s="435" t="inlineStr">
        <is>
          <t>2024 r.
(dane ostateczne)</t>
        </is>
      </c>
      <c r="D9" s="436" t="inlineStr">
        <is>
          <t>2025 r. 
(dane wstępne)</t>
        </is>
      </c>
      <c r="E9" s="437" t="inlineStr">
        <is>
          <t>Zmiana (%) 
2024 r. do 
2023 r.</t>
        </is>
      </c>
      <c r="F9" s="438">
        <f>'EXP-IMP KRAJE'!B8</f>
        <v/>
      </c>
      <c r="G9" s="439">
        <f>'EXP-IMP KRAJE'!G8</f>
        <v/>
      </c>
      <c r="H9" s="440" t="inlineStr">
        <is>
          <t>Zmiana (%) 
I - IV 2026 r.
do 
I - IV 2025 r.</t>
        </is>
      </c>
      <c r="I9" s="441" t="inlineStr">
        <is>
          <t>Udział (%)
I - IV 2026 r.</t>
        </is>
      </c>
      <c r="J9" s="442">
        <f>C9</f>
        <v/>
      </c>
      <c r="K9" s="435">
        <f>D9</f>
        <v/>
      </c>
      <c r="L9" s="437" t="inlineStr">
        <is>
          <t>Zmiana (%) 
2024 r. do 
2023 r.</t>
        </is>
      </c>
      <c r="M9" s="438">
        <f>F9</f>
        <v/>
      </c>
      <c r="N9" s="439">
        <f>G9</f>
        <v/>
      </c>
      <c r="O9" s="440">
        <f>H9</f>
        <v/>
      </c>
      <c r="P9" s="443">
        <f>I9</f>
        <v/>
      </c>
      <c r="T9" s="444" t="n"/>
      <c r="U9" s="445" t="n"/>
      <c r="V9" s="445" t="n"/>
      <c r="W9" s="445" t="n"/>
      <c r="X9" s="445" t="n"/>
      <c r="Y9" s="446" t="n"/>
      <c r="Z9" s="444" t="n"/>
      <c r="AA9" s="445" t="n"/>
      <c r="AB9" s="445" t="n"/>
      <c r="AC9" s="445" t="n"/>
      <c r="AD9" s="445" t="n"/>
    </row>
    <row r="10" ht="20.15" customHeight="1" s="524">
      <c r="B10" s="203">
        <f>'EXP-IMP KRAJE'!G10</f>
        <v/>
      </c>
      <c r="C10" s="447">
        <f>IFERROR(VLOOKUP(B10,'EXP-IMP KRAJE LATA'!$B$10:$E$29,2,FALSE),"--")</f>
        <v/>
      </c>
      <c r="D10" s="205">
        <f>IFERROR(VLOOKUP(B10,'EXP-IMP KRAJE LATA'!$G$10:$J$29,2,FALSE),"--")</f>
        <v/>
      </c>
      <c r="E10" s="448">
        <f>IFERROR((D10-C10)/C10*100,"--")</f>
        <v/>
      </c>
      <c r="F10" s="447">
        <f>IFERROR(VLOOKUP(B10,'EXP-IMP KRAJE'!$B$7:$E$29,2,FALSE),"--")</f>
        <v/>
      </c>
      <c r="G10" s="449">
        <f>IFERROR(VLOOKUP(B10,'EXP-IMP KRAJE'!$G$7:$J$29,2,FALSE),"--")</f>
        <v/>
      </c>
      <c r="H10" s="450">
        <f>IFERROR((G10-F10)/F10*100,"--")</f>
        <v/>
      </c>
      <c r="I10" s="451">
        <f>G10/$G$10*100</f>
        <v/>
      </c>
      <c r="J10" s="447">
        <f>IFERROR(VLOOKUP(B10,'EXP-IMP KRAJE LATA'!$B$10:$E$29,4,FALSE),"--")</f>
        <v/>
      </c>
      <c r="K10" s="205">
        <f>IFERROR(VLOOKUP(B10,'EXP-IMP KRAJE LATA'!$G$10:$J$29,4,FALSE),"--")</f>
        <v/>
      </c>
      <c r="L10" s="448">
        <f>IFERROR((K10-J10)/J10*100,"--")</f>
        <v/>
      </c>
      <c r="M10" s="447">
        <f>IFERROR(VLOOKUP(B10,'EXP-IMP KRAJE'!$B$7:$E$29,4,FALSE),"--")</f>
        <v/>
      </c>
      <c r="N10" s="205">
        <f>IFERROR(VLOOKUP(B10,'EXP-IMP KRAJE'!$G$7:$J$29,4,FALSE),"--")</f>
        <v/>
      </c>
      <c r="O10" s="450">
        <f>IFERROR((N10-M10)/M10*100,"--")</f>
        <v/>
      </c>
      <c r="P10" s="452">
        <f>N10/$N$10*100</f>
        <v/>
      </c>
      <c r="T10" s="453" t="n"/>
      <c r="U10" s="454" t="n"/>
      <c r="V10" s="454" t="n"/>
      <c r="W10" s="454" t="n"/>
      <c r="X10" s="455" t="n"/>
      <c r="Y10" s="446" t="n"/>
      <c r="Z10" s="454" t="n"/>
      <c r="AA10" s="454" t="n"/>
      <c r="AB10" s="454" t="n"/>
      <c r="AC10" s="454" t="n"/>
      <c r="AD10" s="456" t="n"/>
    </row>
    <row r="11" ht="20.15" customHeight="1" s="524">
      <c r="B11" s="209">
        <f>'EXP-IMP KRAJE'!G11</f>
        <v/>
      </c>
      <c r="C11" s="457">
        <f>IFERROR(VLOOKUP(B11,'EXP-IMP KRAJE LATA'!$B$10:$E$29,2,FALSE),"--")</f>
        <v/>
      </c>
      <c r="D11" s="222">
        <f>IFERROR(VLOOKUP(B11,'EXP-IMP KRAJE LATA'!$G$10:$J$29,2,FALSE),"--")</f>
        <v/>
      </c>
      <c r="E11" s="458">
        <f>IFERROR((D11-C11)/C11*100,"--")</f>
        <v/>
      </c>
      <c r="F11" s="457">
        <f>IFERROR(VLOOKUP(B11,'EXP-IMP KRAJE'!$B$7:$E$29,2,FALSE),"--")</f>
        <v/>
      </c>
      <c r="G11" s="459">
        <f>IFERROR(VLOOKUP(B11,'EXP-IMP KRAJE'!$G$7:$J$29,2,FALSE),"--")</f>
        <v/>
      </c>
      <c r="H11" s="460">
        <f>IFERROR((G11-F11)/F11*100,"--")</f>
        <v/>
      </c>
      <c r="I11" s="461">
        <f>G11/$G$10*100</f>
        <v/>
      </c>
      <c r="J11" s="457">
        <f>IFERROR(VLOOKUP(B11,'EXP-IMP KRAJE LATA'!$B$10:$E$29,4,FALSE),"--")</f>
        <v/>
      </c>
      <c r="K11" s="222">
        <f>IFERROR(VLOOKUP(B11,'EXP-IMP KRAJE LATA'!$G$10:$J$29,4,FALSE),"--")</f>
        <v/>
      </c>
      <c r="L11" s="458">
        <f>IFERROR((K11-J11)/J11*100,"--")</f>
        <v/>
      </c>
      <c r="M11" s="457">
        <f>IFERROR(VLOOKUP(B11,'EXP-IMP KRAJE'!$B$7:$E$29,4,FALSE),"--")</f>
        <v/>
      </c>
      <c r="N11" s="222">
        <f>IFERROR(VLOOKUP(B11,'EXP-IMP KRAJE'!$G$7:$J$29,4,FALSE),"--")</f>
        <v/>
      </c>
      <c r="O11" s="460">
        <f>IFERROR((N11-M11)/M11*100,"--")</f>
        <v/>
      </c>
      <c r="P11" s="462">
        <f>N11/$N$10*100</f>
        <v/>
      </c>
      <c r="T11" s="463" t="n"/>
      <c r="U11" s="464" t="n"/>
      <c r="V11" s="464" t="n"/>
      <c r="W11" s="464" t="n"/>
      <c r="X11" s="465" t="n"/>
      <c r="Y11" s="446" t="n"/>
      <c r="Z11" s="463" t="n"/>
      <c r="AA11" s="464" t="n"/>
      <c r="AB11" s="464" t="n"/>
      <c r="AC11" s="464" t="n"/>
      <c r="AD11" s="465" t="n"/>
    </row>
    <row r="12" ht="20.15" customHeight="1" s="524">
      <c r="B12" s="209">
        <f>'EXP-IMP KRAJE'!G12</f>
        <v/>
      </c>
      <c r="C12" s="466">
        <f>IFERROR(VLOOKUP(B12,'EXP-IMP KRAJE LATA'!$B$10:$E$29,2,FALSE),"--")</f>
        <v/>
      </c>
      <c r="D12" s="211">
        <f>IFERROR(VLOOKUP(B12,'EXP-IMP KRAJE LATA'!$G$10:$J$29,2,FALSE),"--")</f>
        <v/>
      </c>
      <c r="E12" s="467">
        <f>IFERROR((D12-C12)/C12*100,"--")</f>
        <v/>
      </c>
      <c r="F12" s="466">
        <f>IFERROR(VLOOKUP(B12,'EXP-IMP KRAJE'!$B$7:$E$29,2,FALSE),"--")</f>
        <v/>
      </c>
      <c r="G12" s="468">
        <f>IFERROR(VLOOKUP(B12,'EXP-IMP KRAJE'!$G$7:$J$29,2,FALSE),"--")</f>
        <v/>
      </c>
      <c r="H12" s="460">
        <f>IFERROR((G12-F12)/F12*100,"--")</f>
        <v/>
      </c>
      <c r="I12" s="469">
        <f>G12/$G$10*100</f>
        <v/>
      </c>
      <c r="J12" s="466">
        <f>IFERROR(VLOOKUP(B12,'EXP-IMP KRAJE LATA'!$B$10:$E$29,4,FALSE),"--")</f>
        <v/>
      </c>
      <c r="K12" s="211">
        <f>IFERROR(VLOOKUP(B12,'EXP-IMP KRAJE LATA'!$G$10:$J$29,4,FALSE),"--")</f>
        <v/>
      </c>
      <c r="L12" s="467">
        <f>IFERROR((K12-J12)/J12*100,"--")</f>
        <v/>
      </c>
      <c r="M12" s="466">
        <f>IFERROR(VLOOKUP(B12,'EXP-IMP KRAJE'!$B$7:$E$29,4,FALSE),"--")</f>
        <v/>
      </c>
      <c r="N12" s="211">
        <f>IFERROR(VLOOKUP(B12,'EXP-IMP KRAJE'!$G$7:$J$29,4,FALSE),"--")</f>
        <v/>
      </c>
      <c r="O12" s="460">
        <f>IFERROR((N12-M12)/M12*100,"--")</f>
        <v/>
      </c>
      <c r="P12" s="470">
        <f>N12/$N$10*100</f>
        <v/>
      </c>
      <c r="T12" s="463" t="n"/>
      <c r="U12" s="464" t="n"/>
      <c r="V12" s="464" t="n"/>
      <c r="W12" s="464" t="n"/>
      <c r="X12" s="465" t="n"/>
      <c r="Y12" s="471" t="n"/>
      <c r="Z12" s="472" t="n"/>
      <c r="AA12" s="472" t="n"/>
      <c r="AB12" s="472" t="n"/>
      <c r="AC12" s="473" t="n"/>
      <c r="AD12" s="446" t="n"/>
    </row>
    <row r="13" ht="20.15" customHeight="1" s="524">
      <c r="B13" s="209">
        <f>'EXP-IMP KRAJE'!G13</f>
        <v/>
      </c>
      <c r="C13" s="466">
        <f>IFERROR(VLOOKUP(B13,'EXP-IMP KRAJE LATA'!$B$10:$E$29,2,FALSE),"--")</f>
        <v/>
      </c>
      <c r="D13" s="211">
        <f>IFERROR(VLOOKUP(B13,'EXP-IMP KRAJE LATA'!$G$10:$J$29,2,FALSE),"--")</f>
        <v/>
      </c>
      <c r="E13" s="467">
        <f>IFERROR((D13-C13)/C13*100,"--")</f>
        <v/>
      </c>
      <c r="F13" s="466">
        <f>IFERROR(VLOOKUP(B13,'EXP-IMP KRAJE'!$B$7:$E$29,2,FALSE),"--")</f>
        <v/>
      </c>
      <c r="G13" s="468">
        <f>IFERROR(VLOOKUP(B13,'EXP-IMP KRAJE'!$G$7:$J$29,2,FALSE),"--")</f>
        <v/>
      </c>
      <c r="H13" s="460">
        <f>IFERROR((G13-F13)/F13*100,"--")</f>
        <v/>
      </c>
      <c r="I13" s="469">
        <f>G13/$G$10*100</f>
        <v/>
      </c>
      <c r="J13" s="466">
        <f>IFERROR(VLOOKUP(B13,'EXP-IMP KRAJE LATA'!$B$10:$E$29,4,FALSE),"--")</f>
        <v/>
      </c>
      <c r="K13" s="211">
        <f>IFERROR(VLOOKUP(B13,'EXP-IMP KRAJE LATA'!$G$10:$J$29,4,FALSE),"--")</f>
        <v/>
      </c>
      <c r="L13" s="467">
        <f>IFERROR((K13-J13)/J13*100,"--")</f>
        <v/>
      </c>
      <c r="M13" s="466">
        <f>IFERROR(VLOOKUP(B13,'EXP-IMP KRAJE'!$B$7:$E$29,4,FALSE),"--")</f>
        <v/>
      </c>
      <c r="N13" s="211">
        <f>IFERROR(VLOOKUP(B13,'EXP-IMP KRAJE'!$G$7:$J$29,4,FALSE),"--")</f>
        <v/>
      </c>
      <c r="O13" s="460">
        <f>IFERROR((N13-M13)/M13*100,"--")</f>
        <v/>
      </c>
      <c r="P13" s="470">
        <f>N13/$N$10*100</f>
        <v/>
      </c>
      <c r="T13" s="463" t="n"/>
      <c r="U13" s="464" t="n"/>
      <c r="V13" s="464" t="n"/>
      <c r="W13" s="464" t="n"/>
      <c r="X13" s="465" t="n"/>
      <c r="Y13" s="474" t="n"/>
      <c r="Z13" s="472" t="n"/>
      <c r="AA13" s="472" t="n"/>
      <c r="AB13" s="472" t="n"/>
      <c r="AC13" s="473" t="n"/>
      <c r="AD13" s="446" t="n"/>
    </row>
    <row r="14" ht="20.15" customHeight="1" s="524">
      <c r="B14" s="209">
        <f>'EXP-IMP KRAJE'!G14</f>
        <v/>
      </c>
      <c r="C14" s="466">
        <f>IFERROR(VLOOKUP(B14,'EXP-IMP KRAJE LATA'!$B$10:$E$29,2,FALSE),"--")</f>
        <v/>
      </c>
      <c r="D14" s="211">
        <f>IFERROR(VLOOKUP(B14,'EXP-IMP KRAJE LATA'!$G$10:$J$29,2,FALSE),"--")</f>
        <v/>
      </c>
      <c r="E14" s="467">
        <f>IFERROR((D14-C14)/C14*100,"--")</f>
        <v/>
      </c>
      <c r="F14" s="466">
        <f>IFERROR(VLOOKUP(B14,'EXP-IMP KRAJE'!$B$7:$E$29,2,FALSE),"--")</f>
        <v/>
      </c>
      <c r="G14" s="468">
        <f>IFERROR(VLOOKUP(B14,'EXP-IMP KRAJE'!$G$7:$J$29,2,FALSE),"--")</f>
        <v/>
      </c>
      <c r="H14" s="460">
        <f>IFERROR((G14-F14)/F14*100,"--")</f>
        <v/>
      </c>
      <c r="I14" s="469">
        <f>G14/$G$10*100</f>
        <v/>
      </c>
      <c r="J14" s="466">
        <f>IFERROR(VLOOKUP(B14,'EXP-IMP KRAJE LATA'!$B$10:$E$29,4,FALSE),"--")</f>
        <v/>
      </c>
      <c r="K14" s="211">
        <f>IFERROR(VLOOKUP(B14,'EXP-IMP KRAJE LATA'!$G$10:$J$29,4,FALSE),"--")</f>
        <v/>
      </c>
      <c r="L14" s="467">
        <f>IFERROR((K14-J14)/J14*100,"--")</f>
        <v/>
      </c>
      <c r="M14" s="466">
        <f>IFERROR(VLOOKUP(B14,'EXP-IMP KRAJE'!$B$7:$E$29,4,FALSE),"--")</f>
        <v/>
      </c>
      <c r="N14" s="211">
        <f>IFERROR(VLOOKUP(B14,'EXP-IMP KRAJE'!$G$7:$J$29,4,FALSE),"--")</f>
        <v/>
      </c>
      <c r="O14" s="460">
        <f>IFERROR((N14-M14)/M14*100,"--")</f>
        <v/>
      </c>
      <c r="P14" s="470">
        <f>N14/$N$10*100</f>
        <v/>
      </c>
      <c r="T14" s="446" t="n"/>
      <c r="U14" s="446" t="n"/>
      <c r="V14" s="446" t="n"/>
      <c r="W14" s="446" t="n"/>
      <c r="X14" s="446" t="n"/>
      <c r="Y14" s="446" t="n"/>
      <c r="Z14" s="446" t="n"/>
      <c r="AA14" s="446" t="n"/>
      <c r="AB14" s="446" t="n"/>
      <c r="AC14" s="446" t="n"/>
      <c r="AD14" s="446" t="n"/>
    </row>
    <row r="15" ht="20.15" customHeight="1" s="524">
      <c r="B15" s="209">
        <f>'EXP-IMP KRAJE'!G15</f>
        <v/>
      </c>
      <c r="C15" s="466">
        <f>IFERROR(VLOOKUP(B15,'EXP-IMP KRAJE LATA'!$B$10:$E$29,2,FALSE),"--")</f>
        <v/>
      </c>
      <c r="D15" s="211">
        <f>IFERROR(VLOOKUP(B15,'EXP-IMP KRAJE LATA'!$G$10:$J$29,2,FALSE),"--")</f>
        <v/>
      </c>
      <c r="E15" s="467">
        <f>IFERROR((D15-C15)/C15*100,"--")</f>
        <v/>
      </c>
      <c r="F15" s="466">
        <f>IFERROR(VLOOKUP(B15,'EXP-IMP KRAJE'!$B$7:$E$29,2,FALSE),"--")</f>
        <v/>
      </c>
      <c r="G15" s="468">
        <f>IFERROR(VLOOKUP(B15,'EXP-IMP KRAJE'!$G$7:$J$29,2,FALSE),"--")</f>
        <v/>
      </c>
      <c r="H15" s="460">
        <f>IFERROR((G15-F15)/F15*100,"--")</f>
        <v/>
      </c>
      <c r="I15" s="469">
        <f>G15/$G$10*100</f>
        <v/>
      </c>
      <c r="J15" s="466">
        <f>IFERROR(VLOOKUP(B15,'EXP-IMP KRAJE LATA'!$B$10:$E$29,4,FALSE),"--")</f>
        <v/>
      </c>
      <c r="K15" s="211">
        <f>IFERROR(VLOOKUP(B15,'EXP-IMP KRAJE LATA'!$G$10:$J$29,4,FALSE),"--")</f>
        <v/>
      </c>
      <c r="L15" s="467">
        <f>IFERROR((K15-J15)/J15*100,"--")</f>
        <v/>
      </c>
      <c r="M15" s="466">
        <f>IFERROR(VLOOKUP(B15,'EXP-IMP KRAJE'!$B$7:$E$29,4,FALSE),"--")</f>
        <v/>
      </c>
      <c r="N15" s="211">
        <f>IFERROR(VLOOKUP(B15,'EXP-IMP KRAJE'!$G$7:$J$29,4,FALSE),"--")</f>
        <v/>
      </c>
      <c r="O15" s="460">
        <f>IFERROR((N15-M15)/M15*100,"--")</f>
        <v/>
      </c>
      <c r="P15" s="470">
        <f>N15/$N$10*100</f>
        <v/>
      </c>
      <c r="T15" s="446" t="n"/>
      <c r="U15" s="446" t="n"/>
      <c r="V15" s="446" t="n"/>
      <c r="W15" s="446" t="n"/>
      <c r="X15" s="446" t="n"/>
      <c r="Y15" s="446" t="n"/>
      <c r="Z15" s="446" t="n"/>
      <c r="AA15" s="446" t="n"/>
      <c r="AB15" s="446" t="n"/>
      <c r="AC15" s="446" t="n"/>
      <c r="AD15" s="446" t="n"/>
    </row>
    <row r="16" ht="20.15" customHeight="1" s="524">
      <c r="B16" s="209">
        <f>'EXP-IMP KRAJE'!G16</f>
        <v/>
      </c>
      <c r="C16" s="466">
        <f>IFERROR(VLOOKUP(B16,'EXP-IMP KRAJE LATA'!$B$10:$E$29,2,FALSE),"--")</f>
        <v/>
      </c>
      <c r="D16" s="211">
        <f>IFERROR(VLOOKUP(B16,'EXP-IMP KRAJE LATA'!$G$10:$J$29,2,FALSE),"--")</f>
        <v/>
      </c>
      <c r="E16" s="467">
        <f>IFERROR((D16-C16)/C16*100,"--")</f>
        <v/>
      </c>
      <c r="F16" s="466">
        <f>IFERROR(VLOOKUP(B16,'EXP-IMP KRAJE'!$B$7:$E$29,2,FALSE),"--")</f>
        <v/>
      </c>
      <c r="G16" s="468">
        <f>IFERROR(VLOOKUP(B16,'EXP-IMP KRAJE'!$G$7:$J$29,2,FALSE),"--")</f>
        <v/>
      </c>
      <c r="H16" s="460">
        <f>IFERROR((G16-F16)/F16*100,"--")</f>
        <v/>
      </c>
      <c r="I16" s="469">
        <f>G16/$G$10*100</f>
        <v/>
      </c>
      <c r="J16" s="466">
        <f>IFERROR(VLOOKUP(B16,'EXP-IMP KRAJE LATA'!$B$10:$E$29,4,FALSE),"--")</f>
        <v/>
      </c>
      <c r="K16" s="211">
        <f>IFERROR(VLOOKUP(B16,'EXP-IMP KRAJE LATA'!$G$10:$J$29,4,FALSE),"--")</f>
        <v/>
      </c>
      <c r="L16" s="467">
        <f>IFERROR((K16-J16)/J16*100,"--")</f>
        <v/>
      </c>
      <c r="M16" s="466">
        <f>IFERROR(VLOOKUP(B16,'EXP-IMP KRAJE'!$B$7:$E$29,4,FALSE),"--")</f>
        <v/>
      </c>
      <c r="N16" s="211">
        <f>IFERROR(VLOOKUP(B16,'EXP-IMP KRAJE'!$G$7:$J$29,4,FALSE),"--")</f>
        <v/>
      </c>
      <c r="O16" s="460">
        <f>IFERROR((N16-M16)/M16*100,"--")</f>
        <v/>
      </c>
      <c r="P16" s="470">
        <f>N16/$N$10*100</f>
        <v/>
      </c>
      <c r="T16" s="446" t="n"/>
      <c r="U16" s="446" t="n"/>
      <c r="V16" s="446" t="n"/>
      <c r="W16" s="446" t="n"/>
      <c r="X16" s="446" t="n"/>
      <c r="Y16" s="446" t="n"/>
      <c r="Z16" s="446" t="n"/>
      <c r="AA16" s="446" t="n"/>
      <c r="AB16" s="446" t="n"/>
      <c r="AC16" s="446" t="n"/>
      <c r="AD16" s="446" t="n"/>
    </row>
    <row r="17" ht="20.15" customHeight="1" s="524">
      <c r="B17" s="209">
        <f>'EXP-IMP KRAJE'!G17</f>
        <v/>
      </c>
      <c r="C17" s="466">
        <f>IFERROR(VLOOKUP(B17,'EXP-IMP KRAJE LATA'!$B$10:$E$29,2,FALSE),"--")</f>
        <v/>
      </c>
      <c r="D17" s="211">
        <f>IFERROR(VLOOKUP(B17,'EXP-IMP KRAJE LATA'!$G$10:$J$29,2,FALSE),"--")</f>
        <v/>
      </c>
      <c r="E17" s="467">
        <f>IFERROR((D17-C17)/C17*100,"--")</f>
        <v/>
      </c>
      <c r="F17" s="466">
        <f>IFERROR(VLOOKUP(B17,'EXP-IMP KRAJE'!$B$7:$E$29,2,FALSE),"--")</f>
        <v/>
      </c>
      <c r="G17" s="468">
        <f>IFERROR(VLOOKUP(B17,'EXP-IMP KRAJE'!$G$7:$J$29,2,FALSE),"--")</f>
        <v/>
      </c>
      <c r="H17" s="460">
        <f>IFERROR((G17-F17)/F17*100,"--")</f>
        <v/>
      </c>
      <c r="I17" s="469">
        <f>G17/$G$10*100</f>
        <v/>
      </c>
      <c r="J17" s="466">
        <f>IFERROR(VLOOKUP(B17,'EXP-IMP KRAJE LATA'!$B$10:$E$29,4,FALSE),"--")</f>
        <v/>
      </c>
      <c r="K17" s="211">
        <f>IFERROR(VLOOKUP(B17,'EXP-IMP KRAJE LATA'!$G$10:$J$29,4,FALSE),"--")</f>
        <v/>
      </c>
      <c r="L17" s="467">
        <f>IFERROR((K17-J17)/J17*100,"--")</f>
        <v/>
      </c>
      <c r="M17" s="466">
        <f>IFERROR(VLOOKUP(B17,'EXP-IMP KRAJE'!$B$7:$E$29,4,FALSE),"--")</f>
        <v/>
      </c>
      <c r="N17" s="211">
        <f>IFERROR(VLOOKUP(B17,'EXP-IMP KRAJE'!$G$7:$J$29,4,FALSE),"--")</f>
        <v/>
      </c>
      <c r="O17" s="460">
        <f>IFERROR((N17-M17)/M17*100,"--")</f>
        <v/>
      </c>
      <c r="P17" s="470">
        <f>N17/$N$10*100</f>
        <v/>
      </c>
      <c r="T17" s="474" t="n"/>
      <c r="U17" s="475" t="n"/>
      <c r="V17" s="472" t="n"/>
      <c r="W17" s="472" t="n"/>
      <c r="X17" s="473" t="n"/>
      <c r="Y17" s="474" t="n"/>
      <c r="Z17" s="472" t="n"/>
      <c r="AA17" s="472" t="n"/>
      <c r="AB17" s="472" t="n"/>
      <c r="AC17" s="473" t="n"/>
      <c r="AD17" s="446" t="n"/>
    </row>
    <row r="18" ht="20.15" customHeight="1" s="524">
      <c r="B18" s="209">
        <f>'EXP-IMP KRAJE'!G18</f>
        <v/>
      </c>
      <c r="C18" s="466">
        <f>IFERROR(VLOOKUP(B18,'EXP-IMP KRAJE LATA'!$B$10:$E$29,2,FALSE),"--")</f>
        <v/>
      </c>
      <c r="D18" s="211">
        <f>IFERROR(VLOOKUP(B18,'EXP-IMP KRAJE LATA'!$G$10:$J$29,2,FALSE),"--")</f>
        <v/>
      </c>
      <c r="E18" s="467">
        <f>IFERROR((D18-C18)/C18*100,"--")</f>
        <v/>
      </c>
      <c r="F18" s="466">
        <f>IFERROR(VLOOKUP(B18,'EXP-IMP KRAJE'!$B$7:$E$29,2,FALSE),"--")</f>
        <v/>
      </c>
      <c r="G18" s="468">
        <f>IFERROR(VLOOKUP(B18,'EXP-IMP KRAJE'!$G$7:$J$29,2,FALSE),"--")</f>
        <v/>
      </c>
      <c r="H18" s="460">
        <f>IFERROR((G18-F18)/F18*100,"--")</f>
        <v/>
      </c>
      <c r="I18" s="469">
        <f>G18/$G$10*100</f>
        <v/>
      </c>
      <c r="J18" s="466">
        <f>IFERROR(VLOOKUP(B18,'EXP-IMP KRAJE LATA'!$B$10:$E$29,4,FALSE),"--")</f>
        <v/>
      </c>
      <c r="K18" s="211">
        <f>IFERROR(VLOOKUP(B18,'EXP-IMP KRAJE LATA'!$G$10:$J$29,4,FALSE),"--")</f>
        <v/>
      </c>
      <c r="L18" s="467">
        <f>IFERROR((K18-J18)/J18*100,"--")</f>
        <v/>
      </c>
      <c r="M18" s="466">
        <f>IFERROR(VLOOKUP(B18,'EXP-IMP KRAJE'!$B$7:$E$29,4,FALSE),"--")</f>
        <v/>
      </c>
      <c r="N18" s="211">
        <f>IFERROR(VLOOKUP(B18,'EXP-IMP KRAJE'!$G$7:$J$29,4,FALSE),"--")</f>
        <v/>
      </c>
      <c r="O18" s="460">
        <f>IFERROR((N18-M18)/M18*100,"--")</f>
        <v/>
      </c>
      <c r="P18" s="470">
        <f>N18/$N$10*100</f>
        <v/>
      </c>
      <c r="T18" s="446" t="n"/>
      <c r="U18" s="446" t="n"/>
      <c r="V18" s="446" t="n"/>
      <c r="W18" s="446" t="n"/>
      <c r="X18" s="446" t="n"/>
      <c r="Y18" s="446" t="n"/>
      <c r="Z18" s="446" t="n"/>
      <c r="AA18" s="446" t="n"/>
      <c r="AB18" s="446" t="n"/>
      <c r="AC18" s="446" t="n"/>
      <c r="AD18" s="446" t="n"/>
    </row>
    <row r="19" ht="20.15" customHeight="1" s="524">
      <c r="B19" s="209">
        <f>'EXP-IMP KRAJE'!G19</f>
        <v/>
      </c>
      <c r="C19" s="466">
        <f>IFERROR(VLOOKUP(B19,'EXP-IMP KRAJE LATA'!$B$10:$E$29,2,FALSE),"--")</f>
        <v/>
      </c>
      <c r="D19" s="211">
        <f>IFERROR(VLOOKUP(B19,'EXP-IMP KRAJE LATA'!$G$10:$J$29,2,FALSE),"--")</f>
        <v/>
      </c>
      <c r="E19" s="467">
        <f>IFERROR((D19-C19)/C19*100,"--")</f>
        <v/>
      </c>
      <c r="F19" s="466">
        <f>IFERROR(VLOOKUP(B19,'EXP-IMP KRAJE'!$B$7:$E$29,2,FALSE),"--")</f>
        <v/>
      </c>
      <c r="G19" s="468">
        <f>IFERROR(VLOOKUP(B19,'EXP-IMP KRAJE'!$G$7:$J$29,2,FALSE),"--")</f>
        <v/>
      </c>
      <c r="H19" s="460">
        <f>IFERROR((G19-F19)/F19*100,"--")</f>
        <v/>
      </c>
      <c r="I19" s="469">
        <f>G19/$G$10*100</f>
        <v/>
      </c>
      <c r="J19" s="466">
        <f>IFERROR(VLOOKUP(B19,'EXP-IMP KRAJE LATA'!$B$10:$E$29,4,FALSE),"--")</f>
        <v/>
      </c>
      <c r="K19" s="211">
        <f>IFERROR(VLOOKUP(B19,'EXP-IMP KRAJE LATA'!$G$10:$J$29,4,FALSE),"--")</f>
        <v/>
      </c>
      <c r="L19" s="467">
        <f>IFERROR((K19-J19)/J19*100,"--")</f>
        <v/>
      </c>
      <c r="M19" s="466">
        <f>IFERROR(VLOOKUP(B19,'EXP-IMP KRAJE'!$B$7:$E$29,4,FALSE),"--")</f>
        <v/>
      </c>
      <c r="N19" s="211">
        <f>IFERROR(VLOOKUP(B19,'EXP-IMP KRAJE'!$G$7:$J$29,4,FALSE),"--")</f>
        <v/>
      </c>
      <c r="O19" s="460">
        <f>IFERROR((N19-M19)/M19*100,"--")</f>
        <v/>
      </c>
      <c r="P19" s="470">
        <f>N19/$N$10*100</f>
        <v/>
      </c>
      <c r="T19" s="446" t="n"/>
      <c r="U19" s="446" t="n"/>
      <c r="V19" s="446" t="n"/>
      <c r="W19" s="446" t="n"/>
      <c r="X19" s="446" t="n"/>
      <c r="Y19" s="446" t="n"/>
      <c r="Z19" s="446" t="n"/>
      <c r="AA19" s="446" t="n"/>
      <c r="AB19" s="446" t="n"/>
      <c r="AC19" s="446" t="n"/>
      <c r="AD19" s="446" t="n"/>
    </row>
    <row r="20" ht="20.15" customHeight="1" s="524">
      <c r="B20" s="209">
        <f>'EXP-IMP KRAJE'!G20</f>
        <v/>
      </c>
      <c r="C20" s="466">
        <f>IFERROR(VLOOKUP(B20,'EXP-IMP KRAJE LATA'!$B$10:$E$29,2,FALSE),"--")</f>
        <v/>
      </c>
      <c r="D20" s="211">
        <f>IFERROR(VLOOKUP(B20,'EXP-IMP KRAJE LATA'!$G$10:$J$29,2,FALSE),"--")</f>
        <v/>
      </c>
      <c r="E20" s="467">
        <f>IFERROR((D20-C20)/C20*100,"--")</f>
        <v/>
      </c>
      <c r="F20" s="476">
        <f>IFERROR(VLOOKUP(B20,'EXP-IMP KRAJE'!$B$7:$E$29,2,FALSE),"--")</f>
        <v/>
      </c>
      <c r="G20" s="468">
        <f>IFERROR(VLOOKUP(B20,'EXP-IMP KRAJE'!$G$7:$J$29,2,FALSE),"--")</f>
        <v/>
      </c>
      <c r="H20" s="477">
        <f>IFERROR((G20-F20)/F20*100,"--")</f>
        <v/>
      </c>
      <c r="I20" s="469">
        <f>G20/$G$10*100</f>
        <v/>
      </c>
      <c r="J20" s="466">
        <f>IFERROR(VLOOKUP(B20,'EXP-IMP KRAJE LATA'!$B$10:$E$29,4,FALSE),"--")</f>
        <v/>
      </c>
      <c r="K20" s="211">
        <f>IFERROR(VLOOKUP(B20,'EXP-IMP KRAJE LATA'!$G$10:$J$29,4,FALSE),"--")</f>
        <v/>
      </c>
      <c r="L20" s="467">
        <f>IFERROR((K20-J20)/J20*100,"--")</f>
        <v/>
      </c>
      <c r="M20" s="476">
        <f>IFERROR(VLOOKUP(B20,'EXP-IMP KRAJE'!$B$7:$E$29,4,FALSE),"--")</f>
        <v/>
      </c>
      <c r="N20" s="211">
        <f>IFERROR(VLOOKUP(B20,'EXP-IMP KRAJE'!$G$7:$J$29,4,FALSE),"--")</f>
        <v/>
      </c>
      <c r="O20" s="460">
        <f>IFERROR((N20-M20)/M20*100,"--")</f>
        <v/>
      </c>
      <c r="P20" s="470">
        <f>N20/$N$10*100</f>
        <v/>
      </c>
      <c r="T20" s="446" t="n"/>
      <c r="U20" s="446" t="n"/>
      <c r="V20" s="446" t="n"/>
      <c r="W20" s="446" t="n"/>
      <c r="X20" s="446" t="n"/>
      <c r="Y20" s="446" t="n"/>
      <c r="Z20" s="446" t="n"/>
      <c r="AA20" s="446" t="n"/>
      <c r="AB20" s="446" t="n"/>
      <c r="AC20" s="446" t="n"/>
      <c r="AD20" s="446" t="n"/>
    </row>
    <row r="21" ht="20.15" customHeight="1" s="524">
      <c r="B21" s="209">
        <f>'EXP-IMP KRAJE'!G21</f>
        <v/>
      </c>
      <c r="C21" s="466">
        <f>IFERROR(VLOOKUP(B21,'EXP-IMP KRAJE LATA'!$B$10:$E$29,2,FALSE),"--")</f>
        <v/>
      </c>
      <c r="D21" s="211">
        <f>IFERROR(VLOOKUP(B21,'EXP-IMP KRAJE LATA'!$G$10:$J$29,2,FALSE),"--")</f>
        <v/>
      </c>
      <c r="E21" s="467">
        <f>IFERROR((D21-C21)/C21*100,"--")</f>
        <v/>
      </c>
      <c r="F21" s="466">
        <f>IFERROR(VLOOKUP(B21,'EXP-IMP KRAJE'!$B$7:$E$29,2,FALSE),"--")</f>
        <v/>
      </c>
      <c r="G21" s="468">
        <f>IFERROR(VLOOKUP(B21,'EXP-IMP KRAJE'!$G$7:$J$29,2,FALSE),"--")</f>
        <v/>
      </c>
      <c r="H21" s="460">
        <f>IFERROR((G21-F21)/F21*100,"--")</f>
        <v/>
      </c>
      <c r="I21" s="469">
        <f>G21/$G$10*100</f>
        <v/>
      </c>
      <c r="J21" s="466">
        <f>IFERROR(VLOOKUP(B21,'EXP-IMP KRAJE LATA'!$B$10:$E$29,4,FALSE),"--")</f>
        <v/>
      </c>
      <c r="K21" s="211">
        <f>IFERROR(VLOOKUP(B21,'EXP-IMP KRAJE LATA'!$G$10:$J$29,4,FALSE),"--")</f>
        <v/>
      </c>
      <c r="L21" s="467">
        <f>IFERROR((K21-J21)/J21*100,"--")</f>
        <v/>
      </c>
      <c r="M21" s="466">
        <f>IFERROR(VLOOKUP(B21,'EXP-IMP KRAJE'!$B$7:$E$29,4,FALSE),"--")</f>
        <v/>
      </c>
      <c r="N21" s="211">
        <f>IFERROR(VLOOKUP(B21,'EXP-IMP KRAJE'!$G$7:$J$29,4,FALSE),"--")</f>
        <v/>
      </c>
      <c r="O21" s="460">
        <f>IFERROR((N21-M21)/M21*100,"--")</f>
        <v/>
      </c>
      <c r="P21" s="470">
        <f>N21/$N$10*100</f>
        <v/>
      </c>
      <c r="T21" s="446" t="n"/>
      <c r="U21" s="446" t="n"/>
      <c r="V21" s="446" t="n"/>
      <c r="W21" s="446" t="n"/>
      <c r="X21" s="446" t="n"/>
      <c r="Y21" s="446" t="n"/>
      <c r="Z21" s="446" t="n"/>
      <c r="AA21" s="446" t="n"/>
      <c r="AB21" s="446" t="n"/>
      <c r="AC21" s="446" t="n"/>
      <c r="AD21" s="446" t="n"/>
    </row>
    <row r="22" ht="20.15" customHeight="1" s="524">
      <c r="B22" s="209">
        <f>'EXP-IMP KRAJE'!G22</f>
        <v/>
      </c>
      <c r="C22" s="466">
        <f>IFERROR(VLOOKUP(B22,'EXP-IMP KRAJE LATA'!$B$10:$E$29,2,FALSE),"--")</f>
        <v/>
      </c>
      <c r="D22" s="478">
        <f>IFERROR(VLOOKUP(B22,'EXP-IMP KRAJE LATA'!$G$10:$J$29,2,FALSE),"--")</f>
        <v/>
      </c>
      <c r="E22" s="467">
        <f>IFERROR((D22-C22)/C22*100,"--")</f>
        <v/>
      </c>
      <c r="F22" s="466">
        <f>IFERROR(VLOOKUP(B22,'EXP-IMP KRAJE'!$B$7:$E$29,2,FALSE),"--")</f>
        <v/>
      </c>
      <c r="G22" s="468">
        <f>IFERROR(VLOOKUP(B22,'EXP-IMP KRAJE'!$G$7:$J$29,2,FALSE),"--")</f>
        <v/>
      </c>
      <c r="H22" s="460">
        <f>IFERROR((G22-F22)/F22*100,"--")</f>
        <v/>
      </c>
      <c r="I22" s="469">
        <f>G22/$G$10*100</f>
        <v/>
      </c>
      <c r="J22" s="466">
        <f>IFERROR(VLOOKUP(B22,'EXP-IMP KRAJE LATA'!$B$10:$E$29,4,FALSE),"--")</f>
        <v/>
      </c>
      <c r="K22" s="478">
        <f>IFERROR(VLOOKUP(B22,'EXP-IMP KRAJE LATA'!$G$10:$J$29,4,FALSE),"--")</f>
        <v/>
      </c>
      <c r="L22" s="467">
        <f>IFERROR((K22-J22)/J22*100,"--")</f>
        <v/>
      </c>
      <c r="M22" s="466">
        <f>IFERROR(VLOOKUP(B22,'EXP-IMP KRAJE'!$B$7:$E$29,4,FALSE),"--")</f>
        <v/>
      </c>
      <c r="N22" s="211">
        <f>IFERROR(VLOOKUP(B22,'EXP-IMP KRAJE'!$G$7:$J$29,4,FALSE),"--")</f>
        <v/>
      </c>
      <c r="O22" s="460">
        <f>IFERROR((N22-M22)/M22*100,"--")</f>
        <v/>
      </c>
      <c r="P22" s="470">
        <f>N22/$N$10*100</f>
        <v/>
      </c>
      <c r="T22" s="446" t="n"/>
      <c r="U22" s="446" t="n"/>
      <c r="V22" s="446" t="n"/>
      <c r="W22" s="446" t="n"/>
      <c r="X22" s="446" t="n"/>
      <c r="Y22" s="446" t="n"/>
      <c r="Z22" s="446" t="n"/>
      <c r="AA22" s="446" t="n"/>
      <c r="AB22" s="446" t="n"/>
      <c r="AC22" s="446" t="n"/>
      <c r="AD22" s="446" t="n"/>
    </row>
    <row r="23" ht="20.15" customHeight="1" s="524">
      <c r="B23" s="209">
        <f>'EXP-IMP KRAJE'!G23</f>
        <v/>
      </c>
      <c r="C23" s="466">
        <f>IFERROR(VLOOKUP(B23,'EXP-IMP KRAJE LATA'!$B$10:$E$29,2,FALSE),"--")</f>
        <v/>
      </c>
      <c r="D23" s="211">
        <f>IFERROR(VLOOKUP(B23,'EXP-IMP KRAJE LATA'!$G$10:$J$29,2,FALSE),"--")</f>
        <v/>
      </c>
      <c r="E23" s="467">
        <f>IFERROR((D23-C23)/C23*100,"--")</f>
        <v/>
      </c>
      <c r="F23" s="466">
        <f>IFERROR(VLOOKUP(B23,'EXP-IMP KRAJE'!$B$7:$E$29,2,FALSE),"--")</f>
        <v/>
      </c>
      <c r="G23" s="468">
        <f>IFERROR(VLOOKUP(B23,'EXP-IMP KRAJE'!$G$7:$J$29,2,FALSE),"--")</f>
        <v/>
      </c>
      <c r="H23" s="460">
        <f>IFERROR((G23-F23)/F23*100,"--")</f>
        <v/>
      </c>
      <c r="I23" s="469">
        <f>G23/$G$10*100</f>
        <v/>
      </c>
      <c r="J23" s="466">
        <f>IFERROR(VLOOKUP(B23,'EXP-IMP KRAJE LATA'!$B$10:$E$29,4,FALSE),"--")</f>
        <v/>
      </c>
      <c r="K23" s="211">
        <f>IFERROR(VLOOKUP(B23,'EXP-IMP KRAJE LATA'!$G$10:$J$29,4,FALSE),"--")</f>
        <v/>
      </c>
      <c r="L23" s="467">
        <f>IFERROR((K23-J23)/J23*100,"--")</f>
        <v/>
      </c>
      <c r="M23" s="466">
        <f>IFERROR(VLOOKUP(B23,'EXP-IMP KRAJE'!$B$7:$E$29,4,FALSE),"--")</f>
        <v/>
      </c>
      <c r="N23" s="211">
        <f>IFERROR(VLOOKUP(B23,'EXP-IMP KRAJE'!$G$7:$J$29,4,FALSE),"--")</f>
        <v/>
      </c>
      <c r="O23" s="460">
        <f>IFERROR((N23-M23)/M23*100,"--")</f>
        <v/>
      </c>
      <c r="P23" s="470">
        <f>N23/$N$10*100</f>
        <v/>
      </c>
      <c r="T23" s="446" t="n"/>
      <c r="U23" s="446" t="n"/>
      <c r="V23" s="446" t="n"/>
      <c r="W23" s="446" t="n"/>
      <c r="X23" s="446" t="n"/>
      <c r="Y23" s="446" t="n"/>
      <c r="Z23" s="446" t="n"/>
      <c r="AA23" s="446" t="n"/>
      <c r="AB23" s="446" t="n"/>
      <c r="AC23" s="446" t="n"/>
      <c r="AD23" s="446" t="n"/>
    </row>
    <row r="24" ht="20.15" customHeight="1" s="524">
      <c r="B24" s="209">
        <f>'EXP-IMP KRAJE'!G24</f>
        <v/>
      </c>
      <c r="C24" s="466">
        <f>IFERROR(VLOOKUP(B24,'EXP-IMP KRAJE LATA'!$B$10:$E$29,2,FALSE),"--")</f>
        <v/>
      </c>
      <c r="D24" s="211">
        <f>IFERROR(VLOOKUP(B24,'EXP-IMP KRAJE LATA'!$G$10:$J$29,2,FALSE),"--")</f>
        <v/>
      </c>
      <c r="E24" s="467">
        <f>IFERROR((D24-C24)/C24*100,"--")</f>
        <v/>
      </c>
      <c r="F24" s="466">
        <f>IFERROR(VLOOKUP(B24,'EXP-IMP KRAJE'!$B$7:$E$29,2,FALSE),"--")</f>
        <v/>
      </c>
      <c r="G24" s="468">
        <f>IFERROR(VLOOKUP(B24,'EXP-IMP KRAJE'!$G$7:$J$29,2,FALSE),"--")</f>
        <v/>
      </c>
      <c r="H24" s="460">
        <f>IFERROR((G24-F24)/F24*100,"--")</f>
        <v/>
      </c>
      <c r="I24" s="469">
        <f>G24/$G$10*100</f>
        <v/>
      </c>
      <c r="J24" s="466">
        <f>IFERROR(VLOOKUP(B24,'EXP-IMP KRAJE LATA'!$B$10:$E$29,4,FALSE),"--")</f>
        <v/>
      </c>
      <c r="K24" s="211">
        <f>IFERROR(VLOOKUP(B24,'EXP-IMP KRAJE LATA'!$G$10:$J$29,4,FALSE),"--")</f>
        <v/>
      </c>
      <c r="L24" s="467">
        <f>IFERROR((K24-J24)/J24*100,"--")</f>
        <v/>
      </c>
      <c r="M24" s="466">
        <f>IFERROR(VLOOKUP(B24,'EXP-IMP KRAJE'!$B$7:$E$29,4,FALSE),"--")</f>
        <v/>
      </c>
      <c r="N24" s="211">
        <f>IFERROR(VLOOKUP(B24,'EXP-IMP KRAJE'!$G$7:$J$29,4,FALSE),"--")</f>
        <v/>
      </c>
      <c r="O24" s="460">
        <f>IFERROR((N24-M24)/M24*100,"--")</f>
        <v/>
      </c>
      <c r="P24" s="470">
        <f>N24/$N$10*100</f>
        <v/>
      </c>
      <c r="T24" s="446" t="n"/>
      <c r="U24" s="446" t="n"/>
      <c r="V24" s="446" t="n"/>
      <c r="W24" s="446" t="n"/>
      <c r="X24" s="446" t="n"/>
      <c r="Y24" s="446" t="n"/>
      <c r="Z24" s="446" t="n"/>
      <c r="AA24" s="446" t="n"/>
      <c r="AB24" s="446" t="n"/>
      <c r="AC24" s="446" t="n"/>
      <c r="AD24" s="446" t="n"/>
    </row>
    <row r="25" ht="20.15" customHeight="1" s="524">
      <c r="B25" s="479">
        <f>'EXP-IMP KRAJE'!G25</f>
        <v/>
      </c>
      <c r="C25" s="480">
        <f>IFERROR(VLOOKUP(B25,'EXP-IMP KRAJE LATA'!$B$10:$E$29,2,FALSE),"--")</f>
        <v/>
      </c>
      <c r="D25" s="481">
        <f>IFERROR(VLOOKUP(B25,'EXP-IMP KRAJE LATA'!$G$10:$J$29,2,FALSE),"--")</f>
        <v/>
      </c>
      <c r="E25" s="482">
        <f>IFERROR((D25-C25)/C25*100,"--")</f>
        <v/>
      </c>
      <c r="F25" s="480">
        <f>IFERROR(VLOOKUP(B25,'EXP-IMP KRAJE'!$B$7:$E$29,2,FALSE),"--")</f>
        <v/>
      </c>
      <c r="G25" s="483">
        <f>IFERROR(VLOOKUP(B25,'EXP-IMP KRAJE'!$G$7:$J$29,2,FALSE),"--")</f>
        <v/>
      </c>
      <c r="H25" s="484">
        <f>IFERROR((G25-F25)/F25*100,"--")</f>
        <v/>
      </c>
      <c r="I25" s="485">
        <f>G25/$G$10*100</f>
        <v/>
      </c>
      <c r="J25" s="480">
        <f>IFERROR(VLOOKUP(B25,'EXP-IMP KRAJE LATA'!$B$10:$E$29,4,FALSE),"--")</f>
        <v/>
      </c>
      <c r="K25" s="481">
        <f>IFERROR(VLOOKUP(B25,'EXP-IMP KRAJE LATA'!$G$10:$J$29,4,FALSE),"--")</f>
        <v/>
      </c>
      <c r="L25" s="482">
        <f>IFERROR((K25-J25)/J25*100,"--")</f>
        <v/>
      </c>
      <c r="M25" s="480">
        <f>IFERROR(VLOOKUP(B25,'EXP-IMP KRAJE'!$B$7:$E$29,4,FALSE),"--")</f>
        <v/>
      </c>
      <c r="N25" s="215">
        <f>IFERROR(VLOOKUP(B25,'EXP-IMP KRAJE'!$G$7:$J$29,4,FALSE),"--")</f>
        <v/>
      </c>
      <c r="O25" s="484">
        <f>IFERROR((N25-M25)/M25*100,"--")</f>
        <v/>
      </c>
      <c r="P25" s="486">
        <f>N25/$N$10*100</f>
        <v/>
      </c>
      <c r="T25" s="446" t="n"/>
      <c r="U25" s="446" t="n"/>
      <c r="V25" s="446" t="n"/>
      <c r="W25" s="446" t="n"/>
      <c r="X25" s="446" t="n"/>
      <c r="Y25" s="446" t="n"/>
      <c r="Z25" s="446" t="n"/>
      <c r="AA25" s="446" t="n"/>
      <c r="AB25" s="446" t="n"/>
      <c r="AC25" s="446" t="n"/>
      <c r="AD25" s="446" t="n"/>
    </row>
    <row r="26" ht="20.15" customHeight="1" s="524">
      <c r="B26" s="487" t="n"/>
      <c r="C26" s="488" t="n"/>
      <c r="D26" s="489" t="n"/>
      <c r="E26" s="489" t="n"/>
      <c r="F26" s="488" t="n"/>
      <c r="G26" s="489" t="n"/>
      <c r="H26" s="489" t="n"/>
      <c r="I26" s="489" t="n"/>
      <c r="J26" s="489" t="n"/>
      <c r="K26" s="489" t="n"/>
      <c r="L26" s="489" t="n"/>
      <c r="T26" s="490" t="n"/>
      <c r="U26" s="489" t="n"/>
      <c r="V26" s="489" t="n"/>
      <c r="W26" s="489" t="n"/>
      <c r="X26" s="489" t="n"/>
      <c r="Y26" s="489" t="n"/>
      <c r="Z26" s="489" t="n"/>
      <c r="AA26" s="489" t="n"/>
      <c r="AB26" s="489" t="n"/>
      <c r="AC26" s="489" t="n"/>
      <c r="AD26" s="491" t="n"/>
    </row>
    <row r="27">
      <c r="S27" s="29" t="n"/>
      <c r="T27" s="29" t="n"/>
      <c r="U27" s="29" t="n"/>
      <c r="V27" s="29" t="n"/>
      <c r="W27" s="29" t="n"/>
    </row>
    <row r="28">
      <c r="S28" s="29" t="n"/>
      <c r="T28" s="29" t="n"/>
      <c r="U28" s="29" t="n"/>
      <c r="V28" s="29" t="n"/>
    </row>
    <row r="32">
      <c r="A32" s="417" t="n"/>
    </row>
  </sheetData>
  <mergeCells count="1">
    <mergeCell ref="A7:P7"/>
  </mergeCells>
  <conditionalFormatting sqref="E10:E25">
    <cfRule type="cellIs" priority="10" operator="equal" dxfId="2">
      <formula>"-"</formula>
    </cfRule>
    <cfRule type="cellIs" priority="11" operator="lessThan" dxfId="1">
      <formula>0</formula>
    </cfRule>
    <cfRule type="cellIs" priority="12" operator="greaterThan" dxfId="0">
      <formula>0</formula>
    </cfRule>
  </conditionalFormatting>
  <conditionalFormatting sqref="H10:H25">
    <cfRule type="cellIs" priority="7" operator="equal" dxfId="2">
      <formula>"-"</formula>
    </cfRule>
    <cfRule type="cellIs" priority="8" operator="lessThan" dxfId="1">
      <formula>0</formula>
    </cfRule>
    <cfRule type="cellIs" priority="9" operator="greaterThan" dxfId="0">
      <formula>0</formula>
    </cfRule>
  </conditionalFormatting>
  <conditionalFormatting sqref="L10:L25">
    <cfRule type="cellIs" priority="4" operator="equal" dxfId="2">
      <formula>"-"</formula>
    </cfRule>
    <cfRule type="cellIs" priority="5" operator="lessThan" dxfId="1">
      <formula>0</formula>
    </cfRule>
    <cfRule type="cellIs" priority="6" operator="greaterThan" dxfId="0">
      <formula>0</formula>
    </cfRule>
  </conditionalFormatting>
  <conditionalFormatting sqref="O10:O25">
    <cfRule type="cellIs" priority="1" operator="equal" dxfId="2">
      <formula>"-"</formula>
    </cfRule>
    <cfRule type="cellIs" priority="2" operator="lessThan" dxfId="1">
      <formula>0</formula>
    </cfRule>
    <cfRule type="cellIs" priority="3" operator="greaterThan" dxfId="0">
      <formula>0</formula>
    </cfRule>
  </conditionalFormatting>
  <pageMargins left="0" right="0" top="0.3543307086614174" bottom="0.3543307086614174" header="0.2362204724409449" footer="0.1181102362204725"/>
  <pageSetup orientation="landscape" paperSize="9" scale="54"/>
  <headerFooter alignWithMargins="0">
    <oddHeader/>
    <oddFooter>&amp;L&amp;"Times New Roman CE,Pogrubiona kursywa"&amp;12 Źródło: Dane MF, CIHZ&amp;R&amp;"Times New Roman CE,Pogrubiona kursywa"&amp;12 Przygotowała: Agnieszka Szarejko-Pater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 codeName="Arkusz14">
    <outlinePr summaryBelow="1" summaryRight="1"/>
    <pageSetUpPr/>
  </sheetPr>
  <dimension ref="A1:P34"/>
  <sheetViews>
    <sheetView workbookViewId="0">
      <selection activeCell="A8" sqref="A8"/>
    </sheetView>
  </sheetViews>
  <sheetFormatPr baseColWidth="8" defaultColWidth="18" defaultRowHeight="18"/>
  <cols>
    <col width="10.7265625" customWidth="1" style="2" min="1" max="1"/>
    <col width="30.7265625" customWidth="1" style="2" min="2" max="4"/>
    <col width="30.7265625" customWidth="1" style="3" min="5" max="5"/>
    <col width="18" customWidth="1" style="2" min="6" max="16384"/>
  </cols>
  <sheetData>
    <row r="1" ht="25" customFormat="1" customHeight="1" s="29">
      <c r="B1" s="53" t="n"/>
      <c r="D1" s="30" t="n"/>
      <c r="H1" s="31" t="n"/>
      <c r="I1" s="32" t="n"/>
    </row>
    <row r="2" ht="25" customHeight="1" s="524">
      <c r="A2" s="33" t="n"/>
      <c r="B2" s="34" t="inlineStr">
        <is>
          <t>DICTIONARY</t>
        </is>
      </c>
      <c r="C2" s="35" t="n"/>
      <c r="D2" s="35" t="n"/>
      <c r="E2" s="35" t="n"/>
      <c r="F2" s="35" t="n"/>
      <c r="G2" s="35" t="n"/>
      <c r="H2" s="36" t="n"/>
      <c r="I2" s="36" t="n"/>
      <c r="J2" s="36" t="n"/>
      <c r="K2" s="29" t="n"/>
      <c r="L2" s="36" t="n"/>
    </row>
    <row r="3" ht="25" customHeight="1" s="524" thickBot="1">
      <c r="B3" s="37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P3" s="29" t="n"/>
    </row>
    <row r="4" ht="25" customHeight="1" s="524" thickTop="1">
      <c r="B4" s="46" t="n"/>
      <c r="C4" s="47" t="n"/>
      <c r="D4" s="48" t="n"/>
      <c r="E4" s="92" t="n"/>
      <c r="F4" s="50" t="n"/>
      <c r="G4" s="93" t="n"/>
      <c r="H4" s="50" t="n"/>
      <c r="I4" s="51" t="n"/>
      <c r="J4" s="29" t="n"/>
      <c r="K4" s="52" t="n"/>
      <c r="L4" s="36" t="n"/>
      <c r="O4" s="29" t="n"/>
    </row>
    <row r="5" customFormat="1" s="5">
      <c r="B5" s="139" t="inlineStr">
        <is>
          <t xml:space="preserve">       WARZYWA</t>
        </is>
      </c>
      <c r="C5" s="140" t="inlineStr">
        <is>
          <t>VEGETABLES</t>
        </is>
      </c>
      <c r="D5" s="141" t="inlineStr">
        <is>
          <t>OWOCE</t>
        </is>
      </c>
      <c r="E5" s="140" t="inlineStr">
        <is>
          <t xml:space="preserve">FRUITS </t>
        </is>
      </c>
      <c r="F5" s="4" t="n"/>
      <c r="G5" s="4" t="n"/>
    </row>
    <row r="6">
      <c r="B6" s="12" t="inlineStr">
        <is>
          <t>Buraki czerwone</t>
        </is>
      </c>
      <c r="C6" s="134" t="inlineStr">
        <is>
          <t>Red beets</t>
        </is>
      </c>
      <c r="D6" s="137" t="inlineStr">
        <is>
          <t>Arbuzy</t>
        </is>
      </c>
      <c r="E6" s="134" t="inlineStr">
        <is>
          <t>Watermelons</t>
        </is>
      </c>
      <c r="G6" s="4" t="n"/>
    </row>
    <row r="7">
      <c r="B7" s="136" t="inlineStr">
        <is>
          <t>Cebula biała</t>
        </is>
      </c>
      <c r="C7" s="135" t="inlineStr">
        <is>
          <t>Onions dry</t>
        </is>
      </c>
      <c r="D7" s="138" t="inlineStr">
        <is>
          <t>Banany</t>
        </is>
      </c>
      <c r="E7" s="135" t="inlineStr">
        <is>
          <t xml:space="preserve">Bananas     </t>
        </is>
      </c>
      <c r="G7" s="4" t="n"/>
    </row>
    <row r="8">
      <c r="B8" s="12" t="inlineStr">
        <is>
          <t>Czosnek</t>
        </is>
      </c>
      <c r="C8" s="134" t="inlineStr">
        <is>
          <t>Garlic</t>
        </is>
      </c>
      <c r="D8" s="137" t="inlineStr">
        <is>
          <t>Brzoskwinie</t>
        </is>
      </c>
      <c r="E8" s="134" t="inlineStr">
        <is>
          <t>Peaches</t>
        </is>
      </c>
      <c r="G8" s="4" t="n"/>
    </row>
    <row r="9">
      <c r="B9" s="136" t="inlineStr">
        <is>
          <t>Kalafiory</t>
        </is>
      </c>
      <c r="C9" s="135" t="inlineStr">
        <is>
          <t>Cauliflowers</t>
        </is>
      </c>
      <c r="D9" s="138" t="inlineStr">
        <is>
          <t>Cytryny</t>
        </is>
      </c>
      <c r="E9" s="135" t="inlineStr">
        <is>
          <t xml:space="preserve">Lemons    </t>
        </is>
      </c>
      <c r="G9" s="4" t="n"/>
    </row>
    <row r="10">
      <c r="B10" s="12" t="inlineStr">
        <is>
          <t>Kapusta biała</t>
        </is>
      </c>
      <c r="C10" s="134" t="inlineStr">
        <is>
          <t>Cabbage- white</t>
        </is>
      </c>
      <c r="D10" s="137" t="inlineStr">
        <is>
          <t>Grapefruity</t>
        </is>
      </c>
      <c r="E10" s="134" t="inlineStr">
        <is>
          <t xml:space="preserve">Grapefruit   </t>
        </is>
      </c>
      <c r="G10" s="4" t="n"/>
    </row>
    <row r="11">
      <c r="B11" s="136" t="inlineStr">
        <is>
          <t>Marchew</t>
        </is>
      </c>
      <c r="C11" s="135" t="inlineStr">
        <is>
          <t>Carrots</t>
        </is>
      </c>
      <c r="D11" s="138" t="inlineStr">
        <is>
          <t xml:space="preserve">Gruszki </t>
        </is>
      </c>
      <c r="E11" s="135" t="inlineStr">
        <is>
          <t xml:space="preserve">Pears  </t>
        </is>
      </c>
      <c r="G11" s="4" t="n"/>
    </row>
    <row r="12">
      <c r="B12" s="12" t="inlineStr">
        <is>
          <t>Ogórki długie</t>
        </is>
      </c>
      <c r="C12" s="134" t="inlineStr">
        <is>
          <t>Cucumbers</t>
        </is>
      </c>
      <c r="D12" s="137" t="inlineStr">
        <is>
          <t>Jabłka</t>
        </is>
      </c>
      <c r="E12" s="134" t="inlineStr">
        <is>
          <t>Apples</t>
        </is>
      </c>
      <c r="G12" s="4" t="n"/>
    </row>
    <row r="13">
      <c r="B13" s="136" t="inlineStr">
        <is>
          <t>Ogórki krótkie</t>
        </is>
      </c>
      <c r="C13" s="135" t="inlineStr">
        <is>
          <t>Gherkins</t>
        </is>
      </c>
      <c r="D13" s="138" t="inlineStr">
        <is>
          <t>Kiwi</t>
        </is>
      </c>
      <c r="E13" s="135" t="inlineStr">
        <is>
          <t>Kiwifruit</t>
        </is>
      </c>
      <c r="G13" s="4" t="n"/>
    </row>
    <row r="14">
      <c r="B14" s="12" t="inlineStr">
        <is>
          <t>Ogórki gruntowe</t>
        </is>
      </c>
      <c r="C14" s="134" t="inlineStr">
        <is>
          <t>Cucumbers field</t>
        </is>
      </c>
      <c r="D14" s="137" t="inlineStr">
        <is>
          <t>Mandarynki</t>
        </is>
      </c>
      <c r="E14" s="134" t="inlineStr">
        <is>
          <t>Tangerine</t>
        </is>
      </c>
      <c r="G14" s="4" t="n"/>
    </row>
    <row r="15">
      <c r="B15" s="136" t="inlineStr">
        <is>
          <t>Papryka czerwona</t>
        </is>
      </c>
      <c r="C15" s="135" t="inlineStr">
        <is>
          <t xml:space="preserve">Peppers - red </t>
        </is>
      </c>
      <c r="D15" s="138" t="inlineStr">
        <is>
          <t>Nektaryny</t>
        </is>
      </c>
      <c r="E15" s="135" t="inlineStr">
        <is>
          <t xml:space="preserve">Nectarines </t>
        </is>
      </c>
      <c r="G15" s="4" t="n"/>
    </row>
    <row r="16">
      <c r="B16" s="12" t="inlineStr">
        <is>
          <t>Papryka żółta</t>
        </is>
      </c>
      <c r="C16" s="134" t="inlineStr">
        <is>
          <t>Peppers - yellow</t>
        </is>
      </c>
      <c r="D16" s="137" t="inlineStr">
        <is>
          <t>Pomarańcze</t>
        </is>
      </c>
      <c r="E16" s="134" t="inlineStr">
        <is>
          <t xml:space="preserve">Oranges  </t>
        </is>
      </c>
      <c r="G16" s="4" t="n"/>
    </row>
    <row r="17">
      <c r="B17" s="136" t="inlineStr">
        <is>
          <t>Papryka zielona</t>
        </is>
      </c>
      <c r="C17" s="135" t="inlineStr">
        <is>
          <t xml:space="preserve">Peppers - green </t>
        </is>
      </c>
      <c r="D17" s="138" t="inlineStr">
        <is>
          <t>Porzeczki czarne</t>
        </is>
      </c>
      <c r="E17" s="135" t="inlineStr">
        <is>
          <t xml:space="preserve">Black currant </t>
        </is>
      </c>
      <c r="G17" s="4" t="n"/>
    </row>
    <row r="18">
      <c r="B18" s="12" t="inlineStr">
        <is>
          <t>Pietruszka</t>
        </is>
      </c>
      <c r="C18" s="134" t="inlineStr">
        <is>
          <t xml:space="preserve">Parsley </t>
        </is>
      </c>
      <c r="D18" s="137" t="inlineStr">
        <is>
          <t>Porzeczki czerwone</t>
        </is>
      </c>
      <c r="E18" s="134" t="inlineStr">
        <is>
          <t>Red currant</t>
        </is>
      </c>
      <c r="G18" s="4" t="n"/>
    </row>
    <row r="19">
      <c r="B19" s="136" t="inlineStr">
        <is>
          <t>Pomidory szklarn.</t>
        </is>
      </c>
      <c r="C19" s="135" t="inlineStr">
        <is>
          <t>Tomatoes greenhouse</t>
        </is>
      </c>
      <c r="D19" s="138" t="inlineStr">
        <is>
          <t>Śliwki</t>
        </is>
      </c>
      <c r="E19" s="135" t="inlineStr">
        <is>
          <t xml:space="preserve">Plums </t>
        </is>
      </c>
      <c r="G19" s="4" t="n"/>
    </row>
    <row r="20">
      <c r="B20" s="12" t="inlineStr">
        <is>
          <t>Pomodory gruntowe</t>
        </is>
      </c>
      <c r="C20" s="134" t="inlineStr">
        <is>
          <t xml:space="preserve">Tomatoes </t>
        </is>
      </c>
      <c r="D20" s="137" t="inlineStr">
        <is>
          <t>Truskawki</t>
        </is>
      </c>
      <c r="E20" s="134" t="inlineStr">
        <is>
          <t xml:space="preserve">Strawberries </t>
        </is>
      </c>
      <c r="G20" s="4" t="n"/>
    </row>
    <row r="21">
      <c r="B21" s="136" t="inlineStr">
        <is>
          <t>Pory</t>
        </is>
      </c>
      <c r="C21" s="135" t="inlineStr">
        <is>
          <t>Leeks</t>
        </is>
      </c>
      <c r="D21" s="138" t="inlineStr">
        <is>
          <t>Winogrona</t>
        </is>
      </c>
      <c r="E21" s="135" t="inlineStr">
        <is>
          <t>Grapes</t>
        </is>
      </c>
      <c r="G21" s="4" t="n"/>
    </row>
    <row r="22">
      <c r="B22" s="12" t="inlineStr">
        <is>
          <t>Rzodkiewka</t>
        </is>
      </c>
      <c r="C22" s="134" t="inlineStr">
        <is>
          <t xml:space="preserve">Radish </t>
        </is>
      </c>
      <c r="D22" s="137" t="inlineStr">
        <is>
          <t>Wiśnie</t>
        </is>
      </c>
      <c r="E22" s="134" t="inlineStr">
        <is>
          <t>Cherries</t>
        </is>
      </c>
      <c r="G22" s="4" t="n"/>
    </row>
    <row r="23">
      <c r="B23" s="136" t="inlineStr">
        <is>
          <t>Sałata</t>
        </is>
      </c>
      <c r="C23" s="135" t="inlineStr">
        <is>
          <t>Lettuce</t>
        </is>
      </c>
      <c r="D23" s="142" t="inlineStr">
        <is>
          <t>GRZYBY</t>
        </is>
      </c>
      <c r="E23" s="143" t="inlineStr">
        <is>
          <t>MUSHROOMS</t>
        </is>
      </c>
      <c r="F23" s="6" t="n"/>
      <c r="G23" s="4" t="n"/>
    </row>
    <row r="24">
      <c r="B24" s="12" t="inlineStr">
        <is>
          <t>Selery</t>
        </is>
      </c>
      <c r="C24" s="134" t="inlineStr">
        <is>
          <t>Celeriac</t>
        </is>
      </c>
      <c r="D24" s="137" t="inlineStr">
        <is>
          <t>Boczniaki</t>
        </is>
      </c>
      <c r="E24" s="134" t="inlineStr">
        <is>
          <t>Boczniak</t>
        </is>
      </c>
      <c r="G24" s="4" t="n"/>
    </row>
    <row r="25">
      <c r="B25" s="136" t="inlineStr">
        <is>
          <t>Ziemniaki</t>
        </is>
      </c>
      <c r="C25" s="135" t="inlineStr">
        <is>
          <t>Potatoes</t>
        </is>
      </c>
      <c r="D25" s="138" t="inlineStr">
        <is>
          <t>Pieczarki</t>
        </is>
      </c>
      <c r="E25" s="135" t="inlineStr">
        <is>
          <t>Champignons</t>
        </is>
      </c>
    </row>
    <row r="34">
      <c r="E34" s="3" t="inlineStr">
        <is>
          <t>        </t>
        </is>
      </c>
    </row>
  </sheetData>
  <pageMargins left="0.79" right="0.79" top="0.98" bottom="0.98" header="0.5" footer="0.5"/>
  <pageSetup orientation="portrait" paperSize="9"/>
</worksheet>
</file>

<file path=xl/worksheets/sheet28.xml><?xml version="1.0" encoding="utf-8"?>
<worksheet xmlns="http://schemas.openxmlformats.org/spreadsheetml/2006/main">
  <sheetPr>
    <tabColor rgb="FF7030A0"/>
    <outlinePr summaryBelow="1" summaryRight="1"/>
    <pageSetUpPr/>
  </sheetPr>
  <dimension ref="A1:P12"/>
  <sheetViews>
    <sheetView showGridLines="0" zoomScaleNormal="100" workbookViewId="0">
      <selection activeCell="F7" sqref="F7"/>
    </sheetView>
  </sheetViews>
  <sheetFormatPr baseColWidth="8" defaultColWidth="9.1796875" defaultRowHeight="12.5"/>
  <cols>
    <col width="10.7265625" customWidth="1" style="29" min="1" max="27"/>
    <col width="9.1796875" customWidth="1" style="29" min="28" max="16384"/>
  </cols>
  <sheetData>
    <row r="1" ht="25" customHeight="1" s="524">
      <c r="C1" s="129" t="n"/>
      <c r="F1" s="30" t="n"/>
      <c r="L1" s="31" t="n"/>
      <c r="M1" s="32" t="n"/>
    </row>
    <row r="2" ht="25" customHeight="1" s="524">
      <c r="A2" s="33" t="n"/>
      <c r="B2" s="34" t="inlineStr">
        <is>
          <t>POMOC</t>
        </is>
      </c>
      <c r="C2" s="48" t="n"/>
      <c r="D2" s="50" t="n"/>
      <c r="E2" s="50" t="n"/>
      <c r="F2" s="50" t="n"/>
      <c r="G2" s="50" t="n"/>
      <c r="H2" s="50" t="n"/>
      <c r="I2" s="50" t="n"/>
      <c r="J2" s="50" t="n"/>
      <c r="K2" s="50" t="n"/>
    </row>
    <row r="3" ht="25" customHeight="1" s="524" thickBot="1">
      <c r="B3" s="37" t="n"/>
      <c r="C3" s="149" t="n"/>
      <c r="D3" s="150" t="n"/>
      <c r="E3" s="149" t="n"/>
      <c r="F3" s="151" t="n"/>
      <c r="G3" s="152" t="n"/>
      <c r="H3" s="153" t="n"/>
      <c r="I3" s="153" t="n"/>
      <c r="J3" s="154" t="n"/>
      <c r="K3" s="155" t="n"/>
      <c r="L3" s="156" t="n"/>
      <c r="M3" s="156" t="n"/>
      <c r="N3" s="156" t="n"/>
      <c r="O3" s="156" t="n"/>
      <c r="P3" s="157" t="n"/>
    </row>
    <row r="4" ht="25" customHeight="1" s="524" thickTop="1">
      <c r="B4" s="131" t="n"/>
      <c r="C4" s="48" t="n"/>
      <c r="D4" s="47" t="n"/>
      <c r="E4" s="48" t="n"/>
      <c r="F4" s="49" t="n"/>
      <c r="G4" s="132" t="n"/>
      <c r="H4" s="50" t="n"/>
      <c r="I4" s="50" t="n"/>
      <c r="J4" s="93" t="n"/>
      <c r="K4" s="29" t="n"/>
      <c r="O4" s="158" t="n"/>
      <c r="P4" s="159">
        <f>B5</f>
        <v/>
      </c>
    </row>
    <row r="5" ht="20.15" customHeight="1" s="524">
      <c r="B5" s="160" t="inlineStr">
        <is>
          <t>Notowania  17- 27.08.2026 / Tydzień 34</t>
        </is>
      </c>
      <c r="C5" s="160" t="n"/>
      <c r="D5" s="160" t="n"/>
      <c r="E5" s="160" t="n"/>
    </row>
    <row r="6" ht="20.15" customHeight="1" s="524">
      <c r="B6" s="160" t="inlineStr">
        <is>
          <t>NR 34/2026</t>
        </is>
      </c>
      <c r="C6" s="160" t="n"/>
      <c r="D6" s="160" t="n"/>
      <c r="E6" s="160" t="n"/>
    </row>
    <row r="7" ht="20.15" customHeight="1" s="524">
      <c r="B7" s="160" t="n"/>
      <c r="C7" s="160" t="n"/>
      <c r="D7" s="160" t="n"/>
      <c r="E7" s="252" t="n"/>
    </row>
    <row r="8" ht="20.15" customHeight="1" s="524">
      <c r="B8" s="160" t="n"/>
      <c r="C8" s="160" t="n"/>
      <c r="D8" s="160" t="n"/>
      <c r="E8" s="252" t="n"/>
    </row>
    <row r="9" ht="20.15" customHeight="1" s="524">
      <c r="B9" s="160" t="n"/>
      <c r="C9" s="160" t="n"/>
      <c r="D9" s="160" t="n"/>
      <c r="E9" s="252" t="n"/>
    </row>
    <row r="10" ht="20.15" customHeight="1" s="524">
      <c r="B10" s="160" t="n"/>
      <c r="E10" s="161" t="n"/>
    </row>
    <row r="11" ht="20.15" customHeight="1" s="524">
      <c r="B11" s="160" t="n"/>
      <c r="E11" s="161" t="n"/>
      <c r="J11" s="30" t="inlineStr">
        <is>
          <t> </t>
        </is>
      </c>
    </row>
    <row r="12" ht="20.15" customHeight="1" s="524">
      <c r="B12" s="160" t="n"/>
      <c r="E12" s="161" t="n"/>
    </row>
    <row r="13" ht="20.15" customHeight="1" s="524"/>
    <row r="14" ht="20.15" customHeight="1" s="524"/>
    <row r="15" ht="20.15" customHeight="1" s="524"/>
    <row r="16" ht="20.15" customHeight="1" s="524"/>
    <row r="17" ht="20.15" customHeight="1" s="524"/>
    <row r="18" ht="20.15" customHeight="1" s="524"/>
    <row r="19" ht="20.15" customHeight="1" s="524"/>
    <row r="20" ht="20.15" customHeight="1" s="524"/>
    <row r="21" ht="20.15" customHeight="1" s="524"/>
    <row r="22" ht="20.15" customHeight="1" s="524"/>
    <row r="23" ht="20.15" customHeight="1" s="524"/>
    <row r="24" ht="20.15" customHeight="1" s="524"/>
    <row r="25" ht="20.15" customHeight="1" s="524"/>
    <row r="26" ht="20.15" customHeight="1" s="524"/>
    <row r="27" ht="20.15" customHeight="1" s="524"/>
    <row r="28" ht="20.15" customHeight="1" s="524"/>
    <row r="29" ht="20.15" customHeight="1" s="524"/>
  </sheetData>
  <pageMargins left="0.7" right="0.7" top="0.75" bottom="0.75" header="0.3" footer="0.3"/>
  <pageSetup orientation="landscape" paperSize="9" scale="75"/>
</worksheet>
</file>

<file path=xl/worksheets/sheet29.xml><?xml version="1.0" encoding="utf-8"?>
<worksheet xmlns="http://schemas.openxmlformats.org/spreadsheetml/2006/main">
  <sheetPr codeName="Arkusz15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Arkusz16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Arkusz1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Arkusz18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Arkusz19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Arkusz2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FAPA</dc:creator>
  <dcterms:created xsi:type="dcterms:W3CDTF">1997-07-03T08:22:55Z</dcterms:created>
  <dcterms:modified xsi:type="dcterms:W3CDTF">2026-09-04T12:24:35Z</dcterms:modified>
  <cp:lastModifiedBy>Chruśliński Tomasz</cp:lastModifiedBy>
  <cp:lastPrinted>2006-06-09T10:23:10Z</cp:lastPrinted>
</cp:coreProperties>
</file>