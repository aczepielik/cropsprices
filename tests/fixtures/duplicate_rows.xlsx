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8.xml" ContentType="application/vnd.openxmlformats-officedocument.drawingml.chartshapes+xml"/>
  <Override PartName="/xl/drawings/drawing9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en_skoroszyt" defaultThemeVersion="124226"/>
  <mc:AlternateContent xmlns:mc="http://schemas.openxmlformats.org/markup-compatibility/2006">
    <mc:Choice Requires="x15">
      <x15ac:absPath xmlns:x15ac="http://schemas.microsoft.com/office/spreadsheetml/2010/11/ac" url="W:\!!! WYMIANA\8 Owoce i Warzywa\BiuletynInf\Biuletyny_2026\"/>
    </mc:Choice>
  </mc:AlternateContent>
  <bookViews>
    <workbookView xWindow="-27840" yWindow="860" windowWidth="25790" windowHeight="12840" tabRatio="911"/>
  </bookViews>
  <sheets>
    <sheet name="INFO" sheetId="62" r:id="rId1"/>
    <sheet name="SPIS" sheetId="63" r:id="rId2"/>
    <sheet name="ZMIANY HURT" sheetId="2" r:id="rId3"/>
    <sheet name="HURT WARZ" sheetId="3" r:id="rId4"/>
    <sheet name="HURT OWOC" sheetId="4" r:id="rId5"/>
    <sheet name="ADRESY RYNKÓW HURTOWYCH " sheetId="75" r:id="rId6"/>
    <sheet name="OWOCE ORGANIZACJE PROD." sheetId="26" r:id="rId7"/>
    <sheet name="OWOCE PRZETWÓRSTWO" sheetId="53" r:id="rId8"/>
    <sheet name="WARZYWA PRZETWÓRSTWO " sheetId="77" r:id="rId9"/>
    <sheet name="ZAKUP OWOCE DETAL - LUZ" sheetId="76" r:id="rId10"/>
    <sheet name="ZAKUP WARZ DETAL - LUZ" sheetId="78" r:id="rId11"/>
    <sheet name="ZAKUP WARZ DETAL - DO 2 KG" sheetId="79" r:id="rId12"/>
    <sheet name="DETAL OWOCE WYKRES " sheetId="68" r:id="rId13"/>
    <sheet name="DETAL WARZ WYKRES" sheetId="69" r:id="rId14"/>
    <sheet name="IERGZ_warzywa" sheetId="56" r:id="rId15"/>
    <sheet name="IERGZ_owoce" sheetId="49" r:id="rId16"/>
    <sheet name="Zaklady " sheetId="71" r:id="rId17"/>
    <sheet name="ow_KRIR" sheetId="67" r:id="rId18"/>
    <sheet name="HANDEL ZAGRANICZNY_I_XII_2025" sheetId="70" r:id="rId19"/>
    <sheet name="HANDEL ZAGRANICZNY_I _V_2026" sheetId="29" r:id="rId20"/>
    <sheet name="EXP KRAJE I-V 2026" sheetId="65" r:id="rId21"/>
    <sheet name="IMP KRAJE I-V 2025" sheetId="66" r:id="rId22"/>
    <sheet name="EXP-IMP KRAJE" sheetId="72" r:id="rId23"/>
    <sheet name="EXP-IMP KRAJE LATA" sheetId="73" r:id="rId24"/>
    <sheet name="KRAJE ZMIANY CN 0203" sheetId="74" r:id="rId25"/>
    <sheet name="Sł_Pol-Ang" sheetId="5" r:id="rId26"/>
    <sheet name="POMOC" sheetId="64" r:id="rId27"/>
    <sheet name="Moduł1" sheetId="10" state="veryHidden" r:id="rId28"/>
    <sheet name="Moduł2" sheetId="11" state="veryHidden" r:id="rId29"/>
    <sheet name="Moduł3" sheetId="12" state="veryHidden" r:id="rId30"/>
    <sheet name="Moduł4" sheetId="13" state="veryHidden" r:id="rId31"/>
    <sheet name="Moduł5" sheetId="14" state="veryHidden" r:id="rId32"/>
    <sheet name="Moduł6" sheetId="15" state="veryHidden" r:id="rId33"/>
  </sheets>
  <externalReferences>
    <externalReference r:id="rId34"/>
    <externalReference r:id="rId35"/>
    <externalReference r:id="rId36"/>
    <externalReference r:id="rId37"/>
    <externalReference r:id="rId38"/>
  </externalReferences>
  <definedNames>
    <definedName name="\a">#N/A</definedName>
    <definedName name="\s" localSheetId="20">#REF!</definedName>
    <definedName name="\s" localSheetId="22">#REF!</definedName>
    <definedName name="\s" localSheetId="23">#REF!</definedName>
    <definedName name="\s" localSheetId="21">#REF!</definedName>
    <definedName name="\s" localSheetId="0">#REF!</definedName>
    <definedName name="\s" localSheetId="24">#REF!</definedName>
    <definedName name="\s" localSheetId="26">#REF!</definedName>
    <definedName name="\s">#REF!</definedName>
    <definedName name="_17_11_2011" localSheetId="20">#REF!</definedName>
    <definedName name="_17_11_2011" localSheetId="22">#REF!</definedName>
    <definedName name="_17_11_2011" localSheetId="23">#REF!</definedName>
    <definedName name="_17_11_2011" localSheetId="21">#REF!</definedName>
    <definedName name="_17_11_2011" localSheetId="0">#REF!</definedName>
    <definedName name="_17_11_2011" localSheetId="24">#REF!</definedName>
    <definedName name="_17_11_2011" localSheetId="26">#REF!</definedName>
    <definedName name="_17_11_2011">#REF!</definedName>
    <definedName name="_7_11_2011" localSheetId="20">#REF!</definedName>
    <definedName name="_7_11_2011" localSheetId="22">#REF!</definedName>
    <definedName name="_7_11_2011" localSheetId="23">#REF!</definedName>
    <definedName name="_7_11_2011" localSheetId="21">#REF!</definedName>
    <definedName name="_7_11_2011" localSheetId="0">#REF!</definedName>
    <definedName name="_7_11_2011" localSheetId="24">#REF!</definedName>
    <definedName name="_7_11_2011" localSheetId="26">#REF!</definedName>
    <definedName name="_7_11_2011">#REF!</definedName>
    <definedName name="_A" localSheetId="20">#REF!</definedName>
    <definedName name="_A" localSheetId="22">#REF!</definedName>
    <definedName name="_A" localSheetId="23">#REF!</definedName>
    <definedName name="_A" localSheetId="21">#REF!</definedName>
    <definedName name="_A" localSheetId="24">#REF!</definedName>
    <definedName name="_A" localSheetId="26">#REF!</definedName>
    <definedName name="_A">#REF!</definedName>
    <definedName name="_xlnm._FilterDatabase" localSheetId="4" hidden="1">'HURT OWOC'!#REF!</definedName>
    <definedName name="a" localSheetId="20">#REF!</definedName>
    <definedName name="a" localSheetId="22">#REF!</definedName>
    <definedName name="a" localSheetId="23">#REF!</definedName>
    <definedName name="a" localSheetId="21">#REF!</definedName>
    <definedName name="a" localSheetId="24">#REF!</definedName>
    <definedName name="a" localSheetId="26">#REF!</definedName>
    <definedName name="a">#REF!</definedName>
    <definedName name="aa" localSheetId="20">OFFSET(#REF!,0,0,COUNTA(#REF!),27)</definedName>
    <definedName name="aa" localSheetId="23">OFFSET(#REF!,0,0,COUNTA(#REF!),27)</definedName>
    <definedName name="aa" localSheetId="21">OFFSET(#REF!,0,0,COUNTA(#REF!),27)</definedName>
    <definedName name="aa" localSheetId="0">OFFSET(#REF!,0,0,COUNTA(#REF!),27)</definedName>
    <definedName name="aa" localSheetId="24">OFFSET(#REF!,0,0,COUNTA(#REF!),27)</definedName>
    <definedName name="aa" localSheetId="17">#REF!</definedName>
    <definedName name="aa" localSheetId="26">OFFSET(#REF!,0,0,COUNTA(#REF!),27)</definedName>
    <definedName name="aa" localSheetId="1">OFFSET(#REF!,0,0,COUNTA(#REF!),27)</definedName>
    <definedName name="aa">#REF!</definedName>
    <definedName name="aaa" localSheetId="20">#REF!</definedName>
    <definedName name="aaa" localSheetId="23">#REF!</definedName>
    <definedName name="aaa" localSheetId="21">#REF!</definedName>
    <definedName name="aaa" localSheetId="24">#REF!</definedName>
    <definedName name="aaa" localSheetId="26">#REF!</definedName>
    <definedName name="aaa">#REF!</definedName>
    <definedName name="aaaa" localSheetId="20">#REF!</definedName>
    <definedName name="aaaa" localSheetId="22">#REF!</definedName>
    <definedName name="aaaa" localSheetId="23">#REF!</definedName>
    <definedName name="aaaa" localSheetId="21">#REF!</definedName>
    <definedName name="aaaa" localSheetId="24">#REF!</definedName>
    <definedName name="aaaa" localSheetId="26">#REF!</definedName>
    <definedName name="aaaa">#REF!</definedName>
    <definedName name="aaas" localSheetId="20">#REF!</definedName>
    <definedName name="aaas" localSheetId="23">#REF!</definedName>
    <definedName name="aaas" localSheetId="21">#REF!</definedName>
    <definedName name="aaas" localSheetId="24">#REF!</definedName>
    <definedName name="aaas" localSheetId="26">#REF!</definedName>
    <definedName name="aaas">#REF!</definedName>
    <definedName name="aassss" localSheetId="20">#REF!</definedName>
    <definedName name="aassss" localSheetId="23">#REF!</definedName>
    <definedName name="aassss" localSheetId="21">#REF!</definedName>
    <definedName name="aassss" localSheetId="24">#REF!</definedName>
    <definedName name="aassss" localSheetId="26">#REF!</definedName>
    <definedName name="aassss">#REF!</definedName>
    <definedName name="AllPerc" localSheetId="20">#REF!,#REF!</definedName>
    <definedName name="AllPerc" localSheetId="22">#REF!,#REF!</definedName>
    <definedName name="AllPerc" localSheetId="23">#REF!,#REF!</definedName>
    <definedName name="AllPerc" localSheetId="21">#REF!,#REF!</definedName>
    <definedName name="AllPerc" localSheetId="0">#REF!,#REF!</definedName>
    <definedName name="AllPerc" localSheetId="24">#REF!,#REF!</definedName>
    <definedName name="AllPerc" localSheetId="26">#REF!,#REF!</definedName>
    <definedName name="AllPerc">#REF!,#REF!</definedName>
    <definedName name="AmisData" localSheetId="21">OFFSET(#REF!,0,0,COUNTA(#REF!),23)</definedName>
    <definedName name="AmisData">OFFSET(#REF!,0,0,COUNTA(#REF!),23)</definedName>
    <definedName name="AmisDataPig" localSheetId="20">OFFSET(#REF!,0,0,COUNTA(#REF!),20)</definedName>
    <definedName name="AmisDataPig" localSheetId="22">OFFSET(#REF!,0,0,COUNTA(#REF!),20)</definedName>
    <definedName name="AmisDataPig" localSheetId="23">OFFSET(#REF!,0,0,COUNTA(#REF!),20)</definedName>
    <definedName name="AmisDataPig" localSheetId="21">OFFSET(#REF!,0,0,COUNTA(#REF!),20)</definedName>
    <definedName name="AmisDataPig" localSheetId="0">OFFSET(#REF!,0,0,COUNTA(#REF!),20)</definedName>
    <definedName name="AmisDataPig" localSheetId="24">OFFSET(#REF!,0,0,COUNTA(#REF!),20)</definedName>
    <definedName name="AmisDataPig" localSheetId="26">OFFSET(#REF!,0,0,COUNTA(#REF!),20)</definedName>
    <definedName name="AmisDataPig">OFFSET(#REF!,0,0,COUNTA(#REF!),20)</definedName>
    <definedName name="AmisDataPiglet" localSheetId="20">OFFSET(#REF!,0,0,COUNTA(#REF!),27)</definedName>
    <definedName name="AmisDataPiglet" localSheetId="22">OFFSET(#REF!,0,0,COUNTA(#REF!),27)</definedName>
    <definedName name="AmisDataPiglet" localSheetId="23">OFFSET(#REF!,0,0,COUNTA(#REF!),27)</definedName>
    <definedName name="AmisDataPiglet" localSheetId="21">OFFSET(#REF!,0,0,COUNTA(#REF!),27)</definedName>
    <definedName name="AmisDataPiglet" localSheetId="24">OFFSET(#REF!,0,0,COUNTA(#REF!),27)</definedName>
    <definedName name="AmisDataPiglet" localSheetId="26">OFFSET(#REF!,0,0,COUNTA(#REF!),27)</definedName>
    <definedName name="AmisDataPiglet">OFFSET(#REF!,0,0,COUNTA(#REF!),27)</definedName>
    <definedName name="aqwq" localSheetId="20">#REF!,#REF!</definedName>
    <definedName name="aqwq" localSheetId="22">#REF!,#REF!</definedName>
    <definedName name="aqwq" localSheetId="23">#REF!,#REF!</definedName>
    <definedName name="aqwq" localSheetId="21">#REF!,#REF!</definedName>
    <definedName name="aqwq" localSheetId="0">#REF!,#REF!</definedName>
    <definedName name="aqwq" localSheetId="24">#REF!,#REF!</definedName>
    <definedName name="aqwq" localSheetId="26">#REF!,#REF!</definedName>
    <definedName name="aqwq">#REF!,#REF!</definedName>
    <definedName name="BothPerc" localSheetId="20">#REF!</definedName>
    <definedName name="BothPerc" localSheetId="22">#REF!</definedName>
    <definedName name="BothPerc" localSheetId="23">#REF!</definedName>
    <definedName name="BothPerc" localSheetId="21">#REF!</definedName>
    <definedName name="BothPerc" localSheetId="0">#REF!</definedName>
    <definedName name="BothPerc" localSheetId="24">#REF!</definedName>
    <definedName name="BothPerc" localSheetId="26">#REF!</definedName>
    <definedName name="BothPerc">#REF!</definedName>
    <definedName name="Ceny" localSheetId="20">#REF!</definedName>
    <definedName name="Ceny" localSheetId="22">#REF!</definedName>
    <definedName name="Ceny" localSheetId="23">#REF!</definedName>
    <definedName name="Ceny" localSheetId="21">#REF!</definedName>
    <definedName name="Ceny" localSheetId="0">#REF!</definedName>
    <definedName name="Ceny" localSheetId="24">#REF!</definedName>
    <definedName name="Ceny" localSheetId="26">#REF!</definedName>
    <definedName name="Ceny">#REF!</definedName>
    <definedName name="cenyd" localSheetId="20">#REF!</definedName>
    <definedName name="cenyd" localSheetId="22">#REF!</definedName>
    <definedName name="cenyd" localSheetId="23">#REF!</definedName>
    <definedName name="cenyd" localSheetId="21">#REF!</definedName>
    <definedName name="cenyd" localSheetId="0">#REF!</definedName>
    <definedName name="cenyd" localSheetId="24">#REF!</definedName>
    <definedName name="cenyd" localSheetId="26">#REF!</definedName>
    <definedName name="cenyd">#REF!</definedName>
    <definedName name="Charakterystyka_tabela1_Lista" localSheetId="3">[1]tabelaWARZ!#REF!</definedName>
    <definedName name="Charakterystyka_tabela1_Lista" localSheetId="21">#REF!</definedName>
    <definedName name="Charakterystyka_tabela1_Lista" localSheetId="17">#REF!</definedName>
    <definedName name="Charakterystyka_tabela1_Lista" localSheetId="7">#REF!</definedName>
    <definedName name="Charakterystyka_tabela1_Lista">#REF!</definedName>
    <definedName name="ColPre" localSheetId="20">#REF!</definedName>
    <definedName name="ColPre" localSheetId="22">#REF!</definedName>
    <definedName name="ColPre" localSheetId="23">#REF!</definedName>
    <definedName name="ColPre" localSheetId="21">#REF!</definedName>
    <definedName name="ColPre" localSheetId="24">#REF!</definedName>
    <definedName name="ColPre" localSheetId="26">#REF!</definedName>
    <definedName name="ColPre">#REF!</definedName>
    <definedName name="CurShe" localSheetId="20">#REF!</definedName>
    <definedName name="CurShe" localSheetId="22">#REF!</definedName>
    <definedName name="CurShe" localSheetId="23">#REF!</definedName>
    <definedName name="CurShe" localSheetId="21">#REF!</definedName>
    <definedName name="CurShe" localSheetId="24">#REF!</definedName>
    <definedName name="CurShe" localSheetId="26">#REF!</definedName>
    <definedName name="CurShe">#REF!</definedName>
    <definedName name="dd" localSheetId="20">#REF!</definedName>
    <definedName name="dd" localSheetId="22">#REF!</definedName>
    <definedName name="dd" localSheetId="23">#REF!</definedName>
    <definedName name="dd" localSheetId="21">#REF!</definedName>
    <definedName name="dd" localSheetId="24">#REF!</definedName>
    <definedName name="dd" localSheetId="26">#REF!</definedName>
    <definedName name="dd">#REF!</definedName>
    <definedName name="dsxa" localSheetId="20">#REF!</definedName>
    <definedName name="dsxa" localSheetId="23">#REF!</definedName>
    <definedName name="dsxa" localSheetId="21">#REF!</definedName>
    <definedName name="dsxa" localSheetId="24">#REF!</definedName>
    <definedName name="dsxa" localSheetId="26">#REF!</definedName>
    <definedName name="dsxa">#REF!</definedName>
    <definedName name="fg" localSheetId="20">#REF!</definedName>
    <definedName name="fg" localSheetId="22">#REF!</definedName>
    <definedName name="fg" localSheetId="23">#REF!</definedName>
    <definedName name="fg" localSheetId="21">#REF!</definedName>
    <definedName name="fg" localSheetId="0">#REF!</definedName>
    <definedName name="fg" localSheetId="24">#REF!</definedName>
    <definedName name="fg" localSheetId="17">#REF!</definedName>
    <definedName name="fg" localSheetId="7">#REF!</definedName>
    <definedName name="fg" localSheetId="26">#REF!</definedName>
    <definedName name="fg" localSheetId="1">#REF!</definedName>
    <definedName name="fg">#REF!</definedName>
    <definedName name="FirstPerc" localSheetId="20">#REF!</definedName>
    <definedName name="FirstPerc" localSheetId="22">#REF!</definedName>
    <definedName name="FirstPerc" localSheetId="23">#REF!</definedName>
    <definedName name="FirstPerc" localSheetId="21">#REF!</definedName>
    <definedName name="FirstPerc" localSheetId="24">#REF!</definedName>
    <definedName name="FirstPerc" localSheetId="26">#REF!</definedName>
    <definedName name="FirstPerc">#REF!</definedName>
    <definedName name="gg" localSheetId="20">#REF!</definedName>
    <definedName name="gg" localSheetId="22">#REF!</definedName>
    <definedName name="gg" localSheetId="23">#REF!</definedName>
    <definedName name="gg" localSheetId="21">#REF!</definedName>
    <definedName name="gg" localSheetId="24">#REF!</definedName>
    <definedName name="gg" localSheetId="26">#REF!</definedName>
    <definedName name="gg">#REF!</definedName>
    <definedName name="hh" localSheetId="20">#REF!</definedName>
    <definedName name="hh" localSheetId="23">#REF!</definedName>
    <definedName name="hh" localSheetId="21">#REF!</definedName>
    <definedName name="hh" localSheetId="24">#REF!</definedName>
    <definedName name="hh" localSheetId="26">#REF!</definedName>
    <definedName name="hh">#REF!</definedName>
    <definedName name="hj" localSheetId="20">#REF!</definedName>
    <definedName name="hj" localSheetId="22">#REF!</definedName>
    <definedName name="hj" localSheetId="23">#REF!</definedName>
    <definedName name="hj" localSheetId="21">#REF!</definedName>
    <definedName name="hj" localSheetId="24">#REF!</definedName>
    <definedName name="hj" localSheetId="26">#REF!</definedName>
    <definedName name="hj">#REF!</definedName>
    <definedName name="j">OFFSET(#REF!,0,0,COUNTA(#REF!),20)</definedName>
    <definedName name="jgg" localSheetId="20">OFFSET(#REF!,0,0,COUNTA(#REF!),20)</definedName>
    <definedName name="jgg" localSheetId="22">OFFSET(#REF!,0,0,COUNTA(#REF!),20)</definedName>
    <definedName name="jgg" localSheetId="23">OFFSET(#REF!,0,0,COUNTA(#REF!),20)</definedName>
    <definedName name="jgg" localSheetId="21">OFFSET(#REF!,0,0,COUNTA(#REF!),20)</definedName>
    <definedName name="jgg" localSheetId="0">OFFSET(#REF!,0,0,COUNTA(#REF!),20)</definedName>
    <definedName name="jgg" localSheetId="24">OFFSET(#REF!,0,0,COUNTA(#REF!),20)</definedName>
    <definedName name="jgg" localSheetId="26">OFFSET(#REF!,0,0,COUNTA(#REF!),20)</definedName>
    <definedName name="jgg">OFFSET(#REF!,0,0,COUNTA(#REF!),20)</definedName>
    <definedName name="jjjjjj">#REF!</definedName>
    <definedName name="jose" localSheetId="20">#REF!</definedName>
    <definedName name="jose" localSheetId="22">#REF!</definedName>
    <definedName name="jose" localSheetId="23">#REF!</definedName>
    <definedName name="jose" localSheetId="21">#REF!</definedName>
    <definedName name="jose" localSheetId="0">#REF!</definedName>
    <definedName name="jose" localSheetId="24">#REF!</definedName>
    <definedName name="jose" localSheetId="26">#REF!</definedName>
    <definedName name="jose">#REF!</definedName>
    <definedName name="Last5" localSheetId="20">#REF!</definedName>
    <definedName name="Last5" localSheetId="22">#REF!</definedName>
    <definedName name="Last5" localSheetId="23">#REF!</definedName>
    <definedName name="Last5" localSheetId="21">#REF!</definedName>
    <definedName name="Last5" localSheetId="0">#REF!</definedName>
    <definedName name="Last5" localSheetId="24">#REF!</definedName>
    <definedName name="Last5" localSheetId="26">#REF!</definedName>
    <definedName name="Last5">#REF!</definedName>
    <definedName name="MaxDate" localSheetId="20">'[2]Amis Exchange rate'!$D$2</definedName>
    <definedName name="MaxDate" localSheetId="22">#REF!</definedName>
    <definedName name="MaxDate" localSheetId="23">#REF!</definedName>
    <definedName name="MaxDate" localSheetId="21">'[2]Amis Exchange rate'!$D$2</definedName>
    <definedName name="MaxDate" localSheetId="24">#REF!</definedName>
    <definedName name="MaxDate">'[2]Amis Exchange rate'!$D$2</definedName>
    <definedName name="MonPre" localSheetId="20">#REF!</definedName>
    <definedName name="MonPre" localSheetId="22">#REF!</definedName>
    <definedName name="MonPre" localSheetId="23">#REF!</definedName>
    <definedName name="MonPre" localSheetId="21">#REF!</definedName>
    <definedName name="MonPre" localSheetId="0">#REF!</definedName>
    <definedName name="MonPre" localSheetId="24">#REF!</definedName>
    <definedName name="MonPre" localSheetId="26">#REF!</definedName>
    <definedName name="MonPre">#REF!</definedName>
    <definedName name="n" localSheetId="20">#REF!</definedName>
    <definedName name="n" localSheetId="23">#REF!</definedName>
    <definedName name="n" localSheetId="21">#REF!</definedName>
    <definedName name="n" localSheetId="24">#REF!</definedName>
    <definedName name="n" localSheetId="26">#REF!</definedName>
    <definedName name="n">#REF!</definedName>
    <definedName name="NumPri" localSheetId="20">#REF!</definedName>
    <definedName name="NumPri" localSheetId="22">#REF!</definedName>
    <definedName name="NumPri" localSheetId="23">#REF!</definedName>
    <definedName name="NumPri" localSheetId="21">#REF!</definedName>
    <definedName name="NumPri" localSheetId="0">#REF!</definedName>
    <definedName name="NumPri" localSheetId="24">#REF!</definedName>
    <definedName name="NumPri" localSheetId="26">#REF!</definedName>
    <definedName name="NumPri">#REF!</definedName>
    <definedName name="_xlnm.Print_Area" localSheetId="20">#REF!</definedName>
    <definedName name="_xlnm.Print_Area" localSheetId="22">#REF!</definedName>
    <definedName name="_xlnm.Print_Area" localSheetId="23">#REF!</definedName>
    <definedName name="_xlnm.Print_Area" localSheetId="15">IERGZ_owoce!$B$6:$E$23</definedName>
    <definedName name="_xlnm.Print_Area" localSheetId="14">IERGZ_warzywa!$A$5:$I$37</definedName>
    <definedName name="_xlnm.Print_Area" localSheetId="21">#REF!</definedName>
    <definedName name="_xlnm.Print_Area" localSheetId="0">INFO!$A$1:$P$22</definedName>
    <definedName name="_xlnm.Print_Area" localSheetId="24">#REF!</definedName>
    <definedName name="_xlnm.Print_Area" localSheetId="26">#REF!</definedName>
    <definedName name="_xlnm.Print_Area" localSheetId="16">'Zaklady '!$B$4:$Y$39</definedName>
    <definedName name="_xlnm.Print_Area">#REF!</definedName>
    <definedName name="oooooooo" localSheetId="21">#REF!</definedName>
    <definedName name="oooooooo">#REF!</definedName>
    <definedName name="ppp" localSheetId="20">#REF!</definedName>
    <definedName name="ppp" localSheetId="22">#REF!</definedName>
    <definedName name="ppp" localSheetId="23">#REF!</definedName>
    <definedName name="ppp" localSheetId="21">#REF!</definedName>
    <definedName name="ppp" localSheetId="24">#REF!</definedName>
    <definedName name="ppp" localSheetId="26">#REF!</definedName>
    <definedName name="ppp">#REF!</definedName>
    <definedName name="Prosieta" localSheetId="20">#REF!</definedName>
    <definedName name="Prosieta" localSheetId="22">#REF!</definedName>
    <definedName name="Prosieta" localSheetId="23">#REF!</definedName>
    <definedName name="Prosieta" localSheetId="21">#REF!</definedName>
    <definedName name="Prosieta" localSheetId="24">#REF!</definedName>
    <definedName name="Prosieta" localSheetId="26">#REF!</definedName>
    <definedName name="Prosieta">#REF!</definedName>
    <definedName name="q" localSheetId="20">#REF!</definedName>
    <definedName name="q" localSheetId="23">#REF!</definedName>
    <definedName name="q" localSheetId="21">#REF!</definedName>
    <definedName name="q" localSheetId="24">#REF!</definedName>
    <definedName name="q" localSheetId="26">#REF!</definedName>
    <definedName name="q">#REF!</definedName>
    <definedName name="recap" localSheetId="20">#REF!</definedName>
    <definedName name="recap" localSheetId="22">#REF!</definedName>
    <definedName name="recap" localSheetId="23">#REF!</definedName>
    <definedName name="recap" localSheetId="21">#REF!</definedName>
    <definedName name="recap" localSheetId="24">#REF!</definedName>
    <definedName name="recap" localSheetId="26">#REF!</definedName>
    <definedName name="recap">#REF!</definedName>
    <definedName name="s" localSheetId="20">#REF!</definedName>
    <definedName name="s" localSheetId="22">#REF!</definedName>
    <definedName name="s" localSheetId="23">#REF!</definedName>
    <definedName name="s" localSheetId="21">#REF!</definedName>
    <definedName name="s" localSheetId="24">#REF!</definedName>
    <definedName name="s" localSheetId="26">#REF!</definedName>
    <definedName name="s">#REF!</definedName>
    <definedName name="SecondPerc" localSheetId="20">#REF!</definedName>
    <definedName name="SecondPerc" localSheetId="22">#REF!</definedName>
    <definedName name="SecondPerc" localSheetId="23">#REF!</definedName>
    <definedName name="SecondPerc" localSheetId="21">#REF!</definedName>
    <definedName name="SecondPerc" localSheetId="24">#REF!</definedName>
    <definedName name="SecondPerc" localSheetId="26">#REF!</definedName>
    <definedName name="SecondPerc">#REF!</definedName>
    <definedName name="ss" localSheetId="20">#REF!</definedName>
    <definedName name="ss" localSheetId="23">#REF!</definedName>
    <definedName name="ss" localSheetId="21">#REF!</definedName>
    <definedName name="ss" localSheetId="24">#REF!</definedName>
    <definedName name="ss" localSheetId="26">#REF!</definedName>
    <definedName name="ss">#REF!</definedName>
    <definedName name="ssfg" localSheetId="20">#REF!</definedName>
    <definedName name="ssfg" localSheetId="23">#REF!</definedName>
    <definedName name="ssfg" localSheetId="21">#REF!</definedName>
    <definedName name="ssfg" localSheetId="24">#REF!</definedName>
    <definedName name="ssfg" localSheetId="26">#REF!</definedName>
    <definedName name="ssfg">#REF!</definedName>
    <definedName name="sss" localSheetId="20">#REF!</definedName>
    <definedName name="sss" localSheetId="23">#REF!</definedName>
    <definedName name="sss" localSheetId="21">#REF!</definedName>
    <definedName name="sss" localSheetId="24">#REF!</definedName>
    <definedName name="sss" localSheetId="26">#REF!</definedName>
    <definedName name="sss">#REF!</definedName>
    <definedName name="ssssaaa" localSheetId="20">#REF!</definedName>
    <definedName name="ssssaaa" localSheetId="22">#REF!</definedName>
    <definedName name="ssssaaa" localSheetId="23">#REF!</definedName>
    <definedName name="ssssaaa" localSheetId="21">#REF!</definedName>
    <definedName name="ssssaaa" localSheetId="24">#REF!</definedName>
    <definedName name="ssssaaa" localSheetId="26">#REF!</definedName>
    <definedName name="ssssaaa">#REF!</definedName>
    <definedName name="TodDat" localSheetId="20">#REF!</definedName>
    <definedName name="TodDat" localSheetId="22">#REF!</definedName>
    <definedName name="TodDat" localSheetId="23">#REF!</definedName>
    <definedName name="TodDat" localSheetId="21">#REF!</definedName>
    <definedName name="TodDat" localSheetId="24">#REF!</definedName>
    <definedName name="TodDat" localSheetId="26">#REF!</definedName>
    <definedName name="TodDat">#REF!</definedName>
    <definedName name="_xlnm.Print_Titles" localSheetId="19">'HANDEL ZAGRANICZNY_I _V_2026'!$5:$7</definedName>
    <definedName name="_xlnm.Print_Titles" localSheetId="18">'HANDEL ZAGRANICZNY_I_XII_2025'!$6:$8</definedName>
    <definedName name="uboje" localSheetId="20">#REF!</definedName>
    <definedName name="uboje" localSheetId="23">#REF!</definedName>
    <definedName name="uboje" localSheetId="21">#REF!</definedName>
    <definedName name="uboje" localSheetId="24">#REF!</definedName>
    <definedName name="uboje" localSheetId="26">#REF!</definedName>
    <definedName name="uboje">#REF!</definedName>
    <definedName name="uuu" localSheetId="20">#REF!</definedName>
    <definedName name="uuu" localSheetId="23">#REF!</definedName>
    <definedName name="uuu" localSheetId="21">#REF!</definedName>
    <definedName name="uuu" localSheetId="24">#REF!</definedName>
    <definedName name="uuu" localSheetId="26">#REF!</definedName>
    <definedName name="uuu">#REF!</definedName>
    <definedName name="WeeNum" localSheetId="20">#REF!</definedName>
    <definedName name="WeeNum" localSheetId="22">#REF!</definedName>
    <definedName name="WeeNum" localSheetId="23">#REF!</definedName>
    <definedName name="WeeNum" localSheetId="21">#REF!</definedName>
    <definedName name="WeeNum" localSheetId="24">#REF!</definedName>
    <definedName name="WeeNum" localSheetId="26">#REF!</definedName>
    <definedName name="WeeNum">#REF!</definedName>
    <definedName name="zx" localSheetId="20">#REF!</definedName>
    <definedName name="zx" localSheetId="22">#REF!</definedName>
    <definedName name="zx" localSheetId="23">#REF!</definedName>
    <definedName name="zx" localSheetId="21">#REF!</definedName>
    <definedName name="zx" localSheetId="24">#REF!</definedName>
    <definedName name="zx" localSheetId="26">#REF!</definedName>
    <definedName name="zx">#REF!</definedName>
    <definedName name="zywiec" localSheetId="20">#REF!</definedName>
    <definedName name="zywiec" localSheetId="22">#REF!</definedName>
    <definedName name="zywiec" localSheetId="23">#REF!</definedName>
    <definedName name="zywiec" localSheetId="21">#REF!</definedName>
    <definedName name="zywiec" localSheetId="24">#REF!</definedName>
    <definedName name="zywiec" localSheetId="26">#REF!</definedName>
    <definedName name="zywiec">#REF!</definedName>
    <definedName name="zzz">#N/A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" i="3" l="1"/>
  <c r="K31" i="67" l="1"/>
  <c r="E30" i="67"/>
  <c r="K27" i="67"/>
  <c r="H27" i="67"/>
  <c r="H22" i="67"/>
  <c r="E22" i="67"/>
  <c r="K21" i="67"/>
  <c r="E21" i="67"/>
  <c r="E19" i="67"/>
  <c r="E18" i="67"/>
  <c r="E16" i="67"/>
  <c r="E13" i="67"/>
  <c r="E12" i="67"/>
  <c r="E10" i="67"/>
  <c r="B25" i="74" l="1"/>
  <c r="B24" i="74"/>
  <c r="N23" i="74"/>
  <c r="P23" i="74" s="1"/>
  <c r="K23" i="74"/>
  <c r="B23" i="74"/>
  <c r="B22" i="74"/>
  <c r="B21" i="74"/>
  <c r="J21" i="74" s="1"/>
  <c r="B20" i="74"/>
  <c r="B19" i="74"/>
  <c r="J19" i="74" s="1"/>
  <c r="N18" i="74"/>
  <c r="P18" i="74" s="1"/>
  <c r="M18" i="74"/>
  <c r="O18" i="74" s="1"/>
  <c r="J18" i="74"/>
  <c r="G18" i="74"/>
  <c r="F18" i="74"/>
  <c r="H18" i="74" s="1"/>
  <c r="D18" i="74"/>
  <c r="E18" i="74" s="1"/>
  <c r="C18" i="74"/>
  <c r="B18" i="74"/>
  <c r="K18" i="74" s="1"/>
  <c r="B17" i="74"/>
  <c r="B16" i="74"/>
  <c r="K16" i="74" s="1"/>
  <c r="K15" i="74"/>
  <c r="J15" i="74"/>
  <c r="L15" i="74" s="1"/>
  <c r="G15" i="74"/>
  <c r="B15" i="74"/>
  <c r="B14" i="74"/>
  <c r="B13" i="74"/>
  <c r="K12" i="74"/>
  <c r="B12" i="74"/>
  <c r="B11" i="74"/>
  <c r="N10" i="74"/>
  <c r="P10" i="74" s="1"/>
  <c r="M10" i="74"/>
  <c r="O10" i="74" s="1"/>
  <c r="G10" i="74"/>
  <c r="B10" i="74"/>
  <c r="P9" i="74"/>
  <c r="O9" i="74"/>
  <c r="K9" i="74"/>
  <c r="J9" i="74"/>
  <c r="G9" i="74"/>
  <c r="N9" i="74" s="1"/>
  <c r="F9" i="74"/>
  <c r="M9" i="74" s="1"/>
  <c r="P4" i="74"/>
  <c r="O23" i="74" l="1"/>
  <c r="I18" i="74"/>
  <c r="N25" i="74"/>
  <c r="P25" i="74" s="1"/>
  <c r="F25" i="74"/>
  <c r="H25" i="74" s="1"/>
  <c r="D25" i="74"/>
  <c r="G24" i="74"/>
  <c r="I24" i="74" s="1"/>
  <c r="J24" i="74"/>
  <c r="K24" i="74"/>
  <c r="L24" i="74" s="1"/>
  <c r="M23" i="74"/>
  <c r="F23" i="74"/>
  <c r="D23" i="74"/>
  <c r="C23" i="74"/>
  <c r="M22" i="74"/>
  <c r="N22" i="74"/>
  <c r="J22" i="74"/>
  <c r="G22" i="74"/>
  <c r="I22" i="74" s="1"/>
  <c r="F22" i="74"/>
  <c r="D22" i="74"/>
  <c r="M20" i="74"/>
  <c r="N20" i="74"/>
  <c r="J20" i="74"/>
  <c r="G20" i="74"/>
  <c r="I20" i="74" s="1"/>
  <c r="F20" i="74"/>
  <c r="D20" i="74"/>
  <c r="F17" i="74"/>
  <c r="K17" i="74"/>
  <c r="J17" i="74"/>
  <c r="L17" i="74" s="1"/>
  <c r="G17" i="74"/>
  <c r="N15" i="74"/>
  <c r="F15" i="74"/>
  <c r="H15" i="74" s="1"/>
  <c r="D15" i="74"/>
  <c r="J14" i="74"/>
  <c r="K14" i="74"/>
  <c r="N13" i="74"/>
  <c r="P13" i="74" s="1"/>
  <c r="F13" i="74"/>
  <c r="D13" i="74"/>
  <c r="F12" i="74"/>
  <c r="J12" i="74"/>
  <c r="L12" i="74" s="1"/>
  <c r="G12" i="74"/>
  <c r="J11" i="74"/>
  <c r="K11" i="74"/>
  <c r="K10" i="74"/>
  <c r="F10" i="74"/>
  <c r="H10" i="74" s="1"/>
  <c r="D10" i="74"/>
  <c r="L14" i="74"/>
  <c r="P15" i="74"/>
  <c r="O15" i="74"/>
  <c r="K19" i="74"/>
  <c r="L19" i="74" s="1"/>
  <c r="K21" i="74"/>
  <c r="L21" i="74" s="1"/>
  <c r="H22" i="74"/>
  <c r="L11" i="74"/>
  <c r="M11" i="74"/>
  <c r="M21" i="74"/>
  <c r="C21" i="74"/>
  <c r="N21" i="74"/>
  <c r="P21" i="74" s="1"/>
  <c r="M16" i="74"/>
  <c r="N16" i="74"/>
  <c r="M19" i="74"/>
  <c r="I10" i="74"/>
  <c r="D11" i="74"/>
  <c r="D19" i="74"/>
  <c r="N19" i="74"/>
  <c r="P19" i="74" s="1"/>
  <c r="D21" i="74"/>
  <c r="G25" i="74"/>
  <c r="I15" i="74"/>
  <c r="C16" i="74"/>
  <c r="M12" i="74"/>
  <c r="D14" i="74"/>
  <c r="E14" i="74" s="1"/>
  <c r="N14" i="74"/>
  <c r="P14" i="74" s="1"/>
  <c r="L18" i="74"/>
  <c r="F19" i="74"/>
  <c r="K20" i="74"/>
  <c r="F21" i="74"/>
  <c r="K22" i="74"/>
  <c r="G23" i="74"/>
  <c r="I23" i="74" s="1"/>
  <c r="C24" i="74"/>
  <c r="M24" i="74"/>
  <c r="J25" i="74"/>
  <c r="C11" i="74"/>
  <c r="N11" i="74"/>
  <c r="P11" i="74" s="1"/>
  <c r="G13" i="74"/>
  <c r="I13" i="74" s="1"/>
  <c r="C14" i="74"/>
  <c r="M14" i="74"/>
  <c r="D16" i="74"/>
  <c r="C19" i="74"/>
  <c r="F16" i="74"/>
  <c r="M17" i="74"/>
  <c r="J10" i="74"/>
  <c r="L10" i="74" s="1"/>
  <c r="F11" i="74"/>
  <c r="C12" i="74"/>
  <c r="N12" i="74"/>
  <c r="P12" i="74" s="1"/>
  <c r="J13" i="74"/>
  <c r="F14" i="74"/>
  <c r="M15" i="74"/>
  <c r="G16" i="74"/>
  <c r="I16" i="74" s="1"/>
  <c r="C17" i="74"/>
  <c r="N17" i="74"/>
  <c r="P17" i="74" s="1"/>
  <c r="C10" i="74"/>
  <c r="G11" i="74"/>
  <c r="I11" i="74" s="1"/>
  <c r="D12" i="74"/>
  <c r="K13" i="74"/>
  <c r="G14" i="74"/>
  <c r="I14" i="74" s="1"/>
  <c r="C15" i="74"/>
  <c r="D17" i="74"/>
  <c r="G19" i="74"/>
  <c r="I19" i="74" s="1"/>
  <c r="C20" i="74"/>
  <c r="G21" i="74"/>
  <c r="I21" i="74" s="1"/>
  <c r="C22" i="74"/>
  <c r="J23" i="74"/>
  <c r="L23" i="74" s="1"/>
  <c r="D24" i="74"/>
  <c r="N24" i="74"/>
  <c r="K25" i="74"/>
  <c r="L25" i="74" s="1"/>
  <c r="M13" i="74"/>
  <c r="O13" i="74" s="1"/>
  <c r="F24" i="74"/>
  <c r="H24" i="74" s="1"/>
  <c r="M25" i="74"/>
  <c r="O25" i="74" s="1"/>
  <c r="J16" i="74"/>
  <c r="L16" i="74" s="1"/>
  <c r="C13" i="74"/>
  <c r="C25" i="74"/>
  <c r="O24" i="74"/>
  <c r="P16" i="74"/>
  <c r="P24" i="74"/>
  <c r="I25" i="74"/>
  <c r="O11" i="74"/>
  <c r="P20" i="74" l="1"/>
  <c r="O20" i="74"/>
  <c r="H20" i="74"/>
  <c r="E21" i="74"/>
  <c r="L20" i="74"/>
  <c r="L22" i="74"/>
  <c r="E16" i="74"/>
  <c r="E23" i="74"/>
  <c r="E10" i="74"/>
  <c r="E13" i="74"/>
  <c r="E25" i="74"/>
  <c r="L13" i="74"/>
  <c r="E15" i="74"/>
  <c r="E17" i="74"/>
  <c r="E20" i="74"/>
  <c r="E22" i="74"/>
  <c r="O22" i="74"/>
  <c r="P22" i="74"/>
  <c r="H17" i="74"/>
  <c r="I17" i="74"/>
  <c r="I12" i="74"/>
  <c r="H12" i="74"/>
  <c r="O14" i="74"/>
  <c r="H11" i="74"/>
  <c r="O12" i="74"/>
  <c r="O21" i="74"/>
  <c r="H21" i="74"/>
  <c r="O19" i="74"/>
  <c r="E24" i="74"/>
  <c r="O17" i="74"/>
  <c r="E11" i="74"/>
  <c r="H19" i="74"/>
  <c r="O16" i="74"/>
  <c r="H16" i="74"/>
  <c r="H23" i="74"/>
  <c r="H14" i="74"/>
  <c r="E12" i="74"/>
  <c r="E19" i="74"/>
  <c r="H13" i="74"/>
  <c r="Q4" i="66" l="1"/>
  <c r="Q4" i="65"/>
  <c r="M4" i="69"/>
  <c r="N4" i="4"/>
  <c r="O4" i="2"/>
  <c r="M4" i="68" l="1"/>
  <c r="L4" i="53" l="1"/>
  <c r="N4" i="26"/>
  <c r="P4" i="64" l="1"/>
</calcChain>
</file>

<file path=xl/sharedStrings.xml><?xml version="1.0" encoding="utf-8"?>
<sst xmlns="http://schemas.openxmlformats.org/spreadsheetml/2006/main" count="2141" uniqueCount="835">
  <si>
    <t>Jedn.</t>
  </si>
  <si>
    <t>Min</t>
  </si>
  <si>
    <t>Max</t>
  </si>
  <si>
    <t>kg</t>
  </si>
  <si>
    <t>Boczniaki</t>
  </si>
  <si>
    <t>Cebula biała</t>
  </si>
  <si>
    <t>Kapusta biała</t>
  </si>
  <si>
    <t>Marchew</t>
  </si>
  <si>
    <t>Ogórki długie</t>
  </si>
  <si>
    <t>Ogórki gruntowe</t>
  </si>
  <si>
    <t>Ogórki krótkie</t>
  </si>
  <si>
    <t>Pieczarki</t>
  </si>
  <si>
    <t>Pietruszka</t>
  </si>
  <si>
    <t>Pomidory</t>
  </si>
  <si>
    <t>Rzodkiewka</t>
  </si>
  <si>
    <t>Sałata</t>
  </si>
  <si>
    <t>szt.</t>
  </si>
  <si>
    <t>Ziemniaki</t>
  </si>
  <si>
    <t>Gruszki</t>
  </si>
  <si>
    <t>Czosnek</t>
  </si>
  <si>
    <t>Kalafiory</t>
  </si>
  <si>
    <t>Papryka czerwona</t>
  </si>
  <si>
    <t>Papryka zielona</t>
  </si>
  <si>
    <t>Papryka żółta</t>
  </si>
  <si>
    <t>Pory</t>
  </si>
  <si>
    <t>Ananasy</t>
  </si>
  <si>
    <t>Arbuzy</t>
  </si>
  <si>
    <t>Banany</t>
  </si>
  <si>
    <t>Brzoskwinie</t>
  </si>
  <si>
    <t>Cytryny</t>
  </si>
  <si>
    <t>Grejpfruty</t>
  </si>
  <si>
    <t>Jabłka</t>
  </si>
  <si>
    <t>Mandarynki</t>
  </si>
  <si>
    <t>Pomarańcze</t>
  </si>
  <si>
    <t>Winogrona</t>
  </si>
  <si>
    <t>Miejscowość</t>
  </si>
  <si>
    <t>Data notowania</t>
  </si>
  <si>
    <t>KRAJOWE</t>
  </si>
  <si>
    <t>Selery</t>
  </si>
  <si>
    <t>Truskawki</t>
  </si>
  <si>
    <t>Śliwki</t>
  </si>
  <si>
    <t>DICTIONARY</t>
  </si>
  <si>
    <t xml:space="preserve">       WARZYWA</t>
  </si>
  <si>
    <t>VEGETABLES</t>
  </si>
  <si>
    <t>OWOCE</t>
  </si>
  <si>
    <t xml:space="preserve">FRUITS </t>
  </si>
  <si>
    <t>Buraki czerwone</t>
  </si>
  <si>
    <t>Red beets</t>
  </si>
  <si>
    <t>Watermelons</t>
  </si>
  <si>
    <t>Onions dry</t>
  </si>
  <si>
    <t xml:space="preserve">Bananas     </t>
  </si>
  <si>
    <t>Garlic</t>
  </si>
  <si>
    <t>Peaches</t>
  </si>
  <si>
    <t>Cauliflowers</t>
  </si>
  <si>
    <t xml:space="preserve">Lemons    </t>
  </si>
  <si>
    <t>Cabbage- white</t>
  </si>
  <si>
    <t>Grapefruity</t>
  </si>
  <si>
    <t xml:space="preserve">Grapefruit   </t>
  </si>
  <si>
    <t>Carrots</t>
  </si>
  <si>
    <t xml:space="preserve">Gruszki </t>
  </si>
  <si>
    <t xml:space="preserve">Pears  </t>
  </si>
  <si>
    <t>Cucumbers</t>
  </si>
  <si>
    <t>Apples</t>
  </si>
  <si>
    <t>Gherkins</t>
  </si>
  <si>
    <t>Kiwi</t>
  </si>
  <si>
    <t>Kiwifruit</t>
  </si>
  <si>
    <t>Cucumbers field</t>
  </si>
  <si>
    <t>Tangerine</t>
  </si>
  <si>
    <t xml:space="preserve">Peppers - red </t>
  </si>
  <si>
    <t>Nektaryny</t>
  </si>
  <si>
    <t xml:space="preserve">Nectarines </t>
  </si>
  <si>
    <t>Peppers - yellow</t>
  </si>
  <si>
    <t xml:space="preserve">Oranges  </t>
  </si>
  <si>
    <t xml:space="preserve">Peppers - green </t>
  </si>
  <si>
    <t>Porzeczki czarne</t>
  </si>
  <si>
    <t xml:space="preserve">Black currant </t>
  </si>
  <si>
    <t xml:space="preserve">Parsley </t>
  </si>
  <si>
    <t>Porzeczki czerwone</t>
  </si>
  <si>
    <t>Red currant</t>
  </si>
  <si>
    <t>Pomidory szklarn.</t>
  </si>
  <si>
    <t>Tomatoes greenhouse</t>
  </si>
  <si>
    <t xml:space="preserve">Plums </t>
  </si>
  <si>
    <t>Pomodory gruntowe</t>
  </si>
  <si>
    <t xml:space="preserve">Tomatoes </t>
  </si>
  <si>
    <t xml:space="preserve">Strawberries </t>
  </si>
  <si>
    <t>Leeks</t>
  </si>
  <si>
    <t>Grapes</t>
  </si>
  <si>
    <t xml:space="preserve">Radish </t>
  </si>
  <si>
    <t>Wiśnie</t>
  </si>
  <si>
    <t>Cherries</t>
  </si>
  <si>
    <t>Lettuce</t>
  </si>
  <si>
    <t>GRZYBY</t>
  </si>
  <si>
    <t>MUSHROOMS</t>
  </si>
  <si>
    <t>Celeriac</t>
  </si>
  <si>
    <t>Boczniak</t>
  </si>
  <si>
    <t>Potatoes</t>
  </si>
  <si>
    <t xml:space="preserve">        </t>
  </si>
  <si>
    <t>Cena zł/jedn</t>
  </si>
  <si>
    <t>Zmiany ceny (%)</t>
  </si>
  <si>
    <t>2 tyg.</t>
  </si>
  <si>
    <t>3 tyg.</t>
  </si>
  <si>
    <t>4 tyg.</t>
  </si>
  <si>
    <t>Warzywa krajowe</t>
  </si>
  <si>
    <t>Buraki ćwikłowe</t>
  </si>
  <si>
    <t>Champignons</t>
  </si>
  <si>
    <t>Jabłka:</t>
  </si>
  <si>
    <t>Pomidory malinowe</t>
  </si>
  <si>
    <t>Kraj</t>
  </si>
  <si>
    <t>Wartość [tys. EUR]</t>
  </si>
  <si>
    <t>OGÓŁEM</t>
  </si>
  <si>
    <t>Egipt</t>
  </si>
  <si>
    <t>Białoruś</t>
  </si>
  <si>
    <t>Rumunia</t>
  </si>
  <si>
    <t>India</t>
  </si>
  <si>
    <t>Republika Czeska</t>
  </si>
  <si>
    <t>Niemcy</t>
  </si>
  <si>
    <t>Hiszpania</t>
  </si>
  <si>
    <t>Wielka Brytania</t>
  </si>
  <si>
    <t>Szwecja</t>
  </si>
  <si>
    <t>Litwa</t>
  </si>
  <si>
    <t>Eksport jabłek (CN 080810) wg. ważniejszych krajów</t>
  </si>
  <si>
    <t>Francja</t>
  </si>
  <si>
    <t>Grecja</t>
  </si>
  <si>
    <t>Portugalia</t>
  </si>
  <si>
    <t>Włochy</t>
  </si>
  <si>
    <t>Peru</t>
  </si>
  <si>
    <t>EKSPORT/WYWÓZ</t>
  </si>
  <si>
    <t>IMPORT/PRZYWÓZ</t>
  </si>
  <si>
    <t>SALDO</t>
  </si>
  <si>
    <t>CN</t>
  </si>
  <si>
    <t>Nazwa towaru</t>
  </si>
  <si>
    <t>Wolumen [tony]</t>
  </si>
  <si>
    <t>0701</t>
  </si>
  <si>
    <t>Ziemniaki, świeże lub chłodzone</t>
  </si>
  <si>
    <t>0702</t>
  </si>
  <si>
    <t>Pomidory świeże lub chłodzone</t>
  </si>
  <si>
    <t>0703</t>
  </si>
  <si>
    <t>Cebula, szalotka, czosnek, pory oraz inne warzywa</t>
  </si>
  <si>
    <t>0704</t>
  </si>
  <si>
    <t xml:space="preserve">Kapusta, kalafiory, kalarepa, kapusta włoska, </t>
  </si>
  <si>
    <t>0705</t>
  </si>
  <si>
    <t>Sałata (Lactuca sativa) i cykoria (Cichorium spp.),</t>
  </si>
  <si>
    <t>0706</t>
  </si>
  <si>
    <t>Marchew, rzepa, buraki sałatkowe, salsefia, selery,</t>
  </si>
  <si>
    <t>0707</t>
  </si>
  <si>
    <t>Ogórki  i korniszony świeże</t>
  </si>
  <si>
    <t>0708</t>
  </si>
  <si>
    <t xml:space="preserve">Warzywa strączkowe, nawet łuskane, świeże </t>
  </si>
  <si>
    <t>0803</t>
  </si>
  <si>
    <t>0805</t>
  </si>
  <si>
    <t>Owoce cytrusowe, świeże lub suszone</t>
  </si>
  <si>
    <t>0806</t>
  </si>
  <si>
    <t>Winogrona, świeże lub suszone</t>
  </si>
  <si>
    <t>0807</t>
  </si>
  <si>
    <t>Melony (łącznie z arbuzami) i papaje, świeże</t>
  </si>
  <si>
    <t>0808</t>
  </si>
  <si>
    <t>Jabłka, gruszki i pigwy, świeże</t>
  </si>
  <si>
    <t>0809</t>
  </si>
  <si>
    <t>Morele, wiśnie, brzoskwinie (łącznie z nektarynami),</t>
  </si>
  <si>
    <t>Ukraina</t>
  </si>
  <si>
    <t>Łotwa</t>
  </si>
  <si>
    <t>Eksport pomidorów (CN 070200) wg. ważniejszych krajów</t>
  </si>
  <si>
    <t>0804</t>
  </si>
  <si>
    <t xml:space="preserve">Daktyle, figi, ananasy, avokado, guawa, mango </t>
  </si>
  <si>
    <t>0810</t>
  </si>
  <si>
    <t>Pozostałe owoce, świeże</t>
  </si>
  <si>
    <t>Owoce krajowe</t>
  </si>
  <si>
    <t>Holandia</t>
  </si>
  <si>
    <t>Ligol</t>
  </si>
  <si>
    <t>Szampion</t>
  </si>
  <si>
    <t>pęczek</t>
  </si>
  <si>
    <t>0709</t>
  </si>
  <si>
    <t>Inne warzywa świeże lub chłodzone</t>
  </si>
  <si>
    <t>0710</t>
  </si>
  <si>
    <t>Warzywa niegotowane lub gotowane na parze, zamrożone</t>
  </si>
  <si>
    <t>0711</t>
  </si>
  <si>
    <t>Warzywa zakonserwowane tymczasowo</t>
  </si>
  <si>
    <t>0712</t>
  </si>
  <si>
    <t>Warzywa suszone, całe, cięte w kawałki</t>
  </si>
  <si>
    <t>0713</t>
  </si>
  <si>
    <t xml:space="preserve">Suszone warzywa strączkowe, łuskane, ze skórką </t>
  </si>
  <si>
    <t>0714</t>
  </si>
  <si>
    <t>Maniok, maranta, salep, karczochy jerozolimskie,</t>
  </si>
  <si>
    <t>0801</t>
  </si>
  <si>
    <t>Orzechy kokosowe, orzechy brazylijskie i orzechy</t>
  </si>
  <si>
    <t>0802</t>
  </si>
  <si>
    <t>Pozostałe orzechy, świeże lub suszone, nawet łuskane</t>
  </si>
  <si>
    <t>Pomidory okrągłe</t>
  </si>
  <si>
    <t>Gala</t>
  </si>
  <si>
    <t>Golden delicious</t>
  </si>
  <si>
    <t>Idared</t>
  </si>
  <si>
    <t>Mołdowa</t>
  </si>
  <si>
    <t xml:space="preserve">Średnie ceny zakupu warzyw (luzem) płacone przez podmioty handlu detalicznego </t>
  </si>
  <si>
    <t xml:space="preserve">Średnie ceny zakupu jabłek (luzem) płacone przez podmioty handlu detalicznego </t>
  </si>
  <si>
    <t>Węgry</t>
  </si>
  <si>
    <t>Bronisze</t>
  </si>
  <si>
    <t>Ogórki szklarniowe</t>
  </si>
  <si>
    <t>Jonagold/Jonagored</t>
  </si>
  <si>
    <t>Poznań</t>
  </si>
  <si>
    <t>--</t>
  </si>
  <si>
    <t>Lobo</t>
  </si>
  <si>
    <t>Boskoop</t>
  </si>
  <si>
    <t xml:space="preserve">      dla producentów owoców i warzyw</t>
  </si>
  <si>
    <t xml:space="preserve">     Krajowa Rada Izb Rolniczych    </t>
  </si>
  <si>
    <t>Parzniew ul. Przyszłości 5, 05-804 Pruszków</t>
  </si>
  <si>
    <t xml:space="preserve">      tel. 881-939-421, www.krir.pl, sekretariat@krir.pl </t>
  </si>
  <si>
    <t xml:space="preserve">Serwis znajduje się obecnie w fazie rozwoju i dotyczy wybranych produktów w niektórych województwach.                                                                                                  </t>
  </si>
  <si>
    <t>Województwo/Towar</t>
  </si>
  <si>
    <t>Mazowieckie</t>
  </si>
  <si>
    <t>Świętokrzyskie</t>
  </si>
  <si>
    <t>Wielkopolskie</t>
  </si>
  <si>
    <t>tygodniowa zmiana ceny w %</t>
  </si>
  <si>
    <r>
      <t xml:space="preserve">Jabłka </t>
    </r>
    <r>
      <rPr>
        <sz val="12"/>
        <rFont val="Calibri"/>
        <family val="2"/>
        <charset val="238"/>
        <scheme val="minor"/>
      </rPr>
      <t>(op.5-20 kg) Golden delicious (70/80mm)</t>
    </r>
  </si>
  <si>
    <r>
      <t>Jabłka</t>
    </r>
    <r>
      <rPr>
        <sz val="12"/>
        <rFont val="Calibri"/>
        <family val="2"/>
        <charset val="238"/>
        <scheme val="minor"/>
      </rPr>
      <t xml:space="preserve"> (op.5-20 kg) Jonagold+Jonagored (70/80mm)</t>
    </r>
  </si>
  <si>
    <r>
      <t>Jabłka</t>
    </r>
    <r>
      <rPr>
        <sz val="12"/>
        <rFont val="Calibri"/>
        <family val="2"/>
        <charset val="238"/>
        <scheme val="minor"/>
      </rPr>
      <t xml:space="preserve"> (op.5-20 kg) Idared (70/80mm)</t>
    </r>
  </si>
  <si>
    <r>
      <t>Jabłka</t>
    </r>
    <r>
      <rPr>
        <sz val="12"/>
        <rFont val="Calibri"/>
        <family val="2"/>
        <charset val="238"/>
        <scheme val="minor"/>
      </rPr>
      <t xml:space="preserve"> (op.5-20 kg) Shampion (70/80mm)</t>
    </r>
  </si>
  <si>
    <r>
      <t xml:space="preserve">Jabłka </t>
    </r>
    <r>
      <rPr>
        <sz val="12"/>
        <rFont val="Calibri"/>
        <family val="2"/>
        <charset val="238"/>
        <scheme val="minor"/>
      </rPr>
      <t>(op.5-20 kg) Boskoop (70/80mm)</t>
    </r>
  </si>
  <si>
    <r>
      <t>Jabłka</t>
    </r>
    <r>
      <rPr>
        <sz val="12"/>
        <rFont val="Calibri"/>
        <family val="2"/>
        <charset val="238"/>
        <scheme val="minor"/>
      </rPr>
      <t xml:space="preserve"> (op.5-20 kg) Gala (65/70mm)</t>
    </r>
  </si>
  <si>
    <t>Gruszki (op.5-20 kg) Lukasówka (65/70 mm)</t>
  </si>
  <si>
    <r>
      <t xml:space="preserve">Cebula żółta </t>
    </r>
    <r>
      <rPr>
        <sz val="12"/>
        <rFont val="Calibri"/>
        <family val="2"/>
        <charset val="238"/>
        <scheme val="minor"/>
      </rPr>
      <t>40-80 mm; op.5-25 kg</t>
    </r>
  </si>
  <si>
    <t>Cebula biała 40-80 mm op.5-25 kg</t>
  </si>
  <si>
    <r>
      <t xml:space="preserve">Marchew </t>
    </r>
    <r>
      <rPr>
        <sz val="12"/>
        <rFont val="Calibri"/>
        <family val="2"/>
        <charset val="238"/>
        <scheme val="minor"/>
      </rPr>
      <t>wszystkie odmiany pakowane luzem</t>
    </r>
  </si>
  <si>
    <t>Pietruszka korzeń op. 10 kg</t>
  </si>
  <si>
    <t>Pomidory, typ okrągły; op. 5-6-kg</t>
  </si>
  <si>
    <t>Ogórki, typ gładkie; op. 5-6 kg</t>
  </si>
  <si>
    <t>Seler</t>
  </si>
  <si>
    <t>Sałata masłowa za główkę</t>
  </si>
  <si>
    <t>Szparagi biało/fioletowe &gt;16mm</t>
  </si>
  <si>
    <t>Burak ćwikłowy op. 10-15 kg</t>
  </si>
  <si>
    <t>Kalafiory 12-20 cm</t>
  </si>
  <si>
    <t>Kapusta biała zł/kg</t>
  </si>
  <si>
    <t>Rzodkiewka za pęczek 1 szt</t>
  </si>
  <si>
    <t>Ziemniaki  (op. 15 kg)</t>
  </si>
  <si>
    <t>Pieczarki 30-65 mm</t>
  </si>
  <si>
    <t>Ogrodniczy Informator Cenowy</t>
  </si>
  <si>
    <t xml:space="preserve">Zakład Ekonomiki Gospodarstw Rolnych i Ogrodniczych </t>
  </si>
  <si>
    <t xml:space="preserve">00-950 Warszawa, ul.Świętokrzyska 20, P.O. Box  984 </t>
  </si>
  <si>
    <t>kujawsko-pomor.</t>
  </si>
  <si>
    <t>lubelskie</t>
  </si>
  <si>
    <t>lubuskie</t>
  </si>
  <si>
    <t>łódzkie</t>
  </si>
  <si>
    <t>małopolskie</t>
  </si>
  <si>
    <t>mazowieckie</t>
  </si>
  <si>
    <t>podkarpackie</t>
  </si>
  <si>
    <t>podlaskie</t>
  </si>
  <si>
    <t>śląskie</t>
  </si>
  <si>
    <t>świętokrzyskie</t>
  </si>
  <si>
    <t>wielkopolskie</t>
  </si>
  <si>
    <t>zachodnio-pomor.</t>
  </si>
  <si>
    <t>średnio</t>
  </si>
  <si>
    <t>tydzień temu</t>
  </si>
  <si>
    <t>rok temu</t>
  </si>
  <si>
    <t>Województwo</t>
  </si>
  <si>
    <t xml:space="preserve">Cebula </t>
  </si>
  <si>
    <t>małopol.</t>
  </si>
  <si>
    <t>mazowiec.</t>
  </si>
  <si>
    <t>podkarp.</t>
  </si>
  <si>
    <t>Cena średnia</t>
  </si>
  <si>
    <t>Marchew  (myta)</t>
  </si>
  <si>
    <t>s/"suchy" przemysł, */jabłka w kal. 65+ i do średniej nie wliczana jest odmiana Antonówka</t>
  </si>
  <si>
    <t>Kalisz</t>
  </si>
  <si>
    <t>nld</t>
  </si>
  <si>
    <t>Pomidory typu "cherry"</t>
  </si>
  <si>
    <t>Odmiany, dla których zbierane są dane:</t>
  </si>
  <si>
    <t>Jonagored</t>
  </si>
  <si>
    <t>Pomidory na gałązkach</t>
  </si>
  <si>
    <t>Golden</t>
  </si>
  <si>
    <t>Kapusta włoska</t>
  </si>
  <si>
    <t>kujawsko-pomorskie</t>
  </si>
  <si>
    <t xml:space="preserve">        Tygodniowy Serwis Cenowy</t>
  </si>
  <si>
    <t>---</t>
  </si>
  <si>
    <t>Czosnek/a</t>
  </si>
  <si>
    <t xml:space="preserve"> </t>
  </si>
  <si>
    <t>Rzodkiewka/b</t>
  </si>
  <si>
    <t>Kazachstan</t>
  </si>
  <si>
    <t>Gloster</t>
  </si>
  <si>
    <t>a/sztuka,b/peczek</t>
  </si>
  <si>
    <t>Jabłka (razem)</t>
  </si>
  <si>
    <t>Gruszki (razem)</t>
  </si>
  <si>
    <t>OWOCE z importu - luzem</t>
  </si>
  <si>
    <t>WARZYWA krajowe - luzem</t>
  </si>
  <si>
    <t>WARZYWA z importu - luzem</t>
  </si>
  <si>
    <t>WARZYWA krajowe - opakowania do 2 kg</t>
  </si>
  <si>
    <t>WARZYWA z importu - do 2 kg</t>
  </si>
  <si>
    <t>Instytut Ekonomiki Rolnictwa i Gospodarki Żywnościowej  Państwowy Instytut Badawczy</t>
  </si>
  <si>
    <t>Borówki amerykańskie</t>
  </si>
  <si>
    <t>OWOCE krajowe - luzem</t>
  </si>
  <si>
    <t>Cebula biała obierana</t>
  </si>
  <si>
    <t>Szara Reneta</t>
  </si>
  <si>
    <t>przemyslowe</t>
  </si>
  <si>
    <t>Jabłka  deserowe</t>
  </si>
  <si>
    <t>Jabłka przemysłowe</t>
  </si>
  <si>
    <t>Boskoop, Cortland, Elstar, Gala, Gloster, Golden delicious, Idared, Jonagold/Jonagored, Ligol, Lobo, Red delicious, Shampion</t>
  </si>
  <si>
    <t>Jonagold</t>
  </si>
  <si>
    <t>przemysłowe</t>
  </si>
  <si>
    <t>0,32-0,36lz</t>
  </si>
  <si>
    <t>0,31-0,35lz</t>
  </si>
  <si>
    <t>0,32-0,35lz</t>
  </si>
  <si>
    <t>0,36lz</t>
  </si>
  <si>
    <t>0,27-0,33lz</t>
  </si>
  <si>
    <t>ZMIANY ŚREDNICH CEN HURTOWYCH DLA WYBRANEGO ASORTYMENTU OWOCÓW I WARZYW</t>
  </si>
  <si>
    <t>TOWAR</t>
  </si>
  <si>
    <t>(zł/100 kg)</t>
  </si>
  <si>
    <t xml:space="preserve"> ZINTEGROWANY SYSTEM ROLNICZEJ INFORMACJI RYNKOWEJ</t>
  </si>
  <si>
    <t>Rynek</t>
  </si>
  <si>
    <t>zsrir.minrol.gov.pl</t>
  </si>
  <si>
    <t xml:space="preserve">owoców i warzyw </t>
  </si>
  <si>
    <t>SPIS TREŚCI</t>
  </si>
  <si>
    <t>ZMIANY CEN HURTOWYCH</t>
  </si>
  <si>
    <t>CENY HURTOWE WARZYW</t>
  </si>
  <si>
    <t>CENY HURTOWE OWOCÓW</t>
  </si>
  <si>
    <t>CENY OWOCÓW ORGANIZACJI PRODUCENTÓW</t>
  </si>
  <si>
    <t>CENY OWOCÓW DO PRZETWORSTWA</t>
  </si>
  <si>
    <t>CENY WARZYW DO PRZETWORSTWA</t>
  </si>
  <si>
    <t>CENY DETALICZNE OWOCÓW</t>
  </si>
  <si>
    <t>CENY DETALICZNE WARZYW</t>
  </si>
  <si>
    <t>WYKRESY - OWOCE DETAL</t>
  </si>
  <si>
    <t>WYKRESY - WARZYWA DETAL</t>
  </si>
  <si>
    <t>IERGZ - CENY WARZYW</t>
  </si>
  <si>
    <t>IRGZ- CENY W ZAKŁADACH PRZETWÓRCZYCH I SPÓLDZIELNIACH</t>
  </si>
  <si>
    <t>IRGZ- CENY OWOCÓW</t>
  </si>
  <si>
    <t>CENY OWOCÓW I WARZY - KIRR</t>
  </si>
  <si>
    <t>HANDEL ZAGRANICZNY</t>
  </si>
  <si>
    <t>POMOC</t>
  </si>
  <si>
    <t>Produkt</t>
  </si>
  <si>
    <t>w stosunku do poprzedniego notowania*)</t>
  </si>
  <si>
    <t xml:space="preserve">Owoce </t>
  </si>
  <si>
    <t>Słowacja</t>
  </si>
  <si>
    <t xml:space="preserve">według ważniejszych krajów </t>
  </si>
  <si>
    <t>Źródło danych: Ministerstwo Finansów</t>
  </si>
  <si>
    <t>UWAGA! DANE W TRAKCIE WERYFIKACJI - MOGĄ BYĆ OBARCZONE ISTOTNYMI BŁĘDAMI</t>
  </si>
  <si>
    <t>Irlandia</t>
  </si>
  <si>
    <t>HANDEL ZAGRANICZNY I-XI 2025 - DANE WSTĘPNE</t>
  </si>
  <si>
    <t>Turcja</t>
  </si>
  <si>
    <t>Maroko</t>
  </si>
  <si>
    <t>Iran</t>
  </si>
  <si>
    <t>ŚREDNIE CENY ZAKUPU JABŁEK I GRUSZEK PŁACONE PRZEZ ORGANIZACJE PRODUCENTÓW - najważniejsze odmiany</t>
  </si>
  <si>
    <t>ŚREDNIE CENY SPRZEDAŻY JABŁEK I GRUSZEK PŁACONE PRZEZ ORGANIZACJE PRODUCENTÓW - główne odmiany</t>
  </si>
  <si>
    <t>ŚREDNIE CENY ZAKUPU OWOCÓW PŁACONE PRZEZ PODMIOTY ZAJMUJĄCE SIĘ PRZETWÓRSTWEM</t>
  </si>
  <si>
    <t>Kapusta pekińska</t>
  </si>
  <si>
    <t xml:space="preserve">ŚREDNIE CENY OWOCÓW NA RYNKACH HURTOWYCH </t>
  </si>
  <si>
    <t>ŚREDNIE CENY WARZYW NA RYNKACH HURTOWYCH</t>
  </si>
  <si>
    <t>Maliny</t>
  </si>
  <si>
    <t>tel.  (22) 505 44 32, e-mail: Tomasz.Smolenski@ierigz.waw.pl</t>
  </si>
  <si>
    <t>Nektarynki</t>
  </si>
  <si>
    <t>I-XII 2024r.</t>
  </si>
  <si>
    <t>I-XII 2025r.*</t>
  </si>
  <si>
    <t>Wolumen   [tony]</t>
  </si>
  <si>
    <t>Jordania</t>
  </si>
  <si>
    <t>Kapusta młoda</t>
  </si>
  <si>
    <t>Ziemniaki młode</t>
  </si>
  <si>
    <t>Zmiana % w stosunku do poprzedniego okresu</t>
  </si>
  <si>
    <t>Zmiana %
 w stosunku do okresu sprzed roku</t>
  </si>
  <si>
    <t>Belgia</t>
  </si>
  <si>
    <t>HANDEL ZAGRANICZNY - DANE WSTĘPNE</t>
  </si>
  <si>
    <t>Buraki młode</t>
  </si>
  <si>
    <t>0,65lz-0,75lz</t>
  </si>
  <si>
    <t>0,65lz-0,90lz-1,15lz-1,20lz</t>
  </si>
  <si>
    <t>Morele</t>
  </si>
  <si>
    <t>Czereśnie</t>
  </si>
  <si>
    <t>lz/ cena loco zakład, k/kontraktacja,kl.I/klasa I, kl.II/klasa II,extra/klasa ekstra,m/"mokry" przemysł,s/ "suchy" przemysł,W/Węgierka</t>
  </si>
  <si>
    <t>Ogórki</t>
  </si>
  <si>
    <t>Bułgaria</t>
  </si>
  <si>
    <t>Norwegia</t>
  </si>
  <si>
    <t>Kostaryka</t>
  </si>
  <si>
    <t>Chiny</t>
  </si>
  <si>
    <t>Brazylia</t>
  </si>
  <si>
    <t>Łódź</t>
  </si>
  <si>
    <t>Rabarbar</t>
  </si>
  <si>
    <t>0,50-0,60lz-0,90lz-1,20lz</t>
  </si>
  <si>
    <t>Marchew młoda</t>
  </si>
  <si>
    <t>Pory młode</t>
  </si>
  <si>
    <t>Agrest</t>
  </si>
  <si>
    <t>Kaputa wczesna/a</t>
  </si>
  <si>
    <t>z szyp[ułką</t>
  </si>
  <si>
    <t>1,00lz-1,25lz 1,30;-1,40lz-1,60lz/do obierania</t>
  </si>
  <si>
    <t>2,50lz-2,50lz</t>
  </si>
  <si>
    <t>3,50lz</t>
  </si>
  <si>
    <t>2,50lz-3,00lz</t>
  </si>
  <si>
    <t>3,50-3,50lz-4,50lz</t>
  </si>
  <si>
    <t>2,50lz-3,50lz</t>
  </si>
  <si>
    <t>I-IV 2025r.*</t>
  </si>
  <si>
    <t>I-IV 2026r.*</t>
  </si>
  <si>
    <t>Cebula młoda</t>
  </si>
  <si>
    <t>Warszawski Rolno-Spożywczy Rynek Hurtowy S.A. – Bronisze – www.bronisze.com.pl; Giełda - Białystok Podlaskie Centrum Rolno Towarowe S.A. - https://www.podlaskiecentrum.pl/; Lubelski Rynek Hurtowy S.A. – Lublin – www.elizowka.pl, Wielkopolska Gildia Rolno-Ogrodnicza S.A. – Poznań – www.wgro.com.pl; Podkarpackie Centrum Hurtowe Agrohurt S.A. – Rzeszów – www.mgrt.rzeszow.pl; Zachodniopomorskie Centrum Hurtowe Rolhurt- www.rolhurt.pl, Mewat Bydgoszcz - www.targowisko.mewat.pl, Rolno-spożywczy rynek hurtowy we Wrocławiu - http://www.targpiast.com.pl/, Łódzki Rynek Hurtowy ZJAZDOWA S.A. https://zjazdowa.com.pl/., Radomska Giełda Rolna - https://rsrh-radom.pl/, Targowisko Miejskie Sandomierz - http://targowiskasandomierz.pl/, Kompleks Handlowy RYBITWY - https://khrybitwy.pl/.</t>
  </si>
  <si>
    <t>Informacje dot. cen hurtowych dostarczone są przez przedstawicieli niżej wymienionych rynków hurtowych.</t>
  </si>
  <si>
    <t>Kiszona kapusta</t>
  </si>
  <si>
    <t>Eksport grzybów agaricus (CN 70095100) wg. ważniejszych krajów</t>
  </si>
  <si>
    <t>Dania</t>
  </si>
  <si>
    <t>Austria</t>
  </si>
  <si>
    <t>Szwajcaria</t>
  </si>
  <si>
    <t>Eksport cebuli i szalotki (CN 070310) wg. ważniejszych krajów</t>
  </si>
  <si>
    <t>Ekwador</t>
  </si>
  <si>
    <t>Kolumbia</t>
  </si>
  <si>
    <t>Gwatemala</t>
  </si>
  <si>
    <t>Panama</t>
  </si>
  <si>
    <t>Wybrzeże Kości Słoniowej</t>
  </si>
  <si>
    <t>Dominikana</t>
  </si>
  <si>
    <t>Kamerun</t>
  </si>
  <si>
    <t>Nikaragua</t>
  </si>
  <si>
    <t>Import bananów (CN 0803) wg. ważniejszych krajów</t>
  </si>
  <si>
    <t>Senegal</t>
  </si>
  <si>
    <t>Azerbejdżan</t>
  </si>
  <si>
    <t>Tunezja</t>
  </si>
  <si>
    <t>Macedonia</t>
  </si>
  <si>
    <t>Import pomidorów (CN 0702) wg. ważniejszych krajów</t>
  </si>
  <si>
    <t>Import papryki czerwonej (CN 07096010) wg. ważniejszych krajów</t>
  </si>
  <si>
    <t>Izrael</t>
  </si>
  <si>
    <t>Słowenia</t>
  </si>
  <si>
    <t>Albania</t>
  </si>
  <si>
    <t>HANDEL ZAGRANICZNY ARTYKUŁAMI Z RYNKU OWOCÓW</t>
  </si>
  <si>
    <t>W OKRESIE I - IV 2026 - DANE WSTĘPNE</t>
  </si>
  <si>
    <t>Eksport jabłek z Polski (CN 080810)</t>
  </si>
  <si>
    <t>Wartość (tys. EUR)</t>
  </si>
  <si>
    <t>Wolumen  (t)</t>
  </si>
  <si>
    <t>HANDEL ZAGRANICZNY ARTYKUŁAMI Z RYNKU WIEPRZOWINY W OKRESIE I - XII 2025 - DANE WSTĘPNE</t>
  </si>
  <si>
    <t>I - XII 2024 r.</t>
  </si>
  <si>
    <t>I - XII 2025 r. (dane wstępne)</t>
  </si>
  <si>
    <t>Mongolia</t>
  </si>
  <si>
    <t>Arabia Saudyjska</t>
  </si>
  <si>
    <t>Finlandia</t>
  </si>
  <si>
    <t xml:space="preserve">EKSPORT  ARTYKUŁAMI Z RYNKU OWOCÓW - WAŻNIEJSZE KRAJE </t>
  </si>
  <si>
    <t>(WG WARTOŚCI W OKRESIE I - IV 2026)</t>
  </si>
  <si>
    <t>UWAGA! DANE W TRAKCIE WERYFIKACJI - MOGĄ BYĆ OBARACZONE ISTOTNYMI BŁĘDAMI</t>
  </si>
  <si>
    <t>Ważniejsze kraje w eksporcie jabłek (CN 080810) z Polski</t>
  </si>
  <si>
    <t>Wolumen (t)</t>
  </si>
  <si>
    <t>2024 r.
(dane ostateczne)</t>
  </si>
  <si>
    <t>2025 r. 
(dane wstępne)</t>
  </si>
  <si>
    <t>Zmiana (%) 
2024 r. do 
2023 r.</t>
  </si>
  <si>
    <t>Zmiana (%) 
I - IV 2026 r.
do 
I - IV 2025 r.</t>
  </si>
  <si>
    <t>Udział (%)
I - IV 2026 r.</t>
  </si>
  <si>
    <t>Selery młode</t>
  </si>
  <si>
    <t>0,60lz-0,60lz</t>
  </si>
  <si>
    <t>3,45lz-3,89lz</t>
  </si>
  <si>
    <t>3,56lz-4,00lz</t>
  </si>
  <si>
    <t>0,50lz-0,60lz</t>
  </si>
  <si>
    <t>3,45lz-3,75lz</t>
  </si>
  <si>
    <t>3,58lz-3,80lz</t>
  </si>
  <si>
    <t>3,68lz-3,85lz</t>
  </si>
  <si>
    <t>3,45lz-4,00lz</t>
  </si>
  <si>
    <t>0,50lz-0,65lz/na sok-0,90lz-1,20lz/do obierania</t>
  </si>
  <si>
    <t>5,75-6,00lz-6,50lz</t>
  </si>
  <si>
    <t>5,00-6,50lz</t>
  </si>
  <si>
    <t>2. https://podlaskiecentrum.pl/</t>
  </si>
  <si>
    <t>1. www.bronisze.com.pl</t>
  </si>
  <si>
    <t>3. https://gieldakaliska.pl/</t>
  </si>
  <si>
    <t>4. https://www.elizowka.pl/</t>
  </si>
  <si>
    <t>5. https://www.targpiast.com.pl/pl</t>
  </si>
  <si>
    <t>6. https://www.zjazdowa.com.pl/pl/serwis-cenowy/</t>
  </si>
  <si>
    <t>7. https://wgro.com.pl/notowania-cenowe-maly-hurt/</t>
  </si>
  <si>
    <t>8. https://khrybitwy.pl/</t>
  </si>
  <si>
    <t>9. https://www.agrohurtsa.pl/</t>
  </si>
  <si>
    <t>Adresy rynków hurtowych z których MINROL pobiera informacje do Biuletynu Informacyjnego ;</t>
  </si>
  <si>
    <t>Ogórki / 6-9 cm</t>
  </si>
  <si>
    <t>Ogórki / powyżej 12 cm</t>
  </si>
  <si>
    <t>Jabłka-Granny Smith</t>
  </si>
  <si>
    <t>Cebula</t>
  </si>
  <si>
    <t>-</t>
  </si>
  <si>
    <t>I-V 2025r.*</t>
  </si>
  <si>
    <t>I-V 2026r.*</t>
  </si>
  <si>
    <t>Pomidory gruntowe</t>
  </si>
  <si>
    <t>Early Geneva</t>
  </si>
  <si>
    <t>Papierówki</t>
  </si>
  <si>
    <t xml:space="preserve">12.07.2026 </t>
  </si>
  <si>
    <t>05.07.2026</t>
  </si>
  <si>
    <t>Fasola szparagowa</t>
  </si>
  <si>
    <t>Sałata masłowa</t>
  </si>
  <si>
    <t>Kalafiory/a</t>
  </si>
  <si>
    <t>Borówki wysokie</t>
  </si>
  <si>
    <t>Kalarepa/a</t>
  </si>
  <si>
    <t>1,95-2,35</t>
  </si>
  <si>
    <t>Malina</t>
  </si>
  <si>
    <t>do mrożenia</t>
  </si>
  <si>
    <t>0,55lz-0,65lz</t>
  </si>
  <si>
    <t>1,25-1,63</t>
  </si>
  <si>
    <t>1,47-1,66</t>
  </si>
  <si>
    <t>Owoce importowane</t>
  </si>
  <si>
    <t>Lublin</t>
  </si>
  <si>
    <t xml:space="preserve">IMPORTOWANE </t>
  </si>
  <si>
    <t>Piros</t>
  </si>
  <si>
    <t>Cukinia</t>
  </si>
  <si>
    <t>0,44-0,48</t>
  </si>
  <si>
    <t>0,46-0,53</t>
  </si>
  <si>
    <t>0,53-0,57</t>
  </si>
  <si>
    <t>0,52-0,58</t>
  </si>
  <si>
    <t>0,46-0,52</t>
  </si>
  <si>
    <t>1,96-2,35</t>
  </si>
  <si>
    <t>1,35-1,45</t>
  </si>
  <si>
    <t>Jeżyny</t>
  </si>
  <si>
    <t>0,50lz-0,65lz</t>
  </si>
  <si>
    <t>20.07 - 26.07.2026r. cena w zł/kg (szt*)</t>
  </si>
  <si>
    <t>Antonówki</t>
  </si>
  <si>
    <t>Celesta</t>
  </si>
  <si>
    <t>31 tydzień</t>
  </si>
  <si>
    <t>27.07-02.08.2026 r</t>
  </si>
  <si>
    <t>27.07 - 02.08.2026r. cena w zł/kg (szt*)</t>
  </si>
  <si>
    <t>0,51-0,65</t>
  </si>
  <si>
    <t>0,55-0,63</t>
  </si>
  <si>
    <t>0,45-0,51</t>
  </si>
  <si>
    <t>1,15-1,25</t>
  </si>
  <si>
    <t>0,43-0,53</t>
  </si>
  <si>
    <t>0,44-0,47</t>
  </si>
  <si>
    <t>0,51-0,57</t>
  </si>
  <si>
    <t>2,45-2,87</t>
  </si>
  <si>
    <t>1,77-2,89</t>
  </si>
  <si>
    <t>1,10-1,55</t>
  </si>
  <si>
    <t>0,55-0,68</t>
  </si>
  <si>
    <t>6,00lz-7,00lz</t>
  </si>
  <si>
    <t>5,50lz-6,00lz-7,50lz</t>
  </si>
  <si>
    <t>Estonia</t>
  </si>
  <si>
    <t>Paula-Red</t>
  </si>
  <si>
    <t>BEZ AKTUALIZACJI</t>
  </si>
  <si>
    <t>Towar</t>
  </si>
  <si>
    <t>2,10-2,45</t>
  </si>
  <si>
    <t>0,58-0,68</t>
  </si>
  <si>
    <t>6,66-7,55</t>
  </si>
  <si>
    <t>0,54-0,66</t>
  </si>
  <si>
    <t>0,55-0,69</t>
  </si>
  <si>
    <t>0,40-0,56</t>
  </si>
  <si>
    <t>0,46-0,69</t>
  </si>
  <si>
    <t>1,10-1,28</t>
  </si>
  <si>
    <t>1,98-2,55</t>
  </si>
  <si>
    <t>1,75-2,45</t>
  </si>
  <si>
    <t>6,33-9,55</t>
  </si>
  <si>
    <t>5,45-7,89</t>
  </si>
  <si>
    <t>0,64-0,89</t>
  </si>
  <si>
    <t>6,35-8,33</t>
  </si>
  <si>
    <t>1,25-1,35</t>
  </si>
  <si>
    <t>0,75-0,92</t>
  </si>
  <si>
    <t>1,89-2,35</t>
  </si>
  <si>
    <t>1,89-2,15</t>
  </si>
  <si>
    <t>1,20-1,30</t>
  </si>
  <si>
    <t>1,55-2,56</t>
  </si>
  <si>
    <t>4,25-7,66</t>
  </si>
  <si>
    <t>2,18-2,98</t>
  </si>
  <si>
    <t>1,07-1,45</t>
  </si>
  <si>
    <t>1,75-2,55</t>
  </si>
  <si>
    <t>0,65-0,98</t>
  </si>
  <si>
    <t>6,35-8,99</t>
  </si>
  <si>
    <t>1,15-1,35</t>
  </si>
  <si>
    <t>2,45-3,74</t>
  </si>
  <si>
    <t>1,00-1,52</t>
  </si>
  <si>
    <t>0,99-1,55</t>
  </si>
  <si>
    <t>2,15-2,45</t>
  </si>
  <si>
    <t>1,45-2,55</t>
  </si>
  <si>
    <t>1,69-2,68</t>
  </si>
  <si>
    <t>0,66-1,35</t>
  </si>
  <si>
    <t>1,25-1,55</t>
  </si>
  <si>
    <t>0,55-0,70</t>
  </si>
  <si>
    <t>1,10-1,78</t>
  </si>
  <si>
    <t>0,50-0,78</t>
  </si>
  <si>
    <t>3,50-4,99</t>
  </si>
  <si>
    <t>7,35-10,25</t>
  </si>
  <si>
    <t>5,60-7,84</t>
  </si>
  <si>
    <t>19,25-27,88</t>
  </si>
  <si>
    <t>6,75-9,66</t>
  </si>
  <si>
    <t>Cuukinia</t>
  </si>
  <si>
    <t>obrana</t>
  </si>
  <si>
    <t>na kostkę</t>
  </si>
  <si>
    <t>1,15-1,20lz</t>
  </si>
  <si>
    <t>0,60-0,68lz</t>
  </si>
  <si>
    <t>1,20lz-1,25lz</t>
  </si>
  <si>
    <t>1,15lz-1,25lz</t>
  </si>
  <si>
    <t>1,10lz-1,25lz</t>
  </si>
  <si>
    <t>1,15-1,20-1,30lz</t>
  </si>
  <si>
    <t>17,00lz-17,50lz/II--17,50lz-18,00lz/I</t>
  </si>
  <si>
    <t>0,60-0,68lz-0,70lz</t>
  </si>
  <si>
    <t>5,50-6,00lz-7,00lz</t>
  </si>
  <si>
    <t>0,65-0,70</t>
  </si>
  <si>
    <t>NR 33/2026</t>
  </si>
  <si>
    <t xml:space="preserve">Warzywa </t>
  </si>
  <si>
    <t>16.08.2026</t>
  </si>
  <si>
    <t>09.08.2026</t>
  </si>
  <si>
    <t>17.08.2025</t>
  </si>
  <si>
    <t>Zmiana ceny (%)</t>
  </si>
  <si>
    <t>tygodniowa</t>
  </si>
  <si>
    <t>roczna</t>
  </si>
  <si>
    <t>Przeznaczenie</t>
  </si>
  <si>
    <t>ogółem</t>
  </si>
  <si>
    <t>na sok zagęszczony</t>
  </si>
  <si>
    <t>na mrożonki</t>
  </si>
  <si>
    <t>Aronia</t>
  </si>
  <si>
    <t>ŚREDNIE CENY ZAKUPU OWOCÓW PŁACONE PRZEZ PODMIOTY HANDLU DETALICZNEGO - luz</t>
  </si>
  <si>
    <t>Cortland</t>
  </si>
  <si>
    <t>Granny Smith</t>
  </si>
  <si>
    <t>Elstar</t>
  </si>
  <si>
    <t>Red Delicious</t>
  </si>
  <si>
    <t>Pomarańcze (razem)</t>
  </si>
  <si>
    <t>Pomarańcze nieokreślone</t>
  </si>
  <si>
    <t>Navel</t>
  </si>
  <si>
    <t>Salustiana Novelinas</t>
  </si>
  <si>
    <t>Tarroco</t>
  </si>
  <si>
    <t>Lanelate</t>
  </si>
  <si>
    <t>Navelate</t>
  </si>
  <si>
    <t>Valencia Late</t>
  </si>
  <si>
    <t>Brzoskwinie (razem)</t>
  </si>
  <si>
    <t>Brzoskwinie biały miąższ</t>
  </si>
  <si>
    <t>Brzoskwinie zółty miąższ</t>
  </si>
  <si>
    <t>Nektaryny (razem)</t>
  </si>
  <si>
    <t>Nektaryny biały miąższ</t>
  </si>
  <si>
    <t>Nektaryny żółty miąższ</t>
  </si>
  <si>
    <t xml:space="preserve">ŚREDNIE CENY ZAKUPU WARZYW płacone przez podmioty zajmujące się przetwórstwem </t>
  </si>
  <si>
    <t>Ogórki / ogółem</t>
  </si>
  <si>
    <t>Ogórki / 9-12 cm</t>
  </si>
  <si>
    <t>ŚREDNIE CENY ZAKUPU WARZYW PŁACONE PRZEZ PODMIOTY HANDLU DETALICZNEGO - luz</t>
  </si>
  <si>
    <t>ŚREDNIE CENY ZAKUPU WARZYW PŁACONE PRZEZ PODMIOTY HANDLU DETALICZNEGO - opakowania do 2 kg</t>
  </si>
  <si>
    <t>Ceny skupu netto warzyw i owoców w spółdzielniach ogrodniczych zbierane 17 VIII 2026 r.</t>
  </si>
  <si>
    <t>1,25lz-1,35lz</t>
  </si>
  <si>
    <t>0,65lz</t>
  </si>
  <si>
    <t>16,50lz/II-17,00lz/I</t>
  </si>
  <si>
    <t>6,50lz-7,00lz</t>
  </si>
  <si>
    <t>16,00lz/II-16,50lz-17,00lz/I</t>
  </si>
  <si>
    <t>0,60-0,65lz</t>
  </si>
  <si>
    <t>1,30lz/k</t>
  </si>
  <si>
    <t>0,50lz-0,70lz</t>
  </si>
  <si>
    <t>1,35lz</t>
  </si>
  <si>
    <t>1,10lz-1,25lz-1,30lz/k</t>
  </si>
  <si>
    <t>1,15-1,20lz-1,35lz</t>
  </si>
  <si>
    <t>16,00lz-16,50lz/II--17,00lz/I</t>
  </si>
  <si>
    <t>5,50lz-6,00lz-7,00lz</t>
  </si>
  <si>
    <t>0,60-0,65lz-0,68lz</t>
  </si>
  <si>
    <t>1,00-1,10/k</t>
  </si>
  <si>
    <t>1,40-1,50lz</t>
  </si>
  <si>
    <t>8,00lz/II-9,25lz/I-10,25lz/extra</t>
  </si>
  <si>
    <t>5,00-5,50lz-6,00lz</t>
  </si>
  <si>
    <t>Ogórki kiszone</t>
  </si>
  <si>
    <t>Brokuły/a</t>
  </si>
  <si>
    <t>0,47-0,55</t>
  </si>
  <si>
    <t>0,61-0,68</t>
  </si>
  <si>
    <t>2,15-2,35</t>
  </si>
  <si>
    <t>6,55-7,00</t>
  </si>
  <si>
    <t>6,98-7,66</t>
  </si>
  <si>
    <t>1,40-1,55</t>
  </si>
  <si>
    <t>2,55-3,10</t>
  </si>
  <si>
    <t>1,25-1,45</t>
  </si>
  <si>
    <t>1,10-1,25</t>
  </si>
  <si>
    <t>0,62-0,67</t>
  </si>
  <si>
    <t>2,27-2,45</t>
  </si>
  <si>
    <t>6,35-7,35</t>
  </si>
  <si>
    <t>2,79-2,99</t>
  </si>
  <si>
    <t>2,45-2,60</t>
  </si>
  <si>
    <t>0,52-0,60</t>
  </si>
  <si>
    <t>7,25-7,68</t>
  </si>
  <si>
    <t>6,89-7,55</t>
  </si>
  <si>
    <t>0,44-0,53</t>
  </si>
  <si>
    <t>2,35-2,50</t>
  </si>
  <si>
    <t>6,80-7,35</t>
  </si>
  <si>
    <t>2,87-3,20</t>
  </si>
  <si>
    <t>2,25-2,35</t>
  </si>
  <si>
    <t>1,35-1,58</t>
  </si>
  <si>
    <t>1,33-1,56</t>
  </si>
  <si>
    <t>0,42-0,46</t>
  </si>
  <si>
    <t>1,85-2,52</t>
  </si>
  <si>
    <t>6,60-6,98</t>
  </si>
  <si>
    <t>6,45-6,85</t>
  </si>
  <si>
    <t>7,68-7,95</t>
  </si>
  <si>
    <t>1,45-1,52</t>
  </si>
  <si>
    <t>2,56-2,84</t>
  </si>
  <si>
    <t>0,48-0,54</t>
  </si>
  <si>
    <t>6,25-6,78</t>
  </si>
  <si>
    <t>6,98-7,36</t>
  </si>
  <si>
    <t>2,75-2,85</t>
  </si>
  <si>
    <t>1,26-1,65</t>
  </si>
  <si>
    <t>1,27-1,45</t>
  </si>
  <si>
    <t>0,41-0,46</t>
  </si>
  <si>
    <t>6,35-6,45</t>
  </si>
  <si>
    <t>6,80-7,44</t>
  </si>
  <si>
    <t>1,46-1,55</t>
  </si>
  <si>
    <t>2,30-2,45</t>
  </si>
  <si>
    <t>0,46-0,49</t>
  </si>
  <si>
    <t>6,50-7,00</t>
  </si>
  <si>
    <t>6,44-7,95</t>
  </si>
  <si>
    <t>1,10-1,13</t>
  </si>
  <si>
    <t>2,40-2,60</t>
  </si>
  <si>
    <t>1,95-2,36</t>
  </si>
  <si>
    <t>6,87-7,54</t>
  </si>
  <si>
    <t>1,43-1,56</t>
  </si>
  <si>
    <t>2,66-2,94</t>
  </si>
  <si>
    <t>1,30-1,58</t>
  </si>
  <si>
    <t>2,00-2,25</t>
  </si>
  <si>
    <t>1,80-2,33</t>
  </si>
  <si>
    <t>5,89-6,80</t>
  </si>
  <si>
    <t>6,78-7,35</t>
  </si>
  <si>
    <t>3,15-3,45</t>
  </si>
  <si>
    <t>2,27-2,46</t>
  </si>
  <si>
    <t>6,55-7,45</t>
  </si>
  <si>
    <t>6,66-7,54</t>
  </si>
  <si>
    <t>6,38-6,90</t>
  </si>
  <si>
    <t>6,56-7,13</t>
  </si>
  <si>
    <t>2,86-3,66</t>
  </si>
  <si>
    <t>0,41-0,60</t>
  </si>
  <si>
    <t>1,10-1,35</t>
  </si>
  <si>
    <t>2,00-2,60</t>
  </si>
  <si>
    <t>1,80-2,52</t>
  </si>
  <si>
    <t>5,89-7,68</t>
  </si>
  <si>
    <t>6,25-7,95</t>
  </si>
  <si>
    <t>6,56-7,95</t>
  </si>
  <si>
    <t>1,40-1,56</t>
  </si>
  <si>
    <t>2,55-3,66</t>
  </si>
  <si>
    <t>2,25-2,60</t>
  </si>
  <si>
    <t>1,10-1,65</t>
  </si>
  <si>
    <t>1,10-1,58</t>
  </si>
  <si>
    <t>2,38-2,78</t>
  </si>
  <si>
    <t>0,69-0,77</t>
  </si>
  <si>
    <t>1,16-1,42</t>
  </si>
  <si>
    <t>2,45-2,89</t>
  </si>
  <si>
    <t>1,95-2,68</t>
  </si>
  <si>
    <t>6,45-7,89</t>
  </si>
  <si>
    <t>6,89-8,55</t>
  </si>
  <si>
    <t>1,56-1,80</t>
  </si>
  <si>
    <t>2,78-3,87</t>
  </si>
  <si>
    <t>2,45-2,90</t>
  </si>
  <si>
    <t>1,25-1,78</t>
  </si>
  <si>
    <t>1,15-1,78</t>
  </si>
  <si>
    <t>1,78-1,96</t>
  </si>
  <si>
    <t>6,34-7,90</t>
  </si>
  <si>
    <t>1,85-2,34</t>
  </si>
  <si>
    <t>2,55-2,87</t>
  </si>
  <si>
    <t>1,20-1,50</t>
  </si>
  <si>
    <t>0,72-0,89</t>
  </si>
  <si>
    <t>1,45-1,68</t>
  </si>
  <si>
    <t>1,65-1,97</t>
  </si>
  <si>
    <t>0,88-0,96</t>
  </si>
  <si>
    <t>1,97-2,26</t>
  </si>
  <si>
    <t>6,35-7,68</t>
  </si>
  <si>
    <t>1,97-2,65</t>
  </si>
  <si>
    <t>2,77-2,99</t>
  </si>
  <si>
    <t>1,12-1,40</t>
  </si>
  <si>
    <t>0,71-0,86</t>
  </si>
  <si>
    <t>1,59-1,87</t>
  </si>
  <si>
    <t>1,87-1,90</t>
  </si>
  <si>
    <t>0,75-0,93</t>
  </si>
  <si>
    <t>1,95-2,45</t>
  </si>
  <si>
    <t>6,66-7,85</t>
  </si>
  <si>
    <t>2,35-2,88</t>
  </si>
  <si>
    <t>2,45-2,88</t>
  </si>
  <si>
    <t>1,88-2,56</t>
  </si>
  <si>
    <t>0,65-0,72</t>
  </si>
  <si>
    <t>1,64-2,10</t>
  </si>
  <si>
    <t>1,87-1,94</t>
  </si>
  <si>
    <t>6,34-6,87</t>
  </si>
  <si>
    <t>2,45-2,56</t>
  </si>
  <si>
    <t>2,56-2,97</t>
  </si>
  <si>
    <t>1,37-1,55</t>
  </si>
  <si>
    <t>0,68-0,73</t>
  </si>
  <si>
    <t>1,97-2,35</t>
  </si>
  <si>
    <t>0,80-0,93</t>
  </si>
  <si>
    <t>6,99-7,65</t>
  </si>
  <si>
    <t>2,38-2,79</t>
  </si>
  <si>
    <t>2,54-2,88</t>
  </si>
  <si>
    <t>1,14-1,38</t>
  </si>
  <si>
    <t>2,20-2,66</t>
  </si>
  <si>
    <t>0,79-0,88</t>
  </si>
  <si>
    <t>2,17-2,45</t>
  </si>
  <si>
    <t>2,45-2,74</t>
  </si>
  <si>
    <t>2,15-2,68</t>
  </si>
  <si>
    <t>2,45-2,97</t>
  </si>
  <si>
    <t>2,66-2,85</t>
  </si>
  <si>
    <t>1,25-1,54</t>
  </si>
  <si>
    <t>0,86-0,94</t>
  </si>
  <si>
    <t>2,10-2,38</t>
  </si>
  <si>
    <t>6,44-7,69</t>
  </si>
  <si>
    <t>2,55-2,76</t>
  </si>
  <si>
    <t>2,44-2,78</t>
  </si>
  <si>
    <t>2,38-2,60</t>
  </si>
  <si>
    <t>1,96-2,67</t>
  </si>
  <si>
    <t>6,31-7,96</t>
  </si>
  <si>
    <t>2,17-2,99</t>
  </si>
  <si>
    <t>1,24-1,57</t>
  </si>
  <si>
    <t>2,27-2,65</t>
  </si>
  <si>
    <t>0,68-0,97</t>
  </si>
  <si>
    <t>1,78-2,68</t>
  </si>
  <si>
    <t>1,85-2,99</t>
  </si>
  <si>
    <t>2,35-2,99</t>
  </si>
  <si>
    <t>1,12-1,57</t>
  </si>
  <si>
    <t>1,88-2,66</t>
  </si>
  <si>
    <t>0,65-0,97</t>
  </si>
  <si>
    <t>1,45-2,60</t>
  </si>
  <si>
    <t>1,64-2,87</t>
  </si>
  <si>
    <t>0,75-0,96</t>
  </si>
  <si>
    <t>1,95-2,97</t>
  </si>
  <si>
    <t>6,54-8,99</t>
  </si>
  <si>
    <t>2,78-3,15</t>
  </si>
  <si>
    <t>2,87-3,35</t>
  </si>
  <si>
    <t>1,35-1,65</t>
  </si>
  <si>
    <t>1,70-2,69</t>
  </si>
  <si>
    <t>0,78-1,12</t>
  </si>
  <si>
    <t>1,87-2,78</t>
  </si>
  <si>
    <t>1,85-2,98</t>
  </si>
  <si>
    <t>0,96-1,35</t>
  </si>
  <si>
    <t>0,55-0,60</t>
  </si>
  <si>
    <t>3,56-3,89</t>
  </si>
  <si>
    <t>8,98-9,88</t>
  </si>
  <si>
    <t>6,78-7,66</t>
  </si>
  <si>
    <t>3,77-4,15</t>
  </si>
  <si>
    <t>6,89-7,99</t>
  </si>
  <si>
    <t>21,45-25,66</t>
  </si>
  <si>
    <t>5,45-6,78</t>
  </si>
  <si>
    <t>3,87-4,98</t>
  </si>
  <si>
    <t>7,65-8,66</t>
  </si>
  <si>
    <t>23,66-24,66</t>
  </si>
  <si>
    <t>6,35-7,69</t>
  </si>
  <si>
    <t>3,65-4,74</t>
  </si>
  <si>
    <t>7,45-8,66</t>
  </si>
  <si>
    <t>1,45-1,65</t>
  </si>
  <si>
    <t>7,68-8,99</t>
  </si>
  <si>
    <t>20,75-24,55</t>
  </si>
  <si>
    <t>8,66-9,60</t>
  </si>
  <si>
    <t>1,20-1,75</t>
  </si>
  <si>
    <t>0,63-0,68</t>
  </si>
  <si>
    <t>3,65-4,69</t>
  </si>
  <si>
    <t>9,15-10,78</t>
  </si>
  <si>
    <t>6,58-7,84</t>
  </si>
  <si>
    <t>8,97-9,65</t>
  </si>
  <si>
    <t>9,33-11,30</t>
  </si>
  <si>
    <t>1,35-1,54</t>
  </si>
  <si>
    <t>3,78-4,90</t>
  </si>
  <si>
    <t>6,35-8,66</t>
  </si>
  <si>
    <t>20,45-26,89</t>
  </si>
  <si>
    <t>3,65-4,76</t>
  </si>
  <si>
    <t>1,15-1,75</t>
  </si>
  <si>
    <t>3,56-4,98</t>
  </si>
  <si>
    <t>7,45-10,78</t>
  </si>
  <si>
    <t>5,45-11,30</t>
  </si>
  <si>
    <t>1,25-2,15</t>
  </si>
  <si>
    <t>0,60-0,79</t>
  </si>
  <si>
    <t>3,88-5,10</t>
  </si>
  <si>
    <t>7,98-12,56</t>
  </si>
  <si>
    <t>7,66-9,25</t>
  </si>
  <si>
    <t>16,88-23,55</t>
  </si>
  <si>
    <t>12,56-14,56</t>
  </si>
  <si>
    <t>Ceny skupu netto  owoców w spółdzielniach ogrodniczych zbierane 17 VIII 2026 r.</t>
  </si>
  <si>
    <t>Ceny skupu netto w zakładach przetwórczych i chłodniach zbierane 17 VIII 2026 r. (zł/kg)</t>
  </si>
  <si>
    <t>Notowania 17 - 23.08.2026 / Tydzień 33</t>
  </si>
  <si>
    <t>24 sierpnia 2026 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</si>
</sst>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"/>
    <numFmt numFmtId="165" formatCode="dd/mm/yy"/>
    <numFmt numFmtId="166" formatCode="#,###,##0"/>
    <numFmt numFmtId="167" formatCode="#,##0.0"/>
  </numFmts>
  <fonts count="129" x14ac:knownFonts="1">
    <font>
      <sz val="10"/>
      <name val="Arial CE"/>
      <charset val="238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name val="Arial CE"/>
      <charset val="238"/>
    </font>
    <font>
      <u/>
      <sz val="10"/>
      <color indexed="12"/>
      <name val="Arial CE"/>
      <charset val="238"/>
    </font>
    <font>
      <sz val="12"/>
      <name val="Arial CE"/>
      <charset val="238"/>
    </font>
    <font>
      <sz val="14"/>
      <name val="Times New Roman"/>
      <family val="1"/>
      <charset val="238"/>
    </font>
    <font>
      <i/>
      <sz val="14"/>
      <name val="Times New Roman"/>
      <family val="1"/>
      <charset val="238"/>
    </font>
    <font>
      <sz val="14"/>
      <name val="Arial CE"/>
      <charset val="238"/>
    </font>
    <font>
      <sz val="14"/>
      <name val="Times New Roman"/>
      <family val="1"/>
      <charset val="238"/>
    </font>
    <font>
      <sz val="12"/>
      <name val="Times New Roman"/>
      <family val="1"/>
      <charset val="238"/>
    </font>
    <font>
      <b/>
      <sz val="14"/>
      <name val="Times New Roman"/>
      <family val="1"/>
      <charset val="238"/>
    </font>
    <font>
      <sz val="8"/>
      <name val="Arial CE"/>
      <charset val="238"/>
    </font>
    <font>
      <sz val="10"/>
      <color indexed="8"/>
      <name val="MS Sans Serif"/>
      <family val="2"/>
      <charset val="238"/>
    </font>
    <font>
      <b/>
      <sz val="12"/>
      <name val="Times New Roman CE"/>
      <family val="1"/>
      <charset val="238"/>
    </font>
    <font>
      <sz val="10"/>
      <name val="Arial"/>
      <family val="2"/>
      <charset val="238"/>
    </font>
    <font>
      <sz val="10"/>
      <name val="Arial CE"/>
    </font>
    <font>
      <sz val="10"/>
      <name val="Calibri"/>
      <family val="2"/>
      <charset val="238"/>
      <scheme val="minor"/>
    </font>
    <font>
      <b/>
      <sz val="11"/>
      <name val="Calibri"/>
      <family val="2"/>
      <charset val="238"/>
      <scheme val="minor"/>
    </font>
    <font>
      <b/>
      <sz val="12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sz val="12"/>
      <name val="Calibri"/>
      <family val="2"/>
      <charset val="238"/>
      <scheme val="minor"/>
    </font>
    <font>
      <sz val="11"/>
      <color indexed="10"/>
      <name val="Calibri"/>
      <family val="2"/>
      <charset val="238"/>
      <scheme val="minor"/>
    </font>
    <font>
      <b/>
      <i/>
      <sz val="14"/>
      <name val="Calibri"/>
      <family val="2"/>
      <charset val="238"/>
      <scheme val="minor"/>
    </font>
    <font>
      <b/>
      <i/>
      <sz val="12"/>
      <name val="Calibri"/>
      <family val="2"/>
      <charset val="238"/>
      <scheme val="minor"/>
    </font>
    <font>
      <sz val="14"/>
      <name val="Calibri"/>
      <family val="2"/>
      <charset val="238"/>
      <scheme val="minor"/>
    </font>
    <font>
      <sz val="16"/>
      <name val="Calibri"/>
      <family val="2"/>
      <charset val="238"/>
      <scheme val="minor"/>
    </font>
    <font>
      <sz val="11"/>
      <color indexed="8"/>
      <name val="Calibri"/>
      <family val="2"/>
      <charset val="238"/>
    </font>
    <font>
      <b/>
      <sz val="10"/>
      <name val="Calibri"/>
      <family val="2"/>
      <charset val="238"/>
      <scheme val="minor"/>
    </font>
    <font>
      <b/>
      <i/>
      <sz val="12"/>
      <color rgb="FF2F5597"/>
      <name val="Calibri"/>
      <family val="2"/>
      <charset val="238"/>
    </font>
    <font>
      <b/>
      <i/>
      <sz val="26"/>
      <name val="Calibri"/>
      <family val="2"/>
      <charset val="238"/>
      <scheme val="minor"/>
    </font>
    <font>
      <b/>
      <i/>
      <sz val="12"/>
      <color rgb="FFC00000"/>
      <name val="Calibri"/>
      <family val="2"/>
      <charset val="238"/>
      <scheme val="minor"/>
    </font>
    <font>
      <sz val="11"/>
      <color rgb="FF000000"/>
      <name val="Calibri"/>
      <family val="2"/>
      <scheme val="minor"/>
    </font>
    <font>
      <b/>
      <sz val="14"/>
      <color rgb="FFFF0000"/>
      <name val="Calibri"/>
      <family val="2"/>
      <charset val="238"/>
      <scheme val="minor"/>
    </font>
    <font>
      <b/>
      <sz val="12"/>
      <color rgb="FFC00000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2"/>
      <color theme="1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sz val="11"/>
      <name val="Calibri"/>
      <family val="2"/>
      <charset val="238"/>
    </font>
    <font>
      <sz val="10"/>
      <color theme="1"/>
      <name val="Calibri"/>
      <family val="2"/>
      <charset val="238"/>
      <scheme val="minor"/>
    </font>
    <font>
      <b/>
      <i/>
      <sz val="12"/>
      <color theme="1"/>
      <name val="Calibri"/>
      <family val="2"/>
      <charset val="238"/>
      <scheme val="minor"/>
    </font>
    <font>
      <i/>
      <sz val="12"/>
      <color theme="1"/>
      <name val="Calibri"/>
      <family val="2"/>
      <charset val="238"/>
      <scheme val="minor"/>
    </font>
    <font>
      <i/>
      <sz val="16"/>
      <color indexed="8"/>
      <name val="Times New Roman CE"/>
      <family val="1"/>
      <charset val="238"/>
    </font>
    <font>
      <i/>
      <sz val="16"/>
      <color indexed="8"/>
      <name val="Times New Roman CE"/>
      <charset val="238"/>
    </font>
    <font>
      <sz val="16"/>
      <color indexed="8"/>
      <name val="Times New Roman CE"/>
      <family val="1"/>
      <charset val="238"/>
    </font>
    <font>
      <b/>
      <sz val="11"/>
      <name val="Calibri"/>
      <family val="2"/>
      <charset val="238"/>
    </font>
    <font>
      <b/>
      <sz val="11"/>
      <color indexed="8"/>
      <name val="Calibri"/>
      <family val="2"/>
      <charset val="238"/>
    </font>
    <font>
      <b/>
      <i/>
      <sz val="11"/>
      <color indexed="8"/>
      <name val="Calibri"/>
      <family val="2"/>
      <charset val="238"/>
    </font>
    <font>
      <sz val="10"/>
      <color rgb="FF006600"/>
      <name val="Arial CE"/>
      <charset val="238"/>
    </font>
    <font>
      <sz val="10"/>
      <color theme="0"/>
      <name val="Arial CE"/>
      <charset val="238"/>
    </font>
    <font>
      <b/>
      <sz val="14"/>
      <color rgb="FF006600"/>
      <name val="Lato Semibold"/>
      <family val="2"/>
      <charset val="238"/>
    </font>
    <font>
      <b/>
      <sz val="13"/>
      <color rgb="FF006600"/>
      <name val="Calibri"/>
      <family val="2"/>
      <charset val="238"/>
      <scheme val="minor"/>
    </font>
    <font>
      <b/>
      <sz val="14"/>
      <color rgb="FF006600"/>
      <name val="Calibri"/>
      <family val="2"/>
      <charset val="238"/>
      <scheme val="minor"/>
    </font>
    <font>
      <sz val="10"/>
      <color rgb="FF006600"/>
      <name val="Calibri"/>
      <family val="2"/>
      <charset val="238"/>
      <scheme val="minor"/>
    </font>
    <font>
      <b/>
      <sz val="10"/>
      <color rgb="FF006600"/>
      <name val="Calibri"/>
      <family val="2"/>
      <charset val="238"/>
      <scheme val="minor"/>
    </font>
    <font>
      <sz val="10"/>
      <color theme="6" tint="-0.499984740745262"/>
      <name val="Arial CE"/>
      <charset val="238"/>
    </font>
    <font>
      <b/>
      <sz val="12"/>
      <color theme="7"/>
      <name val="Calibri"/>
      <family val="2"/>
      <charset val="238"/>
      <scheme val="minor"/>
    </font>
    <font>
      <sz val="10"/>
      <color rgb="FFFF0000"/>
      <name val="Calibri"/>
      <family val="2"/>
      <charset val="238"/>
      <scheme val="minor"/>
    </font>
    <font>
      <b/>
      <sz val="12"/>
      <color indexed="8"/>
      <name val="Calibri"/>
      <family val="2"/>
      <charset val="238"/>
      <scheme val="minor"/>
    </font>
    <font>
      <b/>
      <sz val="12"/>
      <color rgb="FF006600"/>
      <name val="Lato Semibold"/>
      <family val="2"/>
      <charset val="238"/>
    </font>
    <font>
      <b/>
      <sz val="12"/>
      <color rgb="FF333333"/>
      <name val="Calibri"/>
      <family val="2"/>
      <charset val="238"/>
      <scheme val="minor"/>
    </font>
    <font>
      <sz val="12"/>
      <color rgb="FF333333"/>
      <name val="Calibri"/>
      <family val="2"/>
      <charset val="238"/>
      <scheme val="minor"/>
    </font>
    <font>
      <b/>
      <sz val="11"/>
      <color rgb="FF333333"/>
      <name val="Calibri"/>
      <family val="2"/>
      <charset val="238"/>
      <scheme val="minor"/>
    </font>
    <font>
      <b/>
      <sz val="10"/>
      <color rgb="FF333333"/>
      <name val="Calibri"/>
      <family val="2"/>
      <charset val="238"/>
      <scheme val="minor"/>
    </font>
    <font>
      <i/>
      <sz val="11"/>
      <color rgb="FF333333"/>
      <name val="Calibri"/>
      <family val="2"/>
      <charset val="238"/>
      <scheme val="minor"/>
    </font>
    <font>
      <sz val="11"/>
      <color rgb="FF333333"/>
      <name val="Calibri"/>
      <family val="2"/>
      <charset val="238"/>
      <scheme val="minor"/>
    </font>
    <font>
      <sz val="10"/>
      <name val="Calibri"/>
      <family val="2"/>
      <charset val="238"/>
    </font>
    <font>
      <sz val="10"/>
      <color rgb="FFFF0000"/>
      <name val="Arial CE"/>
      <charset val="238"/>
    </font>
    <font>
      <b/>
      <sz val="40"/>
      <color rgb="FF006600"/>
      <name val="Lato Black"/>
      <family val="2"/>
      <charset val="238"/>
    </font>
    <font>
      <i/>
      <sz val="14"/>
      <name val="Arial CE"/>
      <charset val="238"/>
    </font>
    <font>
      <b/>
      <sz val="40"/>
      <color rgb="FF008000"/>
      <name val="Lato Black"/>
      <family val="2"/>
      <charset val="238"/>
    </font>
    <font>
      <b/>
      <sz val="40"/>
      <color rgb="FF006E22"/>
      <name val="Calibri"/>
      <family val="2"/>
      <charset val="238"/>
      <scheme val="minor"/>
    </font>
    <font>
      <b/>
      <sz val="14"/>
      <color rgb="FF008000"/>
      <name val="Lato Black"/>
      <family val="2"/>
      <charset val="238"/>
    </font>
    <font>
      <b/>
      <sz val="14"/>
      <color rgb="FF008000"/>
      <name val="Calibri"/>
      <family val="2"/>
      <charset val="238"/>
      <scheme val="minor"/>
    </font>
    <font>
      <sz val="9.5"/>
      <name val="Calibri"/>
      <family val="2"/>
      <charset val="238"/>
    </font>
    <font>
      <b/>
      <sz val="14"/>
      <color theme="0"/>
      <name val="Calibri"/>
      <family val="2"/>
      <charset val="238"/>
      <scheme val="minor"/>
    </font>
    <font>
      <b/>
      <sz val="12"/>
      <color rgb="FF006600"/>
      <name val="Calibri"/>
      <family val="2"/>
      <charset val="238"/>
    </font>
    <font>
      <sz val="10"/>
      <name val="Arial CE"/>
      <family val="2"/>
      <charset val="238"/>
    </font>
    <font>
      <b/>
      <sz val="14"/>
      <color theme="9" tint="-0.249977111117893"/>
      <name val="Calibri"/>
      <family val="2"/>
      <charset val="238"/>
      <scheme val="minor"/>
    </font>
    <font>
      <i/>
      <sz val="12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b/>
      <i/>
      <sz val="11"/>
      <color theme="1"/>
      <name val="Calibri"/>
      <family val="2"/>
      <charset val="238"/>
      <scheme val="minor"/>
    </font>
    <font>
      <b/>
      <sz val="13"/>
      <name val="Calibri"/>
      <family val="2"/>
      <charset val="238"/>
      <scheme val="minor"/>
    </font>
    <font>
      <b/>
      <sz val="13"/>
      <color rgb="FF333333"/>
      <name val="Calibri"/>
      <family val="2"/>
      <charset val="238"/>
      <scheme val="minor"/>
    </font>
    <font>
      <sz val="13"/>
      <name val="Calibri"/>
      <family val="2"/>
      <charset val="238"/>
      <scheme val="minor"/>
    </font>
    <font>
      <b/>
      <sz val="11"/>
      <color rgb="FF006600"/>
      <name val="Lato Semibold"/>
      <family val="2"/>
      <charset val="238"/>
    </font>
    <font>
      <sz val="10"/>
      <name val="Times New Roman"/>
      <family val="1"/>
      <charset val="238"/>
    </font>
    <font>
      <sz val="13"/>
      <name val="Times New Roman"/>
      <family val="1"/>
      <charset val="238"/>
    </font>
    <font>
      <b/>
      <i/>
      <sz val="10"/>
      <name val="Calibri"/>
      <family val="2"/>
      <charset val="238"/>
      <scheme val="minor"/>
    </font>
    <font>
      <b/>
      <i/>
      <sz val="10"/>
      <color rgb="FF0000FF"/>
      <name val="Calibri"/>
      <family val="2"/>
      <charset val="238"/>
      <scheme val="minor"/>
    </font>
    <font>
      <b/>
      <i/>
      <u/>
      <sz val="12"/>
      <name val="Calibri"/>
      <family val="2"/>
      <charset val="238"/>
      <scheme val="minor"/>
    </font>
    <font>
      <b/>
      <sz val="12"/>
      <color theme="9"/>
      <name val="Calibri"/>
      <family val="2"/>
      <charset val="238"/>
      <scheme val="minor"/>
    </font>
    <font>
      <b/>
      <sz val="14"/>
      <color theme="1" tint="0.249977111117893"/>
      <name val="Calibri"/>
      <family val="2"/>
      <charset val="238"/>
      <scheme val="minor"/>
    </font>
    <font>
      <b/>
      <sz val="12"/>
      <color theme="1" tint="0.249977111117893"/>
      <name val="Calibri"/>
      <family val="2"/>
      <charset val="238"/>
      <scheme val="minor"/>
    </font>
    <font>
      <b/>
      <i/>
      <sz val="18"/>
      <name val="Calibri"/>
      <family val="2"/>
      <charset val="238"/>
      <scheme val="minor"/>
    </font>
    <font>
      <i/>
      <sz val="16"/>
      <name val="Calibri"/>
      <family val="2"/>
      <charset val="238"/>
      <scheme val="minor"/>
    </font>
    <font>
      <b/>
      <sz val="14"/>
      <name val="Calibri"/>
      <family val="2"/>
      <charset val="238"/>
      <scheme val="minor"/>
    </font>
    <font>
      <i/>
      <sz val="10"/>
      <name val="Calibri"/>
      <family val="2"/>
      <charset val="238"/>
      <scheme val="minor"/>
    </font>
    <font>
      <b/>
      <sz val="12"/>
      <color theme="9" tint="-0.249977111117893"/>
      <name val="Calibri"/>
      <family val="2"/>
      <charset val="238"/>
      <scheme val="minor"/>
    </font>
    <font>
      <sz val="12"/>
      <color rgb="FFC00000"/>
      <name val="Calibri"/>
      <family val="2"/>
      <charset val="238"/>
      <scheme val="minor"/>
    </font>
    <font>
      <b/>
      <i/>
      <sz val="12"/>
      <color rgb="FFFF0000"/>
      <name val="Calibri"/>
      <family val="2"/>
      <charset val="238"/>
      <scheme val="minor"/>
    </font>
    <font>
      <sz val="12"/>
      <color theme="5"/>
      <name val="Calibri"/>
      <family val="2"/>
      <charset val="238"/>
      <scheme val="minor"/>
    </font>
    <font>
      <b/>
      <i/>
      <sz val="11"/>
      <name val="Calibri"/>
      <family val="2"/>
      <charset val="238"/>
      <scheme val="minor"/>
    </font>
    <font>
      <b/>
      <sz val="14"/>
      <color theme="6" tint="-0.249977111117893"/>
      <name val="Lato Semibold"/>
      <family val="2"/>
      <charset val="238"/>
    </font>
    <font>
      <sz val="10"/>
      <name val="Times New Roman CE"/>
    </font>
    <font>
      <sz val="14"/>
      <color rgb="FFFF0000"/>
      <name val="Arial CE"/>
      <charset val="238"/>
    </font>
    <font>
      <b/>
      <sz val="11"/>
      <color rgb="FF7030A0"/>
      <name val="Calibri"/>
      <family val="2"/>
      <charset val="238"/>
      <scheme val="minor"/>
    </font>
    <font>
      <sz val="14"/>
      <color rgb="FF333333"/>
      <name val="Calibri"/>
      <family val="2"/>
      <charset val="238"/>
      <scheme val="minor"/>
    </font>
    <font>
      <sz val="10"/>
      <color rgb="FFFF0000"/>
      <name val="Times New Roman"/>
      <family val="1"/>
      <charset val="238"/>
    </font>
    <font>
      <b/>
      <sz val="12"/>
      <color rgb="FFFF0000"/>
      <name val="Calibri"/>
      <family val="2"/>
      <charset val="238"/>
      <scheme val="minor"/>
    </font>
    <font>
      <b/>
      <sz val="11"/>
      <color rgb="FFFF0000"/>
      <name val="Calibri"/>
      <family val="2"/>
      <charset val="238"/>
      <scheme val="minor"/>
    </font>
    <font>
      <b/>
      <i/>
      <sz val="10"/>
      <color rgb="FFFF0000"/>
      <name val="Calibri"/>
      <family val="2"/>
      <charset val="238"/>
      <scheme val="minor"/>
    </font>
    <font>
      <sz val="10"/>
      <color theme="4"/>
      <name val="Calibri"/>
      <family val="2"/>
      <charset val="238"/>
      <scheme val="minor"/>
    </font>
    <font>
      <b/>
      <sz val="10"/>
      <color rgb="FFFF0000"/>
      <name val="Calibri"/>
      <family val="2"/>
      <charset val="238"/>
      <scheme val="minor"/>
    </font>
    <font>
      <b/>
      <sz val="12"/>
      <name val="Calibri"/>
      <family val="2"/>
      <charset val="238"/>
    </font>
    <font>
      <b/>
      <sz val="12"/>
      <color rgb="FF333333"/>
      <name val="Calibri"/>
      <family val="2"/>
    </font>
    <font>
      <b/>
      <sz val="11"/>
      <color rgb="FF333333"/>
      <name val="Calibri"/>
      <family val="2"/>
    </font>
    <font>
      <b/>
      <sz val="10"/>
      <color rgb="FF333333"/>
      <name val="Calibri"/>
      <family val="2"/>
    </font>
    <font>
      <sz val="12"/>
      <color rgb="FF000000"/>
      <name val="Calibri"/>
      <family val="2"/>
    </font>
    <font>
      <sz val="11"/>
      <color rgb="FF000000"/>
      <name val="Calibri"/>
      <family val="2"/>
    </font>
    <font>
      <b/>
      <sz val="14"/>
      <color rgb="FF006400"/>
      <name val="Lato Semibold"/>
      <family val="2"/>
    </font>
    <font>
      <b/>
      <sz val="12"/>
      <color rgb="FF000000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43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7CE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D3D3D3"/>
      </patternFill>
    </fill>
    <fill>
      <patternFill patternType="solid">
        <fgColor rgb="FFD0DEEE"/>
      </patternFill>
    </fill>
  </fills>
  <borders count="1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/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rgb="FF006E22"/>
      </left>
      <right style="thin">
        <color rgb="FF006E22"/>
      </right>
      <top style="thin">
        <color rgb="FF006E22"/>
      </top>
      <bottom style="thin">
        <color rgb="FF006E22"/>
      </bottom>
      <diagonal/>
    </border>
    <border>
      <left/>
      <right style="thin">
        <color rgb="FF006E22"/>
      </right>
      <top style="thin">
        <color rgb="FF006E22"/>
      </top>
      <bottom style="thin">
        <color rgb="FF006E22"/>
      </bottom>
      <diagonal/>
    </border>
    <border>
      <left style="thin">
        <color rgb="FF006E22"/>
      </left>
      <right/>
      <top style="thin">
        <color rgb="FF006E22"/>
      </top>
      <bottom style="thin">
        <color rgb="FF006E22"/>
      </bottom>
      <diagonal/>
    </border>
    <border>
      <left/>
      <right style="thin">
        <color rgb="FF006E22"/>
      </right>
      <top style="thin">
        <color rgb="FF006E22"/>
      </top>
      <bottom/>
      <diagonal/>
    </border>
    <border>
      <left style="thin">
        <color rgb="FF006E22"/>
      </left>
      <right style="thin">
        <color rgb="FF006E22"/>
      </right>
      <top style="thin">
        <color rgb="FF006E22"/>
      </top>
      <bottom/>
      <diagonal/>
    </border>
    <border>
      <left style="thin">
        <color rgb="FF006E22"/>
      </left>
      <right/>
      <top style="thin">
        <color rgb="FF006E22"/>
      </top>
      <bottom/>
      <diagonal/>
    </border>
    <border>
      <left/>
      <right/>
      <top/>
      <bottom style="thick">
        <color rgb="FF328228"/>
      </bottom>
      <diagonal/>
    </border>
    <border>
      <left/>
      <right/>
      <top style="thick">
        <color rgb="FF328228"/>
      </top>
      <bottom/>
      <diagonal/>
    </border>
    <border>
      <left/>
      <right/>
      <top/>
      <bottom style="thin">
        <color rgb="FF006600"/>
      </bottom>
      <diagonal/>
    </border>
    <border>
      <left style="thin">
        <color rgb="FF006600"/>
      </left>
      <right/>
      <top/>
      <bottom/>
      <diagonal/>
    </border>
    <border>
      <left style="thin">
        <color rgb="FF006600"/>
      </left>
      <right/>
      <top/>
      <bottom style="thin">
        <color rgb="FF006600"/>
      </bottom>
      <diagonal/>
    </border>
    <border>
      <left style="thin">
        <color rgb="FF006600"/>
      </left>
      <right/>
      <top style="thin">
        <color rgb="FF006600"/>
      </top>
      <bottom style="thin">
        <color rgb="FF006600"/>
      </bottom>
      <diagonal/>
    </border>
    <border>
      <left style="thin">
        <color rgb="FF006600"/>
      </left>
      <right style="thin">
        <color indexed="64"/>
      </right>
      <top/>
      <bottom style="thin">
        <color rgb="FF006600"/>
      </bottom>
      <diagonal/>
    </border>
    <border>
      <left style="thin">
        <color indexed="64"/>
      </left>
      <right style="thin">
        <color indexed="64"/>
      </right>
      <top/>
      <bottom style="thin">
        <color rgb="FF006600"/>
      </bottom>
      <diagonal/>
    </border>
    <border>
      <left style="thin">
        <color indexed="64"/>
      </left>
      <right/>
      <top/>
      <bottom style="thin">
        <color rgb="FF006600"/>
      </bottom>
      <diagonal/>
    </border>
    <border>
      <left style="thin">
        <color rgb="FF006600"/>
      </left>
      <right style="thin">
        <color indexed="64"/>
      </right>
      <top style="thin">
        <color rgb="FF006600"/>
      </top>
      <bottom style="thin">
        <color rgb="FF006600"/>
      </bottom>
      <diagonal/>
    </border>
    <border>
      <left style="thin">
        <color indexed="64"/>
      </left>
      <right style="thin">
        <color indexed="64"/>
      </right>
      <top style="thin">
        <color rgb="FF006600"/>
      </top>
      <bottom style="thin">
        <color rgb="FF006600"/>
      </bottom>
      <diagonal/>
    </border>
    <border>
      <left style="thin">
        <color indexed="64"/>
      </left>
      <right/>
      <top style="thin">
        <color rgb="FF006600"/>
      </top>
      <bottom style="thin">
        <color rgb="FF006600"/>
      </bottom>
      <diagonal/>
    </border>
    <border>
      <left style="medium">
        <color indexed="64"/>
      </left>
      <right/>
      <top style="thin">
        <color rgb="FF006600"/>
      </top>
      <bottom style="thin">
        <color rgb="FF006600"/>
      </bottom>
      <diagonal/>
    </border>
    <border>
      <left/>
      <right/>
      <top/>
      <bottom style="medium">
        <color rgb="FF006600"/>
      </bottom>
      <diagonal/>
    </border>
    <border>
      <left style="thin">
        <color rgb="FF006600"/>
      </left>
      <right/>
      <top/>
      <bottom style="medium">
        <color rgb="FF006600"/>
      </bottom>
      <diagonal/>
    </border>
    <border>
      <left style="thin">
        <color rgb="FF006600"/>
      </left>
      <right style="thin">
        <color indexed="64"/>
      </right>
      <top/>
      <bottom style="medium">
        <color rgb="FF006600"/>
      </bottom>
      <diagonal/>
    </border>
    <border>
      <left style="thin">
        <color indexed="64"/>
      </left>
      <right/>
      <top/>
      <bottom style="medium">
        <color rgb="FF006600"/>
      </bottom>
      <diagonal/>
    </border>
    <border>
      <left/>
      <right/>
      <top style="thin">
        <color rgb="FF006600"/>
      </top>
      <bottom/>
      <diagonal/>
    </border>
    <border>
      <left style="thin">
        <color rgb="FF006E22"/>
      </left>
      <right style="thin">
        <color rgb="FF006E22"/>
      </right>
      <top style="thin">
        <color rgb="FF006600"/>
      </top>
      <bottom style="thin">
        <color rgb="FF006E22"/>
      </bottom>
      <diagonal/>
    </border>
    <border>
      <left style="thin">
        <color rgb="FF006E22"/>
      </left>
      <right/>
      <top style="thin">
        <color rgb="FF006600"/>
      </top>
      <bottom style="thin">
        <color rgb="FF006E22"/>
      </bottom>
      <diagonal/>
    </border>
    <border>
      <left/>
      <right style="thin">
        <color rgb="FF006E22"/>
      </right>
      <top style="thin">
        <color rgb="FF006600"/>
      </top>
      <bottom style="thin">
        <color rgb="FF006E22"/>
      </bottom>
      <diagonal/>
    </border>
    <border>
      <left/>
      <right/>
      <top style="medium">
        <color rgb="FF006600"/>
      </top>
      <bottom style="thin">
        <color rgb="FF006600"/>
      </bottom>
      <diagonal/>
    </border>
    <border>
      <left/>
      <right style="thin">
        <color indexed="64"/>
      </right>
      <top style="thin">
        <color rgb="FF006600"/>
      </top>
      <bottom style="thin">
        <color rgb="FF006600"/>
      </bottom>
      <diagonal/>
    </border>
    <border>
      <left/>
      <right style="thin">
        <color indexed="64"/>
      </right>
      <top/>
      <bottom style="thin">
        <color rgb="FF006600"/>
      </bottom>
      <diagonal/>
    </border>
    <border>
      <left/>
      <right style="thin">
        <color indexed="64"/>
      </right>
      <top/>
      <bottom style="medium">
        <color rgb="FF006600"/>
      </bottom>
      <diagonal/>
    </border>
    <border>
      <left/>
      <right style="double">
        <color rgb="FF006600"/>
      </right>
      <top/>
      <bottom style="thin">
        <color rgb="FF006600"/>
      </bottom>
      <diagonal/>
    </border>
    <border>
      <left style="thin">
        <color indexed="64"/>
      </left>
      <right style="double">
        <color rgb="FF006600"/>
      </right>
      <top style="thin">
        <color rgb="FF006600"/>
      </top>
      <bottom style="thin">
        <color rgb="FF006600"/>
      </bottom>
      <diagonal/>
    </border>
    <border>
      <left style="thin">
        <color rgb="FF006600"/>
      </left>
      <right style="double">
        <color rgb="FF006600"/>
      </right>
      <top style="thin">
        <color rgb="FF006600"/>
      </top>
      <bottom style="thin">
        <color rgb="FF006600"/>
      </bottom>
      <diagonal/>
    </border>
    <border>
      <left style="thin">
        <color rgb="FF006600"/>
      </left>
      <right style="double">
        <color rgb="FF006600"/>
      </right>
      <top/>
      <bottom style="medium">
        <color rgb="FF006600"/>
      </bottom>
      <diagonal/>
    </border>
    <border>
      <left style="thin">
        <color rgb="FF006E22"/>
      </left>
      <right style="double">
        <color rgb="FF006600"/>
      </right>
      <top style="thin">
        <color rgb="FF006600"/>
      </top>
      <bottom style="thin">
        <color rgb="FF006E22"/>
      </bottom>
      <diagonal/>
    </border>
    <border>
      <left style="thin">
        <color rgb="FF006E22"/>
      </left>
      <right style="double">
        <color rgb="FF006600"/>
      </right>
      <top style="thin">
        <color rgb="FF006E22"/>
      </top>
      <bottom style="thin">
        <color rgb="FF006E22"/>
      </bottom>
      <diagonal/>
    </border>
    <border>
      <left style="thin">
        <color rgb="FF006E22"/>
      </left>
      <right style="thin">
        <color rgb="FF006E22"/>
      </right>
      <top/>
      <bottom style="thin">
        <color rgb="FF006E22"/>
      </bottom>
      <diagonal/>
    </border>
    <border>
      <left/>
      <right style="thin">
        <color rgb="FF006E22"/>
      </right>
      <top/>
      <bottom style="thin">
        <color rgb="FF006E22"/>
      </bottom>
      <diagonal/>
    </border>
    <border>
      <left style="thin">
        <color rgb="FF006E22"/>
      </left>
      <right/>
      <top/>
      <bottom style="thin">
        <color rgb="FF006E22"/>
      </bottom>
      <diagonal/>
    </border>
    <border>
      <left/>
      <right/>
      <top style="thin">
        <color rgb="FF006600"/>
      </top>
      <bottom style="thin">
        <color rgb="FF006600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rgb="FF006600"/>
      </left>
      <right style="thin">
        <color indexed="64"/>
      </right>
      <top/>
      <bottom/>
      <diagonal/>
    </border>
    <border>
      <left style="thin">
        <color rgb="FF006600"/>
      </left>
      <right style="hair">
        <color indexed="64"/>
      </right>
      <top/>
      <bottom style="medium">
        <color rgb="FF006600"/>
      </bottom>
      <diagonal/>
    </border>
    <border>
      <left style="hair">
        <color indexed="64"/>
      </left>
      <right/>
      <top/>
      <bottom style="medium">
        <color rgb="FF006600"/>
      </bottom>
      <diagonal/>
    </border>
    <border>
      <left style="thin">
        <color rgb="FF006E22"/>
      </left>
      <right style="thin">
        <color rgb="FF006E22"/>
      </right>
      <top/>
      <bottom style="medium">
        <color rgb="FF006600"/>
      </bottom>
      <diagonal/>
    </border>
    <border>
      <left style="thin">
        <color rgb="FF006E22"/>
      </left>
      <right/>
      <top/>
      <bottom style="medium">
        <color rgb="FF006600"/>
      </bottom>
      <diagonal/>
    </border>
    <border>
      <left style="thin">
        <color rgb="FF006600"/>
      </left>
      <right/>
      <top/>
      <bottom style="thin">
        <color rgb="FF006E22"/>
      </bottom>
      <diagonal/>
    </border>
    <border>
      <left style="thin">
        <color rgb="FF006600"/>
      </left>
      <right style="thin">
        <color rgb="FF006E22"/>
      </right>
      <top/>
      <bottom style="medium">
        <color rgb="FF006600"/>
      </bottom>
      <diagonal/>
    </border>
    <border>
      <left style="thin">
        <color rgb="FF006600"/>
      </left>
      <right style="thin">
        <color rgb="FF006600"/>
      </right>
      <top/>
      <bottom style="medium">
        <color rgb="FF0066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8"/>
      </left>
      <right/>
      <top/>
      <bottom style="medium">
        <color indexed="64"/>
      </bottom>
      <diagonal/>
    </border>
    <border>
      <left/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/>
      <top/>
      <bottom style="thin">
        <color indexed="64"/>
      </bottom>
      <diagonal/>
    </border>
    <border>
      <left/>
      <right style="thin">
        <color indexed="8"/>
      </right>
      <top/>
      <bottom style="medium">
        <color indexed="64"/>
      </bottom>
      <diagonal/>
    </border>
    <border>
      <left style="thin">
        <color indexed="8"/>
      </left>
      <right style="thin">
        <color indexed="8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theme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rgb="FF006600"/>
      </left>
      <right style="thin">
        <color rgb="FF006600"/>
      </right>
      <top style="thin">
        <color rgb="FF006600"/>
      </top>
      <bottom style="thin">
        <color rgb="FF006600"/>
      </bottom>
      <diagonal/>
    </border>
    <border>
      <left/>
      <right style="hair">
        <color indexed="64"/>
      </right>
      <top style="thin">
        <color rgb="FF006600"/>
      </top>
      <bottom style="thin">
        <color rgb="FF006600"/>
      </bottom>
      <diagonal/>
    </border>
    <border>
      <left style="hair">
        <color indexed="64"/>
      </left>
      <right/>
      <top style="thin">
        <color rgb="FF006600"/>
      </top>
      <bottom style="thin">
        <color rgb="FF006600"/>
      </bottom>
      <diagonal/>
    </border>
    <border>
      <left style="thin">
        <color rgb="FF006600"/>
      </left>
      <right style="thin">
        <color rgb="FF006E22"/>
      </right>
      <top style="thin">
        <color rgb="FF006600"/>
      </top>
      <bottom style="thin">
        <color rgb="FF006600"/>
      </bottom>
      <diagonal/>
    </border>
    <border>
      <left style="thin">
        <color rgb="FF006E22"/>
      </left>
      <right style="thin">
        <color rgb="FF006E22"/>
      </right>
      <top style="thin">
        <color rgb="FF006600"/>
      </top>
      <bottom style="thin">
        <color rgb="FF006600"/>
      </bottom>
      <diagonal/>
    </border>
    <border>
      <left style="thin">
        <color rgb="FF006600"/>
      </left>
      <right style="thin">
        <color indexed="64"/>
      </right>
      <top style="thin">
        <color rgb="FF006600"/>
      </top>
      <bottom/>
      <diagonal/>
    </border>
    <border>
      <left style="thin">
        <color indexed="64"/>
      </left>
      <right style="medium">
        <color indexed="64"/>
      </right>
      <top style="thin">
        <color rgb="FF006600"/>
      </top>
      <bottom/>
      <diagonal/>
    </border>
    <border>
      <left style="thin">
        <color indexed="64"/>
      </left>
      <right/>
      <top style="thin">
        <color rgb="FF006600"/>
      </top>
      <bottom/>
      <diagonal/>
    </border>
    <border>
      <left style="thin">
        <color indexed="64"/>
      </left>
      <right style="thin">
        <color indexed="64"/>
      </right>
      <top style="thin">
        <color rgb="FF006600"/>
      </top>
      <bottom/>
      <diagonal/>
    </border>
    <border>
      <left/>
      <right style="medium">
        <color indexed="8"/>
      </right>
      <top style="thin">
        <color rgb="FF006600"/>
      </top>
      <bottom/>
      <diagonal/>
    </border>
    <border>
      <left style="thin">
        <color indexed="64"/>
      </left>
      <right style="medium">
        <color indexed="64"/>
      </right>
      <top/>
      <bottom style="thin">
        <color rgb="FF006600"/>
      </bottom>
      <diagonal/>
    </border>
    <border>
      <left/>
      <right style="medium">
        <color indexed="8"/>
      </right>
      <top/>
      <bottom style="thin">
        <color rgb="FF006600"/>
      </bottom>
      <diagonal/>
    </border>
    <border>
      <left style="thin">
        <color rgb="FF006600"/>
      </left>
      <right style="thin">
        <color rgb="FF006600"/>
      </right>
      <top style="thin">
        <color rgb="FF006600"/>
      </top>
      <bottom/>
      <diagonal/>
    </border>
    <border>
      <left style="thin">
        <color rgb="FF006600"/>
      </left>
      <right style="thin">
        <color rgb="FF006600"/>
      </right>
      <top/>
      <bottom style="thin">
        <color rgb="FF006600"/>
      </bottom>
      <diagonal/>
    </border>
    <border>
      <left/>
      <right style="thin">
        <color rgb="FF006600"/>
      </right>
      <top/>
      <bottom/>
      <diagonal/>
    </border>
    <border>
      <left/>
      <right style="hair">
        <color indexed="64"/>
      </right>
      <top/>
      <bottom style="thin">
        <color rgb="FF006600"/>
      </bottom>
      <diagonal/>
    </border>
    <border>
      <left style="hair">
        <color indexed="64"/>
      </left>
      <right/>
      <top style="hair">
        <color indexed="64"/>
      </top>
      <bottom style="thin">
        <color rgb="FF006600"/>
      </bottom>
      <diagonal/>
    </border>
    <border>
      <left style="hair">
        <color indexed="64"/>
      </left>
      <right/>
      <top/>
      <bottom style="thin">
        <color rgb="FF006600"/>
      </bottom>
      <diagonal/>
    </border>
    <border>
      <left style="thin">
        <color rgb="FF006E22"/>
      </left>
      <right style="thin">
        <color rgb="FF006E22"/>
      </right>
      <top style="thin">
        <color rgb="FF006E22"/>
      </top>
      <bottom style="thin">
        <color rgb="FF006600"/>
      </bottom>
      <diagonal/>
    </border>
    <border>
      <left style="thin">
        <color rgb="FF006E22"/>
      </left>
      <right style="thin">
        <color rgb="FF006E22"/>
      </right>
      <top/>
      <bottom style="thin">
        <color rgb="FF006600"/>
      </bottom>
      <diagonal/>
    </border>
    <border>
      <left style="thin">
        <color rgb="FF006600"/>
      </left>
      <right style="thin">
        <color rgb="FF006E22"/>
      </right>
      <top style="thin">
        <color rgb="FF006E22"/>
      </top>
      <bottom style="thin">
        <color rgb="FF006600"/>
      </bottom>
      <diagonal/>
    </border>
    <border>
      <left style="thin">
        <color rgb="FF006600"/>
      </left>
      <right style="thin">
        <color rgb="FF006E22"/>
      </right>
      <top/>
      <bottom style="thin">
        <color rgb="FF006600"/>
      </bottom>
      <diagonal/>
    </border>
    <border>
      <left/>
      <right/>
      <top style="medium">
        <color rgb="FF006E22"/>
      </top>
      <bottom style="medium">
        <color rgb="FF006E22"/>
      </bottom>
      <diagonal/>
    </border>
    <border>
      <left/>
      <right style="thick">
        <color theme="3" tint="0.249977111117893"/>
      </right>
      <top/>
      <bottom/>
      <diagonal/>
    </border>
    <border>
      <left/>
      <right/>
      <top/>
      <bottom style="thin">
        <color theme="3"/>
      </bottom>
      <diagonal/>
    </border>
    <border>
      <left/>
      <right style="medium">
        <color indexed="64"/>
      </right>
      <top/>
      <bottom style="thin">
        <color theme="3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8"/>
      </left>
      <right style="double">
        <color indexed="64"/>
      </right>
      <top style="thin">
        <color theme="3"/>
      </top>
      <bottom style="medium">
        <color indexed="64"/>
      </bottom>
      <diagonal/>
    </border>
    <border>
      <left style="thin">
        <color indexed="8"/>
      </left>
      <right style="thin">
        <color indexed="64"/>
      </right>
      <top style="thin">
        <color theme="3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theme="3"/>
      </top>
      <bottom style="medium">
        <color indexed="64"/>
      </bottom>
      <diagonal/>
    </border>
    <border>
      <left style="thin">
        <color indexed="64"/>
      </left>
      <right/>
      <top style="thin">
        <color theme="3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thin">
        <color rgb="FF006600"/>
      </top>
      <bottom/>
      <diagonal/>
    </border>
    <border>
      <left/>
      <right style="thin">
        <color rgb="FF006E22"/>
      </right>
      <top style="thin">
        <color rgb="FF006E22"/>
      </top>
      <bottom style="thin">
        <color rgb="FF006600"/>
      </bottom>
      <diagonal/>
    </border>
    <border>
      <left style="thin">
        <color rgb="FF006E22"/>
      </left>
      <right/>
      <top style="thin">
        <color rgb="FF006E22"/>
      </top>
      <bottom style="thin">
        <color rgb="FF006600"/>
      </bottom>
      <diagonal/>
    </border>
    <border>
      <left style="thin">
        <color rgb="FF006E22"/>
      </left>
      <right style="double">
        <color rgb="FF006600"/>
      </right>
      <top style="thin">
        <color rgb="FF006E22"/>
      </top>
      <bottom style="thin">
        <color rgb="FF006600"/>
      </bottom>
      <diagonal/>
    </border>
    <border>
      <left style="thin">
        <color rgb="FF006E22"/>
      </left>
      <right style="double">
        <color rgb="FF006600"/>
      </right>
      <top/>
      <bottom style="thin">
        <color rgb="FF006E22"/>
      </bottom>
      <diagonal/>
    </border>
    <border>
      <left/>
      <right/>
      <top style="thin">
        <color rgb="FF006600"/>
      </top>
      <bottom style="hair">
        <color indexed="64"/>
      </bottom>
      <diagonal/>
    </border>
    <border>
      <left/>
      <right style="hair">
        <color indexed="64"/>
      </right>
      <top style="thin">
        <color rgb="FF006600"/>
      </top>
      <bottom style="hair">
        <color indexed="64"/>
      </bottom>
      <diagonal/>
    </border>
    <border>
      <left style="thin">
        <color rgb="FF006E22"/>
      </left>
      <right/>
      <top style="thin">
        <color rgb="FF006600"/>
      </top>
      <bottom style="thin">
        <color rgb="FF006600"/>
      </bottom>
      <diagonal/>
    </border>
    <border>
      <left style="thin">
        <color rgb="FF006E22"/>
      </left>
      <right/>
      <top/>
      <bottom style="thin">
        <color rgb="FF006600"/>
      </bottom>
      <diagonal/>
    </border>
    <border>
      <left style="hair">
        <color indexed="64"/>
      </left>
      <right/>
      <top style="thin">
        <color rgb="FF006600"/>
      </top>
      <bottom style="hair">
        <color indexed="64"/>
      </bottom>
      <diagonal/>
    </border>
    <border>
      <left/>
      <right/>
      <top style="hair">
        <color indexed="64"/>
      </top>
      <bottom style="thin">
        <color rgb="FF006600"/>
      </bottom>
      <diagonal/>
    </border>
    <border>
      <left/>
      <right style="hair">
        <color indexed="64"/>
      </right>
      <top style="hair">
        <color indexed="64"/>
      </top>
      <bottom style="thin">
        <color rgb="FF006600"/>
      </bottom>
      <diagonal/>
    </border>
    <border>
      <left style="hair">
        <color indexed="64"/>
      </left>
      <right style="thin">
        <color rgb="FF006E22"/>
      </right>
      <top style="hair">
        <color indexed="64"/>
      </top>
      <bottom style="thin">
        <color rgb="FF006600"/>
      </bottom>
      <diagonal/>
    </border>
    <border>
      <left/>
      <right/>
      <top/>
      <bottom style="thin">
        <color rgb="FF006400"/>
      </bottom>
      <diagonal/>
    </border>
    <border>
      <left/>
      <right style="thin">
        <color rgb="FF006400"/>
      </right>
      <top/>
      <bottom style="thin">
        <color rgb="FF006400"/>
      </bottom>
      <diagonal/>
    </border>
    <border>
      <left style="thin">
        <color rgb="FF006400"/>
      </left>
      <right style="thin">
        <color rgb="FF006400"/>
      </right>
      <top/>
      <bottom style="thin">
        <color rgb="FF006400"/>
      </bottom>
      <diagonal/>
    </border>
    <border>
      <left style="thin">
        <color rgb="FF006400"/>
      </left>
      <right/>
      <top/>
      <bottom style="thin">
        <color rgb="FF006400"/>
      </bottom>
      <diagonal/>
    </border>
    <border>
      <left/>
      <right/>
      <top/>
      <bottom style="medium">
        <color rgb="FF006400"/>
      </bottom>
      <diagonal/>
    </border>
    <border>
      <left/>
      <right style="thin">
        <color rgb="FF006400"/>
      </right>
      <top style="thin">
        <color rgb="FF006400"/>
      </top>
      <bottom style="medium">
        <color rgb="FF006400"/>
      </bottom>
      <diagonal/>
    </border>
    <border>
      <left style="thin">
        <color rgb="FF006400"/>
      </left>
      <right style="thin">
        <color rgb="FF006400"/>
      </right>
      <top style="thin">
        <color rgb="FF006400"/>
      </top>
      <bottom style="medium">
        <color rgb="FF006400"/>
      </bottom>
      <diagonal/>
    </border>
    <border>
      <left style="thin">
        <color rgb="FF006400"/>
      </left>
      <right/>
      <top style="thin">
        <color rgb="FF006400"/>
      </top>
      <bottom style="medium">
        <color rgb="FF006400"/>
      </bottom>
      <diagonal/>
    </border>
    <border>
      <left/>
      <right style="thin">
        <color rgb="FF006400"/>
      </right>
      <top style="thin">
        <color rgb="FF006400"/>
      </top>
      <bottom style="thin">
        <color rgb="FF006400"/>
      </bottom>
      <diagonal/>
    </border>
    <border>
      <left style="thin">
        <color rgb="FF006400"/>
      </left>
      <right style="thin">
        <color rgb="FF006400"/>
      </right>
      <top style="thin">
        <color rgb="FF006400"/>
      </top>
      <bottom style="thin">
        <color rgb="FF006400"/>
      </bottom>
      <diagonal/>
    </border>
    <border>
      <left style="thin">
        <color rgb="FF006400"/>
      </left>
      <right/>
      <top style="thin">
        <color rgb="FF006400"/>
      </top>
      <bottom style="thin">
        <color rgb="FF006400"/>
      </bottom>
      <diagonal/>
    </border>
    <border>
      <left style="thin">
        <color rgb="FF006400"/>
      </left>
      <right style="thin">
        <color rgb="FF006400"/>
      </right>
      <top style="thin">
        <color rgb="FF006400"/>
      </top>
      <bottom/>
      <diagonal/>
    </border>
    <border>
      <left style="thin">
        <color rgb="FF006400"/>
      </left>
      <right/>
      <top style="thin">
        <color rgb="FF006400"/>
      </top>
      <bottom/>
      <diagonal/>
    </border>
    <border>
      <left/>
      <right/>
      <top/>
      <bottom style="thick">
        <color rgb="FF006400"/>
      </bottom>
      <diagonal/>
    </border>
  </borders>
  <cellStyleXfs count="29">
    <xf numFmtId="0" fontId="0" fillId="0" borderId="0"/>
    <xf numFmtId="0" fontId="11" fillId="0" borderId="0" applyNumberFormat="0" applyFill="0" applyBorder="0" applyAlignment="0" applyProtection="0"/>
    <xf numFmtId="0" fontId="10" fillId="0" borderId="0"/>
    <xf numFmtId="0" fontId="20" fillId="0" borderId="0"/>
    <xf numFmtId="0" fontId="22" fillId="0" borderId="0"/>
    <xf numFmtId="0" fontId="23" fillId="0" borderId="0"/>
    <xf numFmtId="0" fontId="10" fillId="0" borderId="0"/>
    <xf numFmtId="0" fontId="10" fillId="0" borderId="0"/>
    <xf numFmtId="0" fontId="9" fillId="0" borderId="0"/>
    <xf numFmtId="0" fontId="10" fillId="0" borderId="0"/>
    <xf numFmtId="0" fontId="8" fillId="0" borderId="0"/>
    <xf numFmtId="0" fontId="7" fillId="0" borderId="0"/>
    <xf numFmtId="0" fontId="6" fillId="0" borderId="0"/>
    <xf numFmtId="0" fontId="39" fillId="0" borderId="0"/>
    <xf numFmtId="0" fontId="5" fillId="0" borderId="0"/>
    <xf numFmtId="0" fontId="10" fillId="0" borderId="0"/>
    <xf numFmtId="0" fontId="11" fillId="0" borderId="0" applyNumberFormat="0" applyFill="0" applyBorder="0" applyAlignment="0" applyProtection="0">
      <alignment vertical="top"/>
      <protection locked="0"/>
    </xf>
    <xf numFmtId="0" fontId="10" fillId="0" borderId="0"/>
    <xf numFmtId="0" fontId="87" fillId="11" borderId="0" applyNumberFormat="0" applyBorder="0" applyAlignment="0" applyProtection="0"/>
    <xf numFmtId="0" fontId="10" fillId="0" borderId="0"/>
    <xf numFmtId="0" fontId="22" fillId="0" borderId="0"/>
    <xf numFmtId="0" fontId="23" fillId="0" borderId="0"/>
    <xf numFmtId="0" fontId="10" fillId="0" borderId="0"/>
    <xf numFmtId="0" fontId="4" fillId="0" borderId="0"/>
    <xf numFmtId="0" fontId="39" fillId="0" borderId="0"/>
    <xf numFmtId="0" fontId="10" fillId="0" borderId="0"/>
    <xf numFmtId="0" fontId="22" fillId="0" borderId="0"/>
    <xf numFmtId="0" fontId="10" fillId="0" borderId="0"/>
    <xf numFmtId="0" fontId="126" fillId="0" borderId="0" applyBorder="0"/>
  </cellStyleXfs>
  <cellXfs count="626">
    <xf numFmtId="0" fontId="0" fillId="0" borderId="0" xfId="0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0" borderId="0" xfId="0" applyFont="1"/>
    <xf numFmtId="0" fontId="18" fillId="0" borderId="0" xfId="0" applyFont="1"/>
    <xf numFmtId="0" fontId="23" fillId="0" borderId="0" xfId="5"/>
    <xf numFmtId="2" fontId="21" fillId="0" borderId="0" xfId="0" applyNumberFormat="1" applyFont="1"/>
    <xf numFmtId="2" fontId="21" fillId="0" borderId="0" xfId="0" applyNumberFormat="1" applyFont="1" applyAlignment="1">
      <alignment horizontal="center"/>
    </xf>
    <xf numFmtId="0" fontId="24" fillId="0" borderId="0" xfId="0" applyFont="1"/>
    <xf numFmtId="0" fontId="30" fillId="0" borderId="0" xfId="4" applyFont="1"/>
    <xf numFmtId="0" fontId="28" fillId="0" borderId="0" xfId="0" applyFont="1"/>
    <xf numFmtId="0" fontId="32" fillId="0" borderId="0" xfId="0" applyFont="1"/>
    <xf numFmtId="0" fontId="33" fillId="0" borderId="0" xfId="0" applyFont="1"/>
    <xf numFmtId="0" fontId="36" fillId="0" borderId="0" xfId="0" applyFont="1" applyAlignment="1">
      <alignment vertical="center"/>
    </xf>
    <xf numFmtId="0" fontId="28" fillId="0" borderId="0" xfId="0" applyFont="1" applyAlignment="1">
      <alignment vertical="center"/>
    </xf>
    <xf numFmtId="0" fontId="24" fillId="4" borderId="0" xfId="0" applyFont="1" applyFill="1"/>
    <xf numFmtId="0" fontId="27" fillId="4" borderId="0" xfId="0" applyFont="1" applyFill="1"/>
    <xf numFmtId="0" fontId="29" fillId="4" borderId="0" xfId="0" applyFont="1" applyFill="1"/>
    <xf numFmtId="0" fontId="25" fillId="4" borderId="0" xfId="0" applyFont="1" applyFill="1"/>
    <xf numFmtId="0" fontId="24" fillId="4" borderId="0" xfId="0" applyFont="1" applyFill="1" applyAlignment="1">
      <alignment horizontal="left"/>
    </xf>
    <xf numFmtId="0" fontId="27" fillId="0" borderId="0" xfId="0" applyFont="1"/>
    <xf numFmtId="4" fontId="48" fillId="4" borderId="0" xfId="0" quotePrefix="1" applyNumberFormat="1" applyFont="1" applyFill="1" applyAlignment="1">
      <alignment horizontal="center"/>
    </xf>
    <xf numFmtId="0" fontId="45" fillId="4" borderId="0" xfId="0" applyFont="1" applyFill="1"/>
    <xf numFmtId="4" fontId="27" fillId="0" borderId="19" xfId="0" applyNumberFormat="1" applyFont="1" applyBorder="1"/>
    <xf numFmtId="164" fontId="27" fillId="0" borderId="19" xfId="0" applyNumberFormat="1" applyFont="1" applyBorder="1" applyAlignment="1">
      <alignment horizontal="center"/>
    </xf>
    <xf numFmtId="4" fontId="27" fillId="4" borderId="19" xfId="0" applyNumberFormat="1" applyFont="1" applyFill="1" applyBorder="1"/>
    <xf numFmtId="3" fontId="27" fillId="4" borderId="0" xfId="0" applyNumberFormat="1" applyFont="1" applyFill="1"/>
    <xf numFmtId="4" fontId="27" fillId="4" borderId="0" xfId="0" applyNumberFormat="1" applyFont="1" applyFill="1"/>
    <xf numFmtId="164" fontId="27" fillId="4" borderId="0" xfId="0" applyNumberFormat="1" applyFont="1" applyFill="1" applyAlignment="1">
      <alignment horizontal="center"/>
    </xf>
    <xf numFmtId="164" fontId="27" fillId="0" borderId="21" xfId="0" applyNumberFormat="1" applyFont="1" applyBorder="1" applyAlignment="1">
      <alignment horizontal="center"/>
    </xf>
    <xf numFmtId="164" fontId="27" fillId="0" borderId="24" xfId="0" applyNumberFormat="1" applyFont="1" applyBorder="1" applyAlignment="1">
      <alignment horizontal="center"/>
    </xf>
    <xf numFmtId="0" fontId="10" fillId="0" borderId="0" xfId="15"/>
    <xf numFmtId="0" fontId="0" fillId="0" borderId="0" xfId="15" applyFont="1"/>
    <xf numFmtId="0" fontId="10" fillId="0" borderId="0" xfId="15" applyAlignment="1">
      <alignment vertical="top"/>
    </xf>
    <xf numFmtId="0" fontId="35" fillId="0" borderId="0" xfId="15" applyFont="1" applyAlignment="1">
      <alignment horizontal="right" vertical="center"/>
    </xf>
    <xf numFmtId="0" fontId="56" fillId="0" borderId="0" xfId="0" applyFont="1"/>
    <xf numFmtId="2" fontId="57" fillId="0" borderId="0" xfId="15" applyNumberFormat="1" applyFont="1" applyAlignment="1">
      <alignment vertical="top"/>
    </xf>
    <xf numFmtId="0" fontId="55" fillId="0" borderId="0" xfId="0" applyFont="1" applyAlignment="1">
      <alignment vertical="top"/>
    </xf>
    <xf numFmtId="0" fontId="0" fillId="0" borderId="0" xfId="0" applyAlignment="1">
      <alignment vertical="top"/>
    </xf>
    <xf numFmtId="2" fontId="57" fillId="0" borderId="25" xfId="15" quotePrefix="1" applyNumberFormat="1" applyFont="1" applyBorder="1" applyAlignment="1">
      <alignment vertical="top"/>
    </xf>
    <xf numFmtId="2" fontId="58" fillId="0" borderId="25" xfId="15" applyNumberFormat="1" applyFont="1" applyBorder="1" applyAlignment="1">
      <alignment vertical="top"/>
    </xf>
    <xf numFmtId="2" fontId="59" fillId="0" borderId="25" xfId="15" applyNumberFormat="1" applyFont="1" applyBorder="1" applyAlignment="1">
      <alignment vertical="top"/>
    </xf>
    <xf numFmtId="0" fontId="60" fillId="0" borderId="25" xfId="15" applyFont="1" applyBorder="1" applyAlignment="1">
      <alignment vertical="top"/>
    </xf>
    <xf numFmtId="2" fontId="61" fillId="0" borderId="25" xfId="15" applyNumberFormat="1" applyFont="1" applyBorder="1" applyAlignment="1">
      <alignment vertical="top"/>
    </xf>
    <xf numFmtId="0" fontId="55" fillId="0" borderId="25" xfId="0" applyFont="1" applyBorder="1" applyAlignment="1">
      <alignment vertical="top"/>
    </xf>
    <xf numFmtId="0" fontId="62" fillId="0" borderId="25" xfId="0" applyFont="1" applyBorder="1" applyAlignment="1">
      <alignment vertical="top"/>
    </xf>
    <xf numFmtId="0" fontId="10" fillId="0" borderId="25" xfId="15" applyBorder="1" applyAlignment="1">
      <alignment vertical="top"/>
    </xf>
    <xf numFmtId="0" fontId="0" fillId="0" borderId="25" xfId="0" applyBorder="1" applyAlignment="1">
      <alignment vertical="top"/>
    </xf>
    <xf numFmtId="2" fontId="63" fillId="0" borderId="0" xfId="15" applyNumberFormat="1" applyFont="1" applyAlignment="1">
      <alignment vertical="center"/>
    </xf>
    <xf numFmtId="2" fontId="58" fillId="0" borderId="0" xfId="15" applyNumberFormat="1" applyFont="1" applyAlignment="1">
      <alignment horizontal="right" vertical="center"/>
    </xf>
    <xf numFmtId="2" fontId="59" fillId="0" borderId="0" xfId="15" applyNumberFormat="1" applyFont="1" applyAlignment="1">
      <alignment vertical="center"/>
    </xf>
    <xf numFmtId="0" fontId="60" fillId="0" borderId="0" xfId="15" applyFont="1"/>
    <xf numFmtId="0" fontId="55" fillId="0" borderId="0" xfId="0" applyFont="1"/>
    <xf numFmtId="0" fontId="61" fillId="0" borderId="0" xfId="1" applyFont="1" applyFill="1" applyBorder="1" applyAlignment="1" applyProtection="1">
      <alignment horizontal="right" vertical="top"/>
    </xf>
    <xf numFmtId="0" fontId="64" fillId="0" borderId="0" xfId="15" applyFont="1"/>
    <xf numFmtId="0" fontId="28" fillId="0" borderId="0" xfId="15" applyFont="1"/>
    <xf numFmtId="2" fontId="66" fillId="0" borderId="25" xfId="15" quotePrefix="1" applyNumberFormat="1" applyFont="1" applyBorder="1" applyAlignment="1">
      <alignment vertical="top"/>
    </xf>
    <xf numFmtId="3" fontId="28" fillId="0" borderId="20" xfId="0" applyNumberFormat="1" applyFont="1" applyBorder="1"/>
    <xf numFmtId="164" fontId="27" fillId="0" borderId="23" xfId="0" applyNumberFormat="1" applyFont="1" applyBorder="1" applyAlignment="1">
      <alignment horizontal="center"/>
    </xf>
    <xf numFmtId="0" fontId="67" fillId="3" borderId="0" xfId="3" applyFont="1" applyFill="1"/>
    <xf numFmtId="0" fontId="67" fillId="3" borderId="27" xfId="3" applyFont="1" applyFill="1" applyBorder="1" applyAlignment="1">
      <alignment vertical="top"/>
    </xf>
    <xf numFmtId="0" fontId="67" fillId="3" borderId="28" xfId="3" applyFont="1" applyFill="1" applyBorder="1"/>
    <xf numFmtId="0" fontId="67" fillId="3" borderId="29" xfId="3" applyFont="1" applyFill="1" applyBorder="1" applyAlignment="1">
      <alignment vertical="top"/>
    </xf>
    <xf numFmtId="0" fontId="68" fillId="3" borderId="38" xfId="3" applyFont="1" applyFill="1" applyBorder="1" applyAlignment="1">
      <alignment horizontal="center" vertical="top"/>
    </xf>
    <xf numFmtId="0" fontId="68" fillId="3" borderId="39" xfId="3" applyFont="1" applyFill="1" applyBorder="1" applyAlignment="1">
      <alignment horizontal="center" vertical="top"/>
    </xf>
    <xf numFmtId="2" fontId="49" fillId="0" borderId="0" xfId="3" applyNumberFormat="1" applyFont="1" applyAlignment="1">
      <alignment horizontal="center" vertical="top"/>
    </xf>
    <xf numFmtId="164" fontId="50" fillId="0" borderId="0" xfId="3" applyNumberFormat="1" applyFont="1" applyAlignment="1">
      <alignment horizontal="center" vertical="top"/>
    </xf>
    <xf numFmtId="4" fontId="27" fillId="0" borderId="43" xfId="0" applyNumberFormat="1" applyFont="1" applyBorder="1"/>
    <xf numFmtId="4" fontId="27" fillId="4" borderId="43" xfId="0" applyNumberFormat="1" applyFont="1" applyFill="1" applyBorder="1"/>
    <xf numFmtId="164" fontId="27" fillId="0" borderId="43" xfId="0" applyNumberFormat="1" applyFont="1" applyBorder="1" applyAlignment="1">
      <alignment horizontal="center"/>
    </xf>
    <xf numFmtId="164" fontId="27" fillId="0" borderId="44" xfId="0" applyNumberFormat="1" applyFont="1" applyBorder="1" applyAlignment="1">
      <alignment horizontal="center"/>
    </xf>
    <xf numFmtId="3" fontId="28" fillId="0" borderId="45" xfId="0" applyNumberFormat="1" applyFont="1" applyBorder="1"/>
    <xf numFmtId="0" fontId="51" fillId="0" borderId="46" xfId="3" applyFont="1" applyBorder="1" applyAlignment="1">
      <alignment horizontal="left" vertical="top"/>
    </xf>
    <xf numFmtId="2" fontId="49" fillId="0" borderId="46" xfId="3" applyNumberFormat="1" applyFont="1" applyBorder="1" applyAlignment="1">
      <alignment horizontal="center" vertical="top"/>
    </xf>
    <xf numFmtId="164" fontId="27" fillId="0" borderId="45" xfId="0" applyNumberFormat="1" applyFont="1" applyBorder="1" applyAlignment="1">
      <alignment horizontal="center"/>
    </xf>
    <xf numFmtId="164" fontId="27" fillId="0" borderId="20" xfId="0" applyNumberFormat="1" applyFont="1" applyBorder="1" applyAlignment="1">
      <alignment horizontal="center"/>
    </xf>
    <xf numFmtId="4" fontId="27" fillId="0" borderId="54" xfId="0" applyNumberFormat="1" applyFont="1" applyBorder="1"/>
    <xf numFmtId="4" fontId="27" fillId="0" borderId="55" xfId="0" applyNumberFormat="1" applyFont="1" applyBorder="1"/>
    <xf numFmtId="164" fontId="27" fillId="0" borderId="56" xfId="0" applyNumberFormat="1" applyFont="1" applyBorder="1" applyAlignment="1">
      <alignment horizontal="center"/>
    </xf>
    <xf numFmtId="164" fontId="27" fillId="0" borderId="58" xfId="0" applyNumberFormat="1" applyFont="1" applyBorder="1" applyAlignment="1">
      <alignment horizontal="center"/>
    </xf>
    <xf numFmtId="0" fontId="65" fillId="0" borderId="46" xfId="3" applyFont="1" applyBorder="1"/>
    <xf numFmtId="165" fontId="67" fillId="3" borderId="0" xfId="3" applyNumberFormat="1" applyFont="1" applyFill="1" applyAlignment="1">
      <alignment horizontal="center" vertical="center"/>
    </xf>
    <xf numFmtId="165" fontId="67" fillId="3" borderId="28" xfId="3" applyNumberFormat="1" applyFont="1" applyFill="1" applyBorder="1" applyAlignment="1">
      <alignment horizontal="center" vertical="center"/>
    </xf>
    <xf numFmtId="14" fontId="67" fillId="3" borderId="34" xfId="2" applyNumberFormat="1" applyFont="1" applyFill="1" applyBorder="1" applyAlignment="1">
      <alignment horizontal="centerContinuous"/>
    </xf>
    <xf numFmtId="2" fontId="67" fillId="3" borderId="14" xfId="2" applyNumberFormat="1" applyFont="1" applyFill="1" applyBorder="1" applyAlignment="1">
      <alignment horizontal="centerContinuous"/>
    </xf>
    <xf numFmtId="2" fontId="69" fillId="3" borderId="32" xfId="2" applyNumberFormat="1" applyFont="1" applyFill="1" applyBorder="1" applyAlignment="1">
      <alignment horizontal="centerContinuous"/>
    </xf>
    <xf numFmtId="2" fontId="25" fillId="0" borderId="0" xfId="0" applyNumberFormat="1" applyFont="1"/>
    <xf numFmtId="2" fontId="69" fillId="3" borderId="33" xfId="2" applyNumberFormat="1" applyFont="1" applyFill="1" applyBorder="1" applyAlignment="1">
      <alignment horizontal="centerContinuous"/>
    </xf>
    <xf numFmtId="2" fontId="67" fillId="3" borderId="61" xfId="2" applyNumberFormat="1" applyFont="1" applyFill="1" applyBorder="1" applyAlignment="1">
      <alignment horizontal="centerContinuous"/>
    </xf>
    <xf numFmtId="2" fontId="27" fillId="0" borderId="60" xfId="0" applyNumberFormat="1" applyFont="1" applyBorder="1"/>
    <xf numFmtId="14" fontId="69" fillId="3" borderId="59" xfId="2" applyNumberFormat="1" applyFont="1" applyFill="1" applyBorder="1" applyAlignment="1">
      <alignment horizontal="centerContinuous"/>
    </xf>
    <xf numFmtId="14" fontId="69" fillId="3" borderId="35" xfId="2" applyNumberFormat="1" applyFont="1" applyFill="1" applyBorder="1" applyAlignment="1">
      <alignment horizontal="centerContinuous"/>
    </xf>
    <xf numFmtId="14" fontId="67" fillId="3" borderId="36" xfId="2" applyNumberFormat="1" applyFont="1" applyFill="1" applyBorder="1" applyAlignment="1">
      <alignment horizontal="centerContinuous"/>
    </xf>
    <xf numFmtId="2" fontId="25" fillId="0" borderId="0" xfId="0" applyNumberFormat="1" applyFont="1" applyAlignment="1">
      <alignment horizontal="left"/>
    </xf>
    <xf numFmtId="2" fontId="35" fillId="0" borderId="0" xfId="2" applyNumberFormat="1" applyFont="1"/>
    <xf numFmtId="14" fontId="69" fillId="3" borderId="64" xfId="0" applyNumberFormat="1" applyFont="1" applyFill="1" applyBorder="1" applyAlignment="1">
      <alignment horizontal="center" vertical="center" wrapText="1"/>
    </xf>
    <xf numFmtId="4" fontId="27" fillId="8" borderId="19" xfId="0" applyNumberFormat="1" applyFont="1" applyFill="1" applyBorder="1" applyAlignment="1">
      <alignment horizontal="right"/>
    </xf>
    <xf numFmtId="4" fontId="27" fillId="9" borderId="19" xfId="0" applyNumberFormat="1" applyFont="1" applyFill="1" applyBorder="1" applyAlignment="1">
      <alignment horizontal="right"/>
    </xf>
    <xf numFmtId="4" fontId="27" fillId="4" borderId="19" xfId="0" applyNumberFormat="1" applyFont="1" applyFill="1" applyBorder="1" applyAlignment="1">
      <alignment horizontal="right"/>
    </xf>
    <xf numFmtId="4" fontId="27" fillId="0" borderId="19" xfId="0" applyNumberFormat="1" applyFont="1" applyBorder="1" applyAlignment="1">
      <alignment horizontal="right"/>
    </xf>
    <xf numFmtId="4" fontId="27" fillId="8" borderId="23" xfId="0" applyNumberFormat="1" applyFont="1" applyFill="1" applyBorder="1" applyAlignment="1">
      <alignment horizontal="right"/>
    </xf>
    <xf numFmtId="4" fontId="27" fillId="9" borderId="23" xfId="0" applyNumberFormat="1" applyFont="1" applyFill="1" applyBorder="1" applyAlignment="1">
      <alignment horizontal="right"/>
    </xf>
    <xf numFmtId="4" fontId="27" fillId="4" borderId="23" xfId="0" applyNumberFormat="1" applyFont="1" applyFill="1" applyBorder="1" applyAlignment="1">
      <alignment horizontal="right"/>
    </xf>
    <xf numFmtId="4" fontId="27" fillId="0" borderId="23" xfId="0" applyNumberFormat="1" applyFont="1" applyBorder="1" applyAlignment="1">
      <alignment horizontal="right"/>
    </xf>
    <xf numFmtId="4" fontId="27" fillId="0" borderId="56" xfId="0" applyNumberFormat="1" applyFont="1" applyBorder="1" applyAlignment="1">
      <alignment horizontal="right"/>
    </xf>
    <xf numFmtId="4" fontId="27" fillId="8" borderId="56" xfId="0" applyNumberFormat="1" applyFont="1" applyFill="1" applyBorder="1" applyAlignment="1">
      <alignment horizontal="right"/>
    </xf>
    <xf numFmtId="4" fontId="27" fillId="9" borderId="56" xfId="0" applyNumberFormat="1" applyFont="1" applyFill="1" applyBorder="1" applyAlignment="1">
      <alignment horizontal="right"/>
    </xf>
    <xf numFmtId="4" fontId="27" fillId="4" borderId="56" xfId="0" applyNumberFormat="1" applyFont="1" applyFill="1" applyBorder="1" applyAlignment="1">
      <alignment horizontal="right"/>
    </xf>
    <xf numFmtId="2" fontId="57" fillId="0" borderId="0" xfId="15" quotePrefix="1" applyNumberFormat="1" applyFont="1" applyAlignment="1">
      <alignment vertical="top"/>
    </xf>
    <xf numFmtId="14" fontId="69" fillId="3" borderId="65" xfId="0" applyNumberFormat="1" applyFont="1" applyFill="1" applyBorder="1" applyAlignment="1">
      <alignment horizontal="center" vertical="center" wrapText="1"/>
    </xf>
    <xf numFmtId="0" fontId="60" fillId="0" borderId="26" xfId="15" applyFont="1" applyBorder="1"/>
    <xf numFmtId="0" fontId="55" fillId="0" borderId="26" xfId="0" applyFont="1" applyBorder="1"/>
    <xf numFmtId="3" fontId="28" fillId="4" borderId="57" xfId="0" applyNumberFormat="1" applyFont="1" applyFill="1" applyBorder="1"/>
    <xf numFmtId="3" fontId="28" fillId="4" borderId="20" xfId="0" applyNumberFormat="1" applyFont="1" applyFill="1" applyBorder="1"/>
    <xf numFmtId="3" fontId="28" fillId="4" borderId="22" xfId="0" applyNumberFormat="1" applyFont="1" applyFill="1" applyBorder="1"/>
    <xf numFmtId="0" fontId="70" fillId="3" borderId="39" xfId="13" applyFont="1" applyFill="1" applyBorder="1" applyAlignment="1">
      <alignment horizontal="center" vertical="center" wrapText="1" readingOrder="1"/>
    </xf>
    <xf numFmtId="4" fontId="27" fillId="4" borderId="58" xfId="0" applyNumberFormat="1" applyFont="1" applyFill="1" applyBorder="1" applyAlignment="1">
      <alignment horizontal="right"/>
    </xf>
    <xf numFmtId="164" fontId="27" fillId="0" borderId="66" xfId="0" applyNumberFormat="1" applyFont="1" applyBorder="1" applyAlignment="1">
      <alignment horizontal="center"/>
    </xf>
    <xf numFmtId="0" fontId="67" fillId="3" borderId="38" xfId="13" applyFont="1" applyFill="1" applyBorder="1" applyAlignment="1">
      <alignment horizontal="center" vertical="center" wrapText="1" readingOrder="1"/>
    </xf>
    <xf numFmtId="14" fontId="69" fillId="3" borderId="67" xfId="0" applyNumberFormat="1" applyFont="1" applyFill="1" applyBorder="1" applyAlignment="1">
      <alignment horizontal="center" vertical="center" wrapText="1"/>
    </xf>
    <xf numFmtId="0" fontId="69" fillId="3" borderId="29" xfId="3" applyFont="1" applyFill="1" applyBorder="1" applyAlignment="1">
      <alignment horizontal="centerContinuous"/>
    </xf>
    <xf numFmtId="0" fontId="69" fillId="3" borderId="27" xfId="0" applyFont="1" applyFill="1" applyBorder="1" applyAlignment="1">
      <alignment horizontal="centerContinuous"/>
    </xf>
    <xf numFmtId="0" fontId="69" fillId="3" borderId="27" xfId="3" applyFont="1" applyFill="1" applyBorder="1" applyAlignment="1">
      <alignment horizontal="centerContinuous"/>
    </xf>
    <xf numFmtId="0" fontId="69" fillId="3" borderId="50" xfId="3" applyFont="1" applyFill="1" applyBorder="1" applyAlignment="1">
      <alignment horizontal="centerContinuous"/>
    </xf>
    <xf numFmtId="0" fontId="71" fillId="3" borderId="27" xfId="0" applyFont="1" applyFill="1" applyBorder="1"/>
    <xf numFmtId="0" fontId="72" fillId="3" borderId="40" xfId="3" applyFont="1" applyFill="1" applyBorder="1" applyAlignment="1">
      <alignment horizontal="center" vertical="top"/>
    </xf>
    <xf numFmtId="0" fontId="72" fillId="3" borderId="41" xfId="3" applyFont="1" applyFill="1" applyBorder="1" applyAlignment="1">
      <alignment horizontal="center" vertical="top"/>
    </xf>
    <xf numFmtId="0" fontId="72" fillId="3" borderId="39" xfId="3" applyFont="1" applyFill="1" applyBorder="1" applyAlignment="1">
      <alignment horizontal="center" vertical="top"/>
    </xf>
    <xf numFmtId="0" fontId="72" fillId="3" borderId="53" xfId="3" applyFont="1" applyFill="1" applyBorder="1" applyAlignment="1">
      <alignment horizontal="center" vertical="top"/>
    </xf>
    <xf numFmtId="0" fontId="72" fillId="3" borderId="49" xfId="3" applyFont="1" applyFill="1" applyBorder="1" applyAlignment="1">
      <alignment horizontal="center" vertical="top"/>
    </xf>
    <xf numFmtId="0" fontId="73" fillId="0" borderId="0" xfId="0" applyFont="1" applyAlignment="1">
      <alignment horizontal="center"/>
    </xf>
    <xf numFmtId="0" fontId="74" fillId="0" borderId="0" xfId="0" applyFont="1"/>
    <xf numFmtId="0" fontId="28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4" borderId="0" xfId="0" applyFill="1" applyAlignment="1">
      <alignment horizontal="left"/>
    </xf>
    <xf numFmtId="0" fontId="40" fillId="0" borderId="0" xfId="0" applyFont="1"/>
    <xf numFmtId="0" fontId="30" fillId="0" borderId="0" xfId="6" applyFont="1" applyAlignment="1">
      <alignment horizontal="center"/>
    </xf>
    <xf numFmtId="0" fontId="75" fillId="0" borderId="0" xfId="6" applyFont="1" applyAlignment="1">
      <alignment horizontal="left"/>
    </xf>
    <xf numFmtId="0" fontId="76" fillId="0" borderId="0" xfId="0" applyFont="1" applyAlignment="1">
      <alignment horizontal="center"/>
    </xf>
    <xf numFmtId="0" fontId="77" fillId="0" borderId="0" xfId="6" applyFont="1" applyAlignment="1">
      <alignment horizontal="left"/>
    </xf>
    <xf numFmtId="0" fontId="78" fillId="0" borderId="0" xfId="6" applyFont="1" applyAlignment="1">
      <alignment horizontal="left"/>
    </xf>
    <xf numFmtId="0" fontId="79" fillId="0" borderId="0" xfId="6" applyFont="1"/>
    <xf numFmtId="0" fontId="25" fillId="0" borderId="0" xfId="6" applyFont="1"/>
    <xf numFmtId="0" fontId="80" fillId="0" borderId="0" xfId="6" applyFont="1"/>
    <xf numFmtId="0" fontId="81" fillId="0" borderId="0" xfId="0" applyFont="1" applyAlignment="1">
      <alignment vertical="center"/>
    </xf>
    <xf numFmtId="0" fontId="82" fillId="0" borderId="0" xfId="0" applyFont="1" applyAlignment="1">
      <alignment vertical="center"/>
    </xf>
    <xf numFmtId="0" fontId="83" fillId="0" borderId="0" xfId="0" applyFont="1" applyAlignment="1">
      <alignment horizontal="right"/>
    </xf>
    <xf numFmtId="0" fontId="45" fillId="0" borderId="0" xfId="0" applyFont="1" applyAlignment="1">
      <alignment vertical="center"/>
    </xf>
    <xf numFmtId="0" fontId="61" fillId="0" borderId="0" xfId="0" applyFont="1"/>
    <xf numFmtId="0" fontId="0" fillId="4" borderId="0" xfId="0" applyFill="1"/>
    <xf numFmtId="0" fontId="25" fillId="0" borderId="0" xfId="0" applyFont="1"/>
    <xf numFmtId="0" fontId="35" fillId="0" borderId="0" xfId="0" applyFont="1"/>
    <xf numFmtId="0" fontId="28" fillId="0" borderId="0" xfId="0" applyFont="1" applyAlignment="1">
      <alignment horizontal="justify" vertical="center"/>
    </xf>
    <xf numFmtId="0" fontId="84" fillId="0" borderId="0" xfId="0" applyFont="1"/>
    <xf numFmtId="0" fontId="17" fillId="0" borderId="0" xfId="0" applyFont="1" applyAlignment="1">
      <alignment horizontal="justify" vertical="center"/>
    </xf>
    <xf numFmtId="0" fontId="35" fillId="0" borderId="0" xfId="16" applyFont="1" applyFill="1" applyAlignment="1" applyProtection="1">
      <alignment horizontal="left" vertical="center"/>
    </xf>
    <xf numFmtId="2" fontId="59" fillId="0" borderId="0" xfId="15" applyNumberFormat="1" applyFont="1" applyAlignment="1">
      <alignment vertical="top"/>
    </xf>
    <xf numFmtId="2" fontId="85" fillId="0" borderId="0" xfId="15" applyNumberFormat="1" applyFont="1" applyAlignment="1">
      <alignment vertical="center"/>
    </xf>
    <xf numFmtId="2" fontId="61" fillId="0" borderId="0" xfId="15" applyNumberFormat="1" applyFont="1" applyAlignment="1">
      <alignment horizontal="left" vertical="center"/>
    </xf>
    <xf numFmtId="0" fontId="61" fillId="0" borderId="26" xfId="16" applyFont="1" applyFill="1" applyBorder="1" applyAlignment="1" applyProtection="1">
      <alignment horizontal="right" vertical="top"/>
    </xf>
    <xf numFmtId="0" fontId="86" fillId="0" borderId="0" xfId="0" applyFont="1"/>
    <xf numFmtId="0" fontId="86" fillId="3" borderId="0" xfId="0" applyFont="1" applyFill="1"/>
    <xf numFmtId="0" fontId="28" fillId="3" borderId="0" xfId="0" applyFont="1" applyFill="1"/>
    <xf numFmtId="0" fontId="28" fillId="0" borderId="14" xfId="0" applyFont="1" applyBorder="1"/>
    <xf numFmtId="0" fontId="28" fillId="3" borderId="14" xfId="0" applyFont="1" applyFill="1" applyBorder="1"/>
    <xf numFmtId="0" fontId="26" fillId="10" borderId="0" xfId="0" applyFont="1" applyFill="1" applyAlignment="1">
      <alignment horizontal="center"/>
    </xf>
    <xf numFmtId="0" fontId="31" fillId="10" borderId="0" xfId="0" applyFont="1" applyFill="1" applyAlignment="1">
      <alignment horizontal="center"/>
    </xf>
    <xf numFmtId="0" fontId="31" fillId="10" borderId="14" xfId="0" applyFont="1" applyFill="1" applyBorder="1" applyAlignment="1">
      <alignment horizontal="center"/>
    </xf>
    <xf numFmtId="0" fontId="26" fillId="10" borderId="14" xfId="0" applyFont="1" applyFill="1" applyBorder="1"/>
    <xf numFmtId="0" fontId="31" fillId="10" borderId="0" xfId="0" applyFont="1" applyFill="1"/>
    <xf numFmtId="2" fontId="28" fillId="0" borderId="17" xfId="0" applyNumberFormat="1" applyFont="1" applyBorder="1" applyAlignment="1">
      <alignment horizontal="left"/>
    </xf>
    <xf numFmtId="2" fontId="26" fillId="0" borderId="0" xfId="2" applyNumberFormat="1" applyFont="1"/>
    <xf numFmtId="2" fontId="28" fillId="0" borderId="7" xfId="0" applyNumberFormat="1" applyFont="1" applyBorder="1" applyAlignment="1">
      <alignment horizontal="left"/>
    </xf>
    <xf numFmtId="2" fontId="26" fillId="0" borderId="7" xfId="0" applyNumberFormat="1" applyFont="1" applyBorder="1" applyAlignment="1">
      <alignment horizontal="left"/>
    </xf>
    <xf numFmtId="0" fontId="43" fillId="4" borderId="0" xfId="5" applyFont="1" applyFill="1"/>
    <xf numFmtId="2" fontId="59" fillId="0" borderId="25" xfId="15" applyNumberFormat="1" applyFont="1" applyBorder="1" applyAlignment="1">
      <alignment vertical="center"/>
    </xf>
    <xf numFmtId="2" fontId="58" fillId="0" borderId="25" xfId="15" applyNumberFormat="1" applyFont="1" applyBorder="1" applyAlignment="1">
      <alignment horizontal="right" vertical="center"/>
    </xf>
    <xf numFmtId="0" fontId="60" fillId="0" borderId="25" xfId="15" applyFont="1" applyBorder="1"/>
    <xf numFmtId="2" fontId="61" fillId="0" borderId="25" xfId="15" applyNumberFormat="1" applyFont="1" applyBorder="1" applyAlignment="1">
      <alignment horizontal="left" vertical="center"/>
    </xf>
    <xf numFmtId="0" fontId="55" fillId="0" borderId="25" xfId="0" applyFont="1" applyBorder="1"/>
    <xf numFmtId="0" fontId="62" fillId="0" borderId="25" xfId="0" applyFont="1" applyBorder="1"/>
    <xf numFmtId="0" fontId="10" fillId="0" borderId="25" xfId="15" applyBorder="1"/>
    <xf numFmtId="0" fontId="0" fillId="0" borderId="25" xfId="0" applyBorder="1"/>
    <xf numFmtId="0" fontId="61" fillId="0" borderId="25" xfId="0" applyFont="1" applyBorder="1" applyAlignment="1">
      <alignment horizontal="right"/>
    </xf>
    <xf numFmtId="0" fontId="0" fillId="0" borderId="26" xfId="0" applyBorder="1"/>
    <xf numFmtId="0" fontId="61" fillId="0" borderId="0" xfId="16" applyFont="1" applyFill="1" applyBorder="1" applyAlignment="1" applyProtection="1">
      <alignment horizontal="right" vertical="top"/>
    </xf>
    <xf numFmtId="0" fontId="24" fillId="0" borderId="0" xfId="15" applyFont="1"/>
    <xf numFmtId="0" fontId="24" fillId="0" borderId="0" xfId="15" quotePrefix="1" applyFont="1"/>
    <xf numFmtId="0" fontId="28" fillId="0" borderId="13" xfId="0" applyFont="1" applyBorder="1"/>
    <xf numFmtId="166" fontId="27" fillId="0" borderId="4" xfId="0" applyNumberFormat="1" applyFont="1" applyBorder="1"/>
    <xf numFmtId="166" fontId="27" fillId="6" borderId="4" xfId="0" applyNumberFormat="1" applyFont="1" applyFill="1" applyBorder="1"/>
    <xf numFmtId="166" fontId="27" fillId="6" borderId="13" xfId="0" applyNumberFormat="1" applyFont="1" applyFill="1" applyBorder="1"/>
    <xf numFmtId="0" fontId="26" fillId="3" borderId="2" xfId="0" applyFont="1" applyFill="1" applyBorder="1" applyAlignment="1">
      <alignment horizontal="centerContinuous" vertical="center"/>
    </xf>
    <xf numFmtId="0" fontId="26" fillId="3" borderId="9" xfId="0" applyFont="1" applyFill="1" applyBorder="1" applyAlignment="1">
      <alignment horizontal="centerContinuous" vertical="center"/>
    </xf>
    <xf numFmtId="0" fontId="28" fillId="3" borderId="3" xfId="0" applyFont="1" applyFill="1" applyBorder="1" applyAlignment="1">
      <alignment horizontal="centerContinuous" vertical="center"/>
    </xf>
    <xf numFmtId="0" fontId="28" fillId="3" borderId="11" xfId="0" applyFont="1" applyFill="1" applyBorder="1" applyAlignment="1">
      <alignment horizontal="centerContinuous" vertical="center"/>
    </xf>
    <xf numFmtId="0" fontId="35" fillId="3" borderId="8" xfId="0" applyFont="1" applyFill="1" applyBorder="1"/>
    <xf numFmtId="0" fontId="26" fillId="3" borderId="10" xfId="0" applyFont="1" applyFill="1" applyBorder="1" applyAlignment="1">
      <alignment horizontal="center"/>
    </xf>
    <xf numFmtId="0" fontId="24" fillId="3" borderId="12" xfId="0" applyFont="1" applyFill="1" applyBorder="1"/>
    <xf numFmtId="49" fontId="35" fillId="3" borderId="15" xfId="0" applyNumberFormat="1" applyFont="1" applyFill="1" applyBorder="1"/>
    <xf numFmtId="49" fontId="26" fillId="3" borderId="0" xfId="0" applyNumberFormat="1" applyFont="1" applyFill="1" applyAlignment="1">
      <alignment horizontal="center"/>
    </xf>
    <xf numFmtId="49" fontId="24" fillId="3" borderId="16" xfId="0" applyNumberFormat="1" applyFont="1" applyFill="1" applyBorder="1"/>
    <xf numFmtId="49" fontId="28" fillId="0" borderId="71" xfId="0" applyNumberFormat="1" applyFont="1" applyBorder="1"/>
    <xf numFmtId="0" fontId="26" fillId="3" borderId="18" xfId="0" applyFont="1" applyFill="1" applyBorder="1" applyAlignment="1">
      <alignment horizontal="centerContinuous" vertical="center"/>
    </xf>
    <xf numFmtId="0" fontId="28" fillId="3" borderId="5" xfId="0" applyFont="1" applyFill="1" applyBorder="1" applyAlignment="1">
      <alignment horizontal="centerContinuous" vertical="center"/>
    </xf>
    <xf numFmtId="166" fontId="27" fillId="6" borderId="72" xfId="0" applyNumberFormat="1" applyFont="1" applyFill="1" applyBorder="1"/>
    <xf numFmtId="14" fontId="69" fillId="3" borderId="34" xfId="3" applyNumberFormat="1" applyFont="1" applyFill="1" applyBorder="1" applyAlignment="1">
      <alignment horizontal="centerContinuous" vertical="center"/>
    </xf>
    <xf numFmtId="14" fontId="69" fillId="3" borderId="37" xfId="3" applyNumberFormat="1" applyFont="1" applyFill="1" applyBorder="1" applyAlignment="1">
      <alignment horizontal="centerContinuous" vertical="center"/>
    </xf>
    <xf numFmtId="165" fontId="69" fillId="3" borderId="51" xfId="0" applyNumberFormat="1" applyFont="1" applyFill="1" applyBorder="1" applyAlignment="1">
      <alignment horizontal="centerContinuous"/>
    </xf>
    <xf numFmtId="165" fontId="70" fillId="3" borderId="47" xfId="3" applyNumberFormat="1" applyFont="1" applyFill="1" applyBorder="1" applyAlignment="1">
      <alignment horizontal="centerContinuous" vertical="center" wrapText="1"/>
    </xf>
    <xf numFmtId="165" fontId="69" fillId="3" borderId="36" xfId="0" applyNumberFormat="1" applyFont="1" applyFill="1" applyBorder="1" applyAlignment="1">
      <alignment horizontal="centerContinuous"/>
    </xf>
    <xf numFmtId="165" fontId="69" fillId="3" borderId="34" xfId="3" applyNumberFormat="1" applyFont="1" applyFill="1" applyBorder="1" applyAlignment="1">
      <alignment horizontal="centerContinuous" vertical="center"/>
    </xf>
    <xf numFmtId="0" fontId="69" fillId="3" borderId="31" xfId="3" applyFont="1" applyFill="1" applyBorder="1" applyAlignment="1">
      <alignment horizontal="center" vertical="center" wrapText="1"/>
    </xf>
    <xf numFmtId="0" fontId="69" fillId="3" borderId="33" xfId="0" applyFont="1" applyFill="1" applyBorder="1" applyAlignment="1">
      <alignment horizontal="center"/>
    </xf>
    <xf numFmtId="0" fontId="69" fillId="3" borderId="29" xfId="3" applyFont="1" applyFill="1" applyBorder="1" applyAlignment="1">
      <alignment horizontal="center" vertical="center" wrapText="1"/>
    </xf>
    <xf numFmtId="0" fontId="69" fillId="3" borderId="52" xfId="0" applyFont="1" applyFill="1" applyBorder="1" applyAlignment="1">
      <alignment horizontal="center"/>
    </xf>
    <xf numFmtId="0" fontId="69" fillId="3" borderId="48" xfId="3" applyFont="1" applyFill="1" applyBorder="1" applyAlignment="1">
      <alignment horizontal="center" vertical="center" wrapText="1"/>
    </xf>
    <xf numFmtId="0" fontId="69" fillId="3" borderId="30" xfId="0" applyFont="1" applyFill="1" applyBorder="1" applyAlignment="1">
      <alignment horizontal="center"/>
    </xf>
    <xf numFmtId="2" fontId="25" fillId="3" borderId="38" xfId="2" applyNumberFormat="1" applyFont="1" applyFill="1" applyBorder="1" applyAlignment="1">
      <alignment horizontal="left"/>
    </xf>
    <xf numFmtId="2" fontId="69" fillId="3" borderId="38" xfId="2" applyNumberFormat="1" applyFont="1" applyFill="1" applyBorder="1" applyAlignment="1">
      <alignment horizontal="center"/>
    </xf>
    <xf numFmtId="2" fontId="69" fillId="3" borderId="38" xfId="2" applyNumberFormat="1" applyFont="1" applyFill="1" applyBorder="1" applyAlignment="1">
      <alignment horizontal="centerContinuous"/>
    </xf>
    <xf numFmtId="2" fontId="70" fillId="3" borderId="62" xfId="2" applyNumberFormat="1" applyFont="1" applyFill="1" applyBorder="1" applyAlignment="1">
      <alignment horizontal="center"/>
    </xf>
    <xf numFmtId="2" fontId="70" fillId="3" borderId="63" xfId="2" applyNumberFormat="1" applyFont="1" applyFill="1" applyBorder="1" applyAlignment="1">
      <alignment horizontal="center"/>
    </xf>
    <xf numFmtId="0" fontId="90" fillId="3" borderId="79" xfId="19" applyFont="1" applyFill="1" applyBorder="1" applyAlignment="1">
      <alignment horizontal="centerContinuous"/>
    </xf>
    <xf numFmtId="0" fontId="90" fillId="3" borderId="80" xfId="19" applyFont="1" applyFill="1" applyBorder="1" applyAlignment="1">
      <alignment horizontal="centerContinuous"/>
    </xf>
    <xf numFmtId="0" fontId="90" fillId="3" borderId="81" xfId="19" applyFont="1" applyFill="1" applyBorder="1" applyAlignment="1">
      <alignment horizontal="centerContinuous"/>
    </xf>
    <xf numFmtId="0" fontId="67" fillId="3" borderId="82" xfId="19" applyFont="1" applyFill="1" applyBorder="1" applyAlignment="1">
      <alignment horizontal="center" vertical="center"/>
    </xf>
    <xf numFmtId="0" fontId="69" fillId="3" borderId="83" xfId="19" applyFont="1" applyFill="1" applyBorder="1" applyAlignment="1">
      <alignment horizontal="center" vertical="center" wrapText="1"/>
    </xf>
    <xf numFmtId="0" fontId="69" fillId="3" borderId="78" xfId="19" applyFont="1" applyFill="1" applyBorder="1" applyAlignment="1">
      <alignment horizontal="center" vertical="center" wrapText="1"/>
    </xf>
    <xf numFmtId="0" fontId="25" fillId="0" borderId="84" xfId="19" applyFont="1" applyBorder="1"/>
    <xf numFmtId="3" fontId="25" fillId="0" borderId="2" xfId="21" applyNumberFormat="1" applyFont="1" applyBorder="1"/>
    <xf numFmtId="3" fontId="25" fillId="4" borderId="18" xfId="21" applyNumberFormat="1" applyFont="1" applyFill="1" applyBorder="1"/>
    <xf numFmtId="3" fontId="27" fillId="0" borderId="73" xfId="21" applyNumberFormat="1" applyFont="1" applyBorder="1"/>
    <xf numFmtId="3" fontId="27" fillId="0" borderId="75" xfId="21" applyNumberFormat="1" applyFont="1" applyBorder="1"/>
    <xf numFmtId="3" fontId="27" fillId="4" borderId="77" xfId="21" applyNumberFormat="1" applyFont="1" applyFill="1" applyBorder="1"/>
    <xf numFmtId="3" fontId="27" fillId="0" borderId="74" xfId="21" applyNumberFormat="1" applyFont="1" applyBorder="1"/>
    <xf numFmtId="3" fontId="27" fillId="0" borderId="3" xfId="19" applyNumberFormat="1" applyFont="1" applyBorder="1"/>
    <xf numFmtId="3" fontId="27" fillId="4" borderId="5" xfId="19" applyNumberFormat="1" applyFont="1" applyFill="1" applyBorder="1"/>
    <xf numFmtId="3" fontId="27" fillId="0" borderId="75" xfId="19" applyNumberFormat="1" applyFont="1" applyBorder="1"/>
    <xf numFmtId="3" fontId="27" fillId="0" borderId="76" xfId="21" applyNumberFormat="1" applyFont="1" applyBorder="1"/>
    <xf numFmtId="3" fontId="27" fillId="0" borderId="69" xfId="19" applyNumberFormat="1" applyFont="1" applyBorder="1"/>
    <xf numFmtId="3" fontId="27" fillId="4" borderId="70" xfId="19" applyNumberFormat="1" applyFont="1" applyFill="1" applyBorder="1"/>
    <xf numFmtId="0" fontId="86" fillId="0" borderId="0" xfId="19" applyFont="1"/>
    <xf numFmtId="0" fontId="26" fillId="0" borderId="0" xfId="19" applyFont="1"/>
    <xf numFmtId="0" fontId="26" fillId="0" borderId="0" xfId="22" applyFont="1" applyAlignment="1">
      <alignment vertical="center"/>
    </xf>
    <xf numFmtId="0" fontId="28" fillId="0" borderId="0" xfId="22" applyFont="1" applyAlignment="1">
      <alignment vertical="center"/>
    </xf>
    <xf numFmtId="0" fontId="28" fillId="0" borderId="0" xfId="19" applyFont="1" applyAlignment="1">
      <alignment vertical="center"/>
    </xf>
    <xf numFmtId="0" fontId="91" fillId="0" borderId="0" xfId="15" applyFont="1"/>
    <xf numFmtId="3" fontId="27" fillId="4" borderId="77" xfId="19" applyNumberFormat="1" applyFont="1" applyFill="1" applyBorder="1"/>
    <xf numFmtId="0" fontId="56" fillId="0" borderId="0" xfId="15" applyFont="1"/>
    <xf numFmtId="0" fontId="55" fillId="0" borderId="0" xfId="15" applyFont="1"/>
    <xf numFmtId="0" fontId="55" fillId="0" borderId="25" xfId="15" applyFont="1" applyBorder="1"/>
    <xf numFmtId="0" fontId="62" fillId="0" borderId="25" xfId="15" applyFont="1" applyBorder="1"/>
    <xf numFmtId="2" fontId="92" fillId="0" borderId="0" xfId="15" quotePrefix="1" applyNumberFormat="1" applyFont="1" applyAlignment="1">
      <alignment vertical="top"/>
    </xf>
    <xf numFmtId="0" fontId="93" fillId="0" borderId="0" xfId="19" applyFont="1"/>
    <xf numFmtId="0" fontId="10" fillId="0" borderId="0" xfId="17"/>
    <xf numFmtId="0" fontId="63" fillId="0" borderId="0" xfId="17" applyFont="1" applyAlignment="1">
      <alignment vertical="center"/>
    </xf>
    <xf numFmtId="0" fontId="11" fillId="0" borderId="0" xfId="20" applyFont="1"/>
    <xf numFmtId="0" fontId="89" fillId="0" borderId="0" xfId="19" applyFont="1"/>
    <xf numFmtId="0" fontId="93" fillId="0" borderId="0" xfId="19" applyFont="1" applyAlignment="1">
      <alignment vertical="center"/>
    </xf>
    <xf numFmtId="0" fontId="17" fillId="0" borderId="0" xfId="19" applyFont="1" applyAlignment="1">
      <alignment vertical="center"/>
    </xf>
    <xf numFmtId="0" fontId="89" fillId="0" borderId="0" xfId="15" applyFont="1" applyAlignment="1">
      <alignment horizontal="center" vertical="center"/>
    </xf>
    <xf numFmtId="164" fontId="24" fillId="0" borderId="0" xfId="19" applyNumberFormat="1" applyFont="1" applyAlignment="1">
      <alignment vertical="center"/>
    </xf>
    <xf numFmtId="0" fontId="94" fillId="0" borderId="0" xfId="19" applyFont="1"/>
    <xf numFmtId="0" fontId="24" fillId="0" borderId="0" xfId="19" applyFont="1"/>
    <xf numFmtId="3" fontId="24" fillId="0" borderId="0" xfId="15" applyNumberFormat="1" applyFont="1"/>
    <xf numFmtId="0" fontId="95" fillId="0" borderId="85" xfId="22" applyFont="1" applyBorder="1"/>
    <xf numFmtId="3" fontId="46" fillId="0" borderId="85" xfId="19" applyNumberFormat="1" applyFont="1" applyBorder="1"/>
    <xf numFmtId="0" fontId="24" fillId="0" borderId="85" xfId="19" applyFont="1" applyBorder="1"/>
    <xf numFmtId="0" fontId="96" fillId="0" borderId="85" xfId="22" applyFont="1" applyBorder="1"/>
    <xf numFmtId="3" fontId="97" fillId="0" borderId="85" xfId="19" applyNumberFormat="1" applyFont="1" applyBorder="1"/>
    <xf numFmtId="3" fontId="24" fillId="0" borderId="85" xfId="19" applyNumberFormat="1" applyFont="1" applyBorder="1"/>
    <xf numFmtId="3" fontId="24" fillId="0" borderId="85" xfId="15" applyNumberFormat="1" applyFont="1" applyBorder="1"/>
    <xf numFmtId="0" fontId="95" fillId="0" borderId="0" xfId="22" applyFont="1"/>
    <xf numFmtId="3" fontId="46" fillId="0" borderId="0" xfId="19" applyNumberFormat="1" applyFont="1"/>
    <xf numFmtId="0" fontId="96" fillId="0" borderId="0" xfId="22" applyFont="1"/>
    <xf numFmtId="3" fontId="97" fillId="0" borderId="0" xfId="19" applyNumberFormat="1" applyFont="1"/>
    <xf numFmtId="3" fontId="24" fillId="0" borderId="0" xfId="19" applyNumberFormat="1" applyFont="1"/>
    <xf numFmtId="14" fontId="24" fillId="0" borderId="0" xfId="15" applyNumberFormat="1" applyFont="1"/>
    <xf numFmtId="0" fontId="4" fillId="0" borderId="0" xfId="23"/>
    <xf numFmtId="0" fontId="44" fillId="0" borderId="0" xfId="23" applyFont="1"/>
    <xf numFmtId="4" fontId="42" fillId="0" borderId="0" xfId="23" applyNumberFormat="1" applyFont="1"/>
    <xf numFmtId="0" fontId="55" fillId="0" borderId="0" xfId="15" applyFont="1" applyAlignment="1">
      <alignment vertical="top"/>
    </xf>
    <xf numFmtId="0" fontId="55" fillId="0" borderId="26" xfId="15" applyFont="1" applyBorder="1"/>
    <xf numFmtId="0" fontId="28" fillId="0" borderId="3" xfId="15" applyFont="1" applyBorder="1"/>
    <xf numFmtId="14" fontId="28" fillId="0" borderId="3" xfId="15" applyNumberFormat="1" applyFont="1" applyBorder="1"/>
    <xf numFmtId="14" fontId="28" fillId="0" borderId="0" xfId="15" applyNumberFormat="1" applyFont="1"/>
    <xf numFmtId="2" fontId="28" fillId="0" borderId="3" xfId="15" applyNumberFormat="1" applyFont="1" applyBorder="1"/>
    <xf numFmtId="2" fontId="28" fillId="0" borderId="0" xfId="15" applyNumberFormat="1" applyFont="1"/>
    <xf numFmtId="2" fontId="98" fillId="0" borderId="0" xfId="15" applyNumberFormat="1" applyFont="1" applyAlignment="1">
      <alignment vertical="center"/>
    </xf>
    <xf numFmtId="0" fontId="43" fillId="4" borderId="0" xfId="0" applyFont="1" applyFill="1" applyAlignment="1">
      <alignment horizontal="left"/>
    </xf>
    <xf numFmtId="0" fontId="43" fillId="4" borderId="0" xfId="0" applyFont="1" applyFill="1" applyAlignment="1">
      <alignment horizontal="centerContinuous"/>
    </xf>
    <xf numFmtId="0" fontId="47" fillId="4" borderId="0" xfId="0" applyFont="1" applyFill="1" applyAlignment="1">
      <alignment horizontal="left"/>
    </xf>
    <xf numFmtId="0" fontId="99" fillId="12" borderId="0" xfId="0" applyFont="1" applyFill="1" applyAlignment="1">
      <alignment horizontal="left" vertical="center"/>
    </xf>
    <xf numFmtId="0" fontId="28" fillId="4" borderId="87" xfId="7" applyFont="1" applyFill="1" applyBorder="1" applyAlignment="1">
      <alignment horizontal="center" wrapText="1"/>
    </xf>
    <xf numFmtId="0" fontId="3" fillId="0" borderId="0" xfId="23" applyFont="1"/>
    <xf numFmtId="0" fontId="100" fillId="3" borderId="86" xfId="7" applyFont="1" applyFill="1" applyBorder="1" applyAlignment="1">
      <alignment horizontal="center" vertical="center"/>
    </xf>
    <xf numFmtId="0" fontId="24" fillId="0" borderId="3" xfId="7" applyFont="1" applyBorder="1" applyAlignment="1">
      <alignment horizontal="center" vertical="center" wrapText="1"/>
    </xf>
    <xf numFmtId="0" fontId="104" fillId="5" borderId="3" xfId="7" applyFont="1" applyFill="1" applyBorder="1" applyAlignment="1">
      <alignment horizontal="center" vertical="center" wrapText="1"/>
    </xf>
    <xf numFmtId="2" fontId="28" fillId="0" borderId="3" xfId="7" applyNumberFormat="1" applyFont="1" applyBorder="1" applyAlignment="1">
      <alignment horizontal="right"/>
    </xf>
    <xf numFmtId="0" fontId="28" fillId="2" borderId="0" xfId="7" applyFont="1" applyFill="1" applyAlignment="1">
      <alignment horizontal="center"/>
    </xf>
    <xf numFmtId="2" fontId="28" fillId="0" borderId="69" xfId="7" applyNumberFormat="1" applyFont="1" applyBorder="1" applyAlignment="1">
      <alignment horizontal="right"/>
    </xf>
    <xf numFmtId="0" fontId="104" fillId="5" borderId="5" xfId="7" applyFont="1" applyFill="1" applyBorder="1" applyAlignment="1">
      <alignment horizontal="center" vertical="center" wrapText="1"/>
    </xf>
    <xf numFmtId="0" fontId="26" fillId="2" borderId="73" xfId="7" applyFont="1" applyFill="1" applyBorder="1" applyAlignment="1">
      <alignment horizontal="left" vertical="center" wrapText="1"/>
    </xf>
    <xf numFmtId="0" fontId="26" fillId="2" borderId="76" xfId="7" applyFont="1" applyFill="1" applyBorder="1" applyAlignment="1">
      <alignment horizontal="left" vertical="center" wrapText="1"/>
    </xf>
    <xf numFmtId="0" fontId="26" fillId="3" borderId="89" xfId="7" applyFont="1" applyFill="1" applyBorder="1" applyAlignment="1">
      <alignment horizontal="center" vertical="center" wrapText="1"/>
    </xf>
    <xf numFmtId="0" fontId="103" fillId="3" borderId="88" xfId="7" applyFont="1" applyFill="1" applyBorder="1" applyAlignment="1">
      <alignment horizontal="center" vertical="center" wrapText="1"/>
    </xf>
    <xf numFmtId="0" fontId="37" fillId="3" borderId="88" xfId="7" applyFont="1" applyFill="1" applyBorder="1" applyAlignment="1">
      <alignment horizontal="center" vertical="center" wrapText="1"/>
    </xf>
    <xf numFmtId="0" fontId="37" fillId="3" borderId="74" xfId="7" applyFont="1" applyFill="1" applyBorder="1" applyAlignment="1">
      <alignment horizontal="center" vertical="center" wrapText="1"/>
    </xf>
    <xf numFmtId="0" fontId="28" fillId="3" borderId="88" xfId="7" applyFont="1" applyFill="1" applyBorder="1" applyAlignment="1">
      <alignment horizontal="center" wrapText="1"/>
    </xf>
    <xf numFmtId="0" fontId="4" fillId="0" borderId="0" xfId="23" applyAlignment="1">
      <alignment horizontal="center"/>
    </xf>
    <xf numFmtId="0" fontId="42" fillId="0" borderId="0" xfId="23" applyFont="1"/>
    <xf numFmtId="0" fontId="105" fillId="0" borderId="0" xfId="17" applyFont="1" applyAlignment="1">
      <alignment vertical="center"/>
    </xf>
    <xf numFmtId="164" fontId="38" fillId="0" borderId="3" xfId="7" applyNumberFormat="1" applyFont="1" applyBorder="1" applyAlignment="1">
      <alignment horizontal="right"/>
    </xf>
    <xf numFmtId="164" fontId="41" fillId="0" borderId="5" xfId="7" applyNumberFormat="1" applyFont="1" applyBorder="1" applyAlignment="1">
      <alignment horizontal="right"/>
    </xf>
    <xf numFmtId="164" fontId="41" fillId="0" borderId="3" xfId="7" applyNumberFormat="1" applyFont="1" applyBorder="1" applyAlignment="1">
      <alignment horizontal="right"/>
    </xf>
    <xf numFmtId="164" fontId="106" fillId="0" borderId="3" xfId="7" applyNumberFormat="1" applyFont="1" applyBorder="1" applyAlignment="1">
      <alignment horizontal="right"/>
    </xf>
    <xf numFmtId="164" fontId="106" fillId="0" borderId="69" xfId="7" applyNumberFormat="1" applyFont="1" applyBorder="1" applyAlignment="1">
      <alignment horizontal="right"/>
    </xf>
    <xf numFmtId="164" fontId="41" fillId="0" borderId="69" xfId="7" applyNumberFormat="1" applyFont="1" applyBorder="1" applyAlignment="1">
      <alignment horizontal="right"/>
    </xf>
    <xf numFmtId="164" fontId="41" fillId="0" borderId="70" xfId="7" applyNumberFormat="1" applyFont="1" applyBorder="1" applyAlignment="1">
      <alignment horizontal="right"/>
    </xf>
    <xf numFmtId="4" fontId="27" fillId="4" borderId="23" xfId="0" applyNumberFormat="1" applyFont="1" applyFill="1" applyBorder="1"/>
    <xf numFmtId="2" fontId="107" fillId="0" borderId="0" xfId="15" applyNumberFormat="1" applyFont="1" applyAlignment="1">
      <alignment vertical="center"/>
    </xf>
    <xf numFmtId="4" fontId="27" fillId="0" borderId="23" xfId="0" applyNumberFormat="1" applyFont="1" applyBorder="1"/>
    <xf numFmtId="4" fontId="88" fillId="4" borderId="0" xfId="0" quotePrefix="1" applyNumberFormat="1" applyFont="1" applyFill="1" applyAlignment="1">
      <alignment horizontal="center"/>
    </xf>
    <xf numFmtId="2" fontId="25" fillId="0" borderId="91" xfId="0" applyNumberFormat="1" applyFont="1" applyBorder="1" applyAlignment="1">
      <alignment horizontal="left"/>
    </xf>
    <xf numFmtId="2" fontId="27" fillId="0" borderId="92" xfId="0" applyNumberFormat="1" applyFont="1" applyBorder="1"/>
    <xf numFmtId="4" fontId="27" fillId="4" borderId="93" xfId="0" applyNumberFormat="1" applyFont="1" applyFill="1" applyBorder="1"/>
    <xf numFmtId="4" fontId="27" fillId="4" borderId="94" xfId="0" applyNumberFormat="1" applyFont="1" applyFill="1" applyBorder="1"/>
    <xf numFmtId="14" fontId="67" fillId="3" borderId="30" xfId="2" applyNumberFormat="1" applyFont="1" applyFill="1" applyBorder="1" applyAlignment="1">
      <alignment horizontal="centerContinuous"/>
    </xf>
    <xf numFmtId="4" fontId="42" fillId="4" borderId="90" xfId="5" applyNumberFormat="1" applyFont="1" applyFill="1" applyBorder="1" applyAlignment="1">
      <alignment horizontal="left"/>
    </xf>
    <xf numFmtId="4" fontId="2" fillId="4" borderId="90" xfId="5" applyNumberFormat="1" applyFont="1" applyFill="1" applyBorder="1" applyAlignment="1">
      <alignment horizontal="center" vertical="center"/>
    </xf>
    <xf numFmtId="2" fontId="2" fillId="4" borderId="90" xfId="5" applyNumberFormat="1" applyFont="1" applyFill="1" applyBorder="1" applyAlignment="1">
      <alignment horizontal="center" vertical="center"/>
    </xf>
    <xf numFmtId="2" fontId="42" fillId="4" borderId="90" xfId="5" applyNumberFormat="1" applyFont="1" applyFill="1" applyBorder="1" applyAlignment="1">
      <alignment horizontal="left"/>
    </xf>
    <xf numFmtId="4" fontId="88" fillId="4" borderId="90" xfId="0" applyNumberFormat="1" applyFont="1" applyFill="1" applyBorder="1" applyAlignment="1">
      <alignment horizontal="center" vertical="center"/>
    </xf>
    <xf numFmtId="2" fontId="42" fillId="3" borderId="90" xfId="5" applyNumberFormat="1" applyFont="1" applyFill="1" applyBorder="1" applyAlignment="1">
      <alignment vertical="center" wrapText="1"/>
    </xf>
    <xf numFmtId="0" fontId="42" fillId="3" borderId="90" xfId="5" applyFont="1" applyFill="1" applyBorder="1" applyAlignment="1">
      <alignment horizontal="center" vertical="center" wrapText="1"/>
    </xf>
    <xf numFmtId="4" fontId="42" fillId="12" borderId="90" xfId="0" applyNumberFormat="1" applyFont="1" applyFill="1" applyBorder="1" applyAlignment="1">
      <alignment horizontal="center" vertical="center"/>
    </xf>
    <xf numFmtId="2" fontId="42" fillId="3" borderId="90" xfId="0" applyNumberFormat="1" applyFont="1" applyFill="1" applyBorder="1" applyAlignment="1">
      <alignment vertical="center" wrapText="1"/>
    </xf>
    <xf numFmtId="0" fontId="42" fillId="3" borderId="90" xfId="0" applyFont="1" applyFill="1" applyBorder="1" applyAlignment="1">
      <alignment horizontal="center" vertical="center" wrapText="1"/>
    </xf>
    <xf numFmtId="4" fontId="42" fillId="4" borderId="90" xfId="0" applyNumberFormat="1" applyFont="1" applyFill="1" applyBorder="1" applyAlignment="1">
      <alignment horizontal="left"/>
    </xf>
    <xf numFmtId="4" fontId="2" fillId="4" borderId="90" xfId="0" applyNumberFormat="1" applyFont="1" applyFill="1" applyBorder="1" applyAlignment="1">
      <alignment horizontal="center" vertical="center"/>
    </xf>
    <xf numFmtId="3" fontId="2" fillId="4" borderId="90" xfId="0" applyNumberFormat="1" applyFont="1" applyFill="1" applyBorder="1" applyAlignment="1">
      <alignment horizontal="center" vertical="center"/>
    </xf>
    <xf numFmtId="2" fontId="2" fillId="4" borderId="90" xfId="0" applyNumberFormat="1" applyFont="1" applyFill="1" applyBorder="1" applyAlignment="1">
      <alignment horizontal="center" vertical="center"/>
    </xf>
    <xf numFmtId="2" fontId="2" fillId="4" borderId="90" xfId="0" quotePrefix="1" applyNumberFormat="1" applyFont="1" applyFill="1" applyBorder="1" applyAlignment="1">
      <alignment horizontal="center" vertical="center"/>
    </xf>
    <xf numFmtId="4" fontId="2" fillId="4" borderId="90" xfId="0" quotePrefix="1" applyNumberFormat="1" applyFont="1" applyFill="1" applyBorder="1" applyAlignment="1">
      <alignment horizontal="center" vertical="center"/>
    </xf>
    <xf numFmtId="0" fontId="2" fillId="4" borderId="90" xfId="0" applyFont="1" applyFill="1" applyBorder="1"/>
    <xf numFmtId="2" fontId="42" fillId="4" borderId="90" xfId="0" applyNumberFormat="1" applyFont="1" applyFill="1" applyBorder="1" applyAlignment="1">
      <alignment horizontal="left"/>
    </xf>
    <xf numFmtId="0" fontId="2" fillId="4" borderId="90" xfId="0" applyFont="1" applyFill="1" applyBorder="1" applyAlignment="1">
      <alignment horizontal="center"/>
    </xf>
    <xf numFmtId="0" fontId="42" fillId="12" borderId="90" xfId="0" applyFont="1" applyFill="1" applyBorder="1"/>
    <xf numFmtId="2" fontId="42" fillId="12" borderId="90" xfId="0" applyNumberFormat="1" applyFont="1" applyFill="1" applyBorder="1" applyAlignment="1">
      <alignment horizontal="center" vertical="center"/>
    </xf>
    <xf numFmtId="2" fontId="42" fillId="12" borderId="90" xfId="0" quotePrefix="1" applyNumberFormat="1" applyFont="1" applyFill="1" applyBorder="1" applyAlignment="1">
      <alignment horizontal="center" vertical="center"/>
    </xf>
    <xf numFmtId="0" fontId="88" fillId="4" borderId="90" xfId="0" applyFont="1" applyFill="1" applyBorder="1" applyAlignment="1">
      <alignment horizontal="left"/>
    </xf>
    <xf numFmtId="2" fontId="88" fillId="4" borderId="90" xfId="0" quotePrefix="1" applyNumberFormat="1" applyFont="1" applyFill="1" applyBorder="1" applyAlignment="1">
      <alignment horizontal="center" vertical="center"/>
    </xf>
    <xf numFmtId="2" fontId="42" fillId="4" borderId="90" xfId="0" applyNumberFormat="1" applyFont="1" applyFill="1" applyBorder="1" applyAlignment="1">
      <alignment horizontal="center" vertical="center"/>
    </xf>
    <xf numFmtId="0" fontId="88" fillId="4" borderId="0" xfId="0" applyFont="1" applyFill="1" applyAlignment="1">
      <alignment horizontal="left"/>
    </xf>
    <xf numFmtId="0" fontId="53" fillId="4" borderId="90" xfId="7" applyFont="1" applyFill="1" applyBorder="1"/>
    <xf numFmtId="0" fontId="45" fillId="4" borderId="90" xfId="0" applyFont="1" applyFill="1" applyBorder="1"/>
    <xf numFmtId="0" fontId="34" fillId="4" borderId="90" xfId="0" applyFont="1" applyFill="1" applyBorder="1"/>
    <xf numFmtId="2" fontId="53" fillId="4" borderId="90" xfId="7" applyNumberFormat="1" applyFont="1" applyFill="1" applyBorder="1" applyAlignment="1">
      <alignment horizontal="center"/>
    </xf>
    <xf numFmtId="2" fontId="34" fillId="4" borderId="90" xfId="0" applyNumberFormat="1" applyFont="1" applyFill="1" applyBorder="1" applyAlignment="1">
      <alignment horizontal="center"/>
    </xf>
    <xf numFmtId="0" fontId="34" fillId="4" borderId="42" xfId="0" applyFont="1" applyFill="1" applyBorder="1"/>
    <xf numFmtId="0" fontId="45" fillId="4" borderId="42" xfId="0" applyFont="1" applyFill="1" applyBorder="1"/>
    <xf numFmtId="0" fontId="45" fillId="4" borderId="99" xfId="0" applyFont="1" applyFill="1" applyBorder="1"/>
    <xf numFmtId="0" fontId="34" fillId="4" borderId="27" xfId="0" applyFont="1" applyFill="1" applyBorder="1"/>
    <xf numFmtId="0" fontId="45" fillId="4" borderId="27" xfId="0" applyFont="1" applyFill="1" applyBorder="1"/>
    <xf numFmtId="0" fontId="45" fillId="4" borderId="101" xfId="0" applyFont="1" applyFill="1" applyBorder="1"/>
    <xf numFmtId="0" fontId="54" fillId="4" borderId="95" xfId="7" applyFont="1" applyFill="1" applyBorder="1" applyAlignment="1">
      <alignment horizontal="left"/>
    </xf>
    <xf numFmtId="0" fontId="54" fillId="4" borderId="96" xfId="7" applyFont="1" applyFill="1" applyBorder="1" applyAlignment="1">
      <alignment horizontal="left"/>
    </xf>
    <xf numFmtId="0" fontId="54" fillId="4" borderId="97" xfId="7" applyFont="1" applyFill="1" applyBorder="1" applyAlignment="1">
      <alignment horizontal="left"/>
    </xf>
    <xf numFmtId="0" fontId="54" fillId="4" borderId="31" xfId="7" applyFont="1" applyFill="1" applyBorder="1" applyAlignment="1">
      <alignment horizontal="left"/>
    </xf>
    <xf numFmtId="2" fontId="54" fillId="4" borderId="100" xfId="9" quotePrefix="1" applyNumberFormat="1" applyFont="1" applyFill="1" applyBorder="1" applyAlignment="1">
      <alignment horizontal="center"/>
    </xf>
    <xf numFmtId="2" fontId="54" fillId="4" borderId="33" xfId="9" quotePrefix="1" applyNumberFormat="1" applyFont="1" applyFill="1" applyBorder="1" applyAlignment="1">
      <alignment horizontal="center"/>
    </xf>
    <xf numFmtId="0" fontId="54" fillId="4" borderId="102" xfId="7" applyFont="1" applyFill="1" applyBorder="1" applyAlignment="1">
      <alignment horizontal="left"/>
    </xf>
    <xf numFmtId="2" fontId="54" fillId="4" borderId="103" xfId="9" quotePrefix="1" applyNumberFormat="1" applyFont="1" applyFill="1" applyBorder="1" applyAlignment="1">
      <alignment horizontal="center"/>
    </xf>
    <xf numFmtId="0" fontId="53" fillId="12" borderId="95" xfId="7" applyFont="1" applyFill="1" applyBorder="1" applyAlignment="1">
      <alignment horizontal="left"/>
    </xf>
    <xf numFmtId="0" fontId="34" fillId="12" borderId="42" xfId="0" applyFont="1" applyFill="1" applyBorder="1"/>
    <xf numFmtId="0" fontId="53" fillId="12" borderId="96" xfId="7" applyFont="1" applyFill="1" applyBorder="1" applyAlignment="1">
      <alignment horizontal="left"/>
    </xf>
    <xf numFmtId="0" fontId="53" fillId="12" borderId="97" xfId="7" applyFont="1" applyFill="1" applyBorder="1" applyAlignment="1">
      <alignment horizontal="left"/>
    </xf>
    <xf numFmtId="0" fontId="53" fillId="12" borderId="102" xfId="7" applyFont="1" applyFill="1" applyBorder="1" applyAlignment="1">
      <alignment horizontal="left"/>
    </xf>
    <xf numFmtId="0" fontId="45" fillId="12" borderId="42" xfId="0" applyFont="1" applyFill="1" applyBorder="1"/>
    <xf numFmtId="0" fontId="45" fillId="12" borderId="99" xfId="0" applyFont="1" applyFill="1" applyBorder="1"/>
    <xf numFmtId="0" fontId="53" fillId="12" borderId="31" xfId="7" applyFont="1" applyFill="1" applyBorder="1" applyAlignment="1">
      <alignment horizontal="left"/>
    </xf>
    <xf numFmtId="0" fontId="34" fillId="12" borderId="27" xfId="0" applyFont="1" applyFill="1" applyBorder="1"/>
    <xf numFmtId="2" fontId="53" fillId="12" borderId="100" xfId="7" applyNumberFormat="1" applyFont="1" applyFill="1" applyBorder="1" applyAlignment="1">
      <alignment horizontal="center"/>
    </xf>
    <xf numFmtId="2" fontId="53" fillId="12" borderId="33" xfId="7" applyNumberFormat="1" applyFont="1" applyFill="1" applyBorder="1" applyAlignment="1">
      <alignment horizontal="center"/>
    </xf>
    <xf numFmtId="2" fontId="53" fillId="12" borderId="103" xfId="7" applyNumberFormat="1" applyFont="1" applyFill="1" applyBorder="1" applyAlignment="1">
      <alignment horizontal="center"/>
    </xf>
    <xf numFmtId="0" fontId="45" fillId="12" borderId="27" xfId="0" applyFont="1" applyFill="1" applyBorder="1"/>
    <xf numFmtId="0" fontId="45" fillId="12" borderId="101" xfId="0" applyFont="1" applyFill="1" applyBorder="1"/>
    <xf numFmtId="0" fontId="54" fillId="12" borderId="95" xfId="7" applyFont="1" applyFill="1" applyBorder="1" applyAlignment="1">
      <alignment horizontal="left"/>
    </xf>
    <xf numFmtId="2" fontId="53" fillId="12" borderId="33" xfId="7" quotePrefix="1" applyNumberFormat="1" applyFont="1" applyFill="1" applyBorder="1" applyAlignment="1">
      <alignment horizontal="center"/>
    </xf>
    <xf numFmtId="2" fontId="53" fillId="12" borderId="103" xfId="7" quotePrefix="1" applyNumberFormat="1" applyFont="1" applyFill="1" applyBorder="1" applyAlignment="1">
      <alignment horizontal="center"/>
    </xf>
    <xf numFmtId="0" fontId="53" fillId="3" borderId="95" xfId="7" applyFont="1" applyFill="1" applyBorder="1"/>
    <xf numFmtId="0" fontId="45" fillId="3" borderId="42" xfId="0" applyFont="1" applyFill="1" applyBorder="1"/>
    <xf numFmtId="0" fontId="53" fillId="3" borderId="96" xfId="7" applyFont="1" applyFill="1" applyBorder="1" applyAlignment="1">
      <alignment horizontal="center"/>
    </xf>
    <xf numFmtId="0" fontId="53" fillId="3" borderId="97" xfId="7" applyFont="1" applyFill="1" applyBorder="1" applyAlignment="1">
      <alignment horizontal="center"/>
    </xf>
    <xf numFmtId="0" fontId="53" fillId="3" borderId="98" xfId="7" applyFont="1" applyFill="1" applyBorder="1" applyAlignment="1">
      <alignment horizontal="center"/>
    </xf>
    <xf numFmtId="0" fontId="45" fillId="3" borderId="99" xfId="0" applyFont="1" applyFill="1" applyBorder="1"/>
    <xf numFmtId="0" fontId="53" fillId="3" borderId="31" xfId="7" applyFont="1" applyFill="1" applyBorder="1"/>
    <xf numFmtId="0" fontId="45" fillId="3" borderId="27" xfId="0" applyFont="1" applyFill="1" applyBorder="1"/>
    <xf numFmtId="0" fontId="53" fillId="3" borderId="100" xfId="7" applyFont="1" applyFill="1" applyBorder="1" applyAlignment="1">
      <alignment horizontal="center"/>
    </xf>
    <xf numFmtId="0" fontId="53" fillId="3" borderId="33" xfId="7" applyFont="1" applyFill="1" applyBorder="1" applyAlignment="1">
      <alignment horizontal="center"/>
    </xf>
    <xf numFmtId="0" fontId="53" fillId="3" borderId="32" xfId="7" applyFont="1" applyFill="1" applyBorder="1" applyAlignment="1">
      <alignment horizontal="center"/>
    </xf>
    <xf numFmtId="0" fontId="45" fillId="3" borderId="101" xfId="0" applyFont="1" applyFill="1" applyBorder="1"/>
    <xf numFmtId="0" fontId="25" fillId="0" borderId="1" xfId="0" applyFont="1" applyBorder="1" applyAlignment="1">
      <alignment horizontal="center"/>
    </xf>
    <xf numFmtId="0" fontId="25" fillId="6" borderId="1" xfId="0" applyFont="1" applyFill="1" applyBorder="1" applyAlignment="1">
      <alignment horizontal="center"/>
    </xf>
    <xf numFmtId="0" fontId="25" fillId="6" borderId="6" xfId="0" applyFont="1" applyFill="1" applyBorder="1" applyAlignment="1">
      <alignment horizontal="center"/>
    </xf>
    <xf numFmtId="2" fontId="28" fillId="0" borderId="27" xfId="0" applyNumberFormat="1" applyFont="1" applyBorder="1" applyAlignment="1">
      <alignment horizontal="left"/>
    </xf>
    <xf numFmtId="2" fontId="27" fillId="0" borderId="106" xfId="0" applyNumberFormat="1" applyFont="1" applyBorder="1"/>
    <xf numFmtId="2" fontId="27" fillId="0" borderId="107" xfId="0" applyNumberFormat="1" applyFont="1" applyBorder="1"/>
    <xf numFmtId="4" fontId="27" fillId="4" borderId="108" xfId="0" applyNumberFormat="1" applyFont="1" applyFill="1" applyBorder="1"/>
    <xf numFmtId="4" fontId="27" fillId="4" borderId="109" xfId="0" applyNumberFormat="1" applyFont="1" applyFill="1" applyBorder="1"/>
    <xf numFmtId="2" fontId="28" fillId="0" borderId="59" xfId="0" applyNumberFormat="1" applyFont="1" applyBorder="1" applyAlignment="1">
      <alignment horizontal="left"/>
    </xf>
    <xf numFmtId="14" fontId="67" fillId="3" borderId="90" xfId="2" applyNumberFormat="1" applyFont="1" applyFill="1" applyBorder="1" applyAlignment="1">
      <alignment horizontal="centerContinuous"/>
    </xf>
    <xf numFmtId="2" fontId="25" fillId="0" borderId="105" xfId="0" applyNumberFormat="1" applyFont="1" applyBorder="1" applyAlignment="1">
      <alignment horizontal="left"/>
    </xf>
    <xf numFmtId="4" fontId="27" fillId="4" borderId="110" xfId="0" applyNumberFormat="1" applyFont="1" applyFill="1" applyBorder="1"/>
    <xf numFmtId="4" fontId="27" fillId="4" borderId="111" xfId="0" applyNumberFormat="1" applyFont="1" applyFill="1" applyBorder="1"/>
    <xf numFmtId="0" fontId="108" fillId="4" borderId="87" xfId="7" applyFont="1" applyFill="1" applyBorder="1" applyAlignment="1">
      <alignment horizontal="center"/>
    </xf>
    <xf numFmtId="3" fontId="26" fillId="0" borderId="112" xfId="0" applyNumberFormat="1" applyFont="1" applyBorder="1"/>
    <xf numFmtId="4" fontId="25" fillId="0" borderId="112" xfId="0" applyNumberFormat="1" applyFont="1" applyBorder="1"/>
    <xf numFmtId="4" fontId="25" fillId="4" borderId="112" xfId="0" applyNumberFormat="1" applyFont="1" applyFill="1" applyBorder="1"/>
    <xf numFmtId="164" fontId="25" fillId="0" borderId="112" xfId="0" applyNumberFormat="1" applyFont="1" applyBorder="1" applyAlignment="1">
      <alignment horizontal="center"/>
    </xf>
    <xf numFmtId="2" fontId="110" fillId="0" borderId="25" xfId="15" quotePrefix="1" applyNumberFormat="1" applyFont="1" applyBorder="1" applyAlignment="1">
      <alignment vertical="top"/>
    </xf>
    <xf numFmtId="166" fontId="111" fillId="0" borderId="0" xfId="26" applyNumberFormat="1" applyFont="1"/>
    <xf numFmtId="0" fontId="103" fillId="4" borderId="0" xfId="20" applyFont="1" applyFill="1" applyAlignment="1">
      <alignment vertical="center"/>
    </xf>
    <xf numFmtId="0" fontId="89" fillId="0" borderId="0" xfId="19" applyFont="1" applyAlignment="1">
      <alignment vertical="center"/>
    </xf>
    <xf numFmtId="0" fontId="24" fillId="0" borderId="0" xfId="19" applyFont="1" applyAlignment="1">
      <alignment vertical="center"/>
    </xf>
    <xf numFmtId="0" fontId="35" fillId="0" borderId="0" xfId="27" applyFont="1" applyAlignment="1">
      <alignment vertical="center"/>
    </xf>
    <xf numFmtId="0" fontId="35" fillId="0" borderId="0" xfId="22" applyFont="1" applyAlignment="1">
      <alignment vertical="center"/>
    </xf>
    <xf numFmtId="0" fontId="24" fillId="0" borderId="0" xfId="22" applyFont="1" applyAlignment="1">
      <alignment vertical="center"/>
    </xf>
    <xf numFmtId="0" fontId="93" fillId="0" borderId="113" xfId="19" applyFont="1" applyBorder="1" applyAlignment="1">
      <alignment vertical="center"/>
    </xf>
    <xf numFmtId="0" fontId="94" fillId="0" borderId="113" xfId="19" applyFont="1" applyBorder="1"/>
    <xf numFmtId="0" fontId="93" fillId="0" borderId="113" xfId="19" applyFont="1" applyBorder="1"/>
    <xf numFmtId="3" fontId="25" fillId="8" borderId="2" xfId="21" applyNumberFormat="1" applyFont="1" applyFill="1" applyBorder="1"/>
    <xf numFmtId="3" fontId="25" fillId="0" borderId="18" xfId="21" applyNumberFormat="1" applyFont="1" applyBorder="1"/>
    <xf numFmtId="3" fontId="27" fillId="8" borderId="75" xfId="21" applyNumberFormat="1" applyFont="1" applyFill="1" applyBorder="1"/>
    <xf numFmtId="3" fontId="27" fillId="0" borderId="77" xfId="21" applyNumberFormat="1" applyFont="1" applyBorder="1"/>
    <xf numFmtId="3" fontId="27" fillId="8" borderId="75" xfId="19" applyNumberFormat="1" applyFont="1" applyFill="1" applyBorder="1"/>
    <xf numFmtId="3" fontId="27" fillId="8" borderId="3" xfId="19" applyNumberFormat="1" applyFont="1" applyFill="1" applyBorder="1"/>
    <xf numFmtId="0" fontId="24" fillId="0" borderId="113" xfId="19" applyFont="1" applyBorder="1"/>
    <xf numFmtId="3" fontId="27" fillId="8" borderId="69" xfId="19" applyNumberFormat="1" applyFont="1" applyFill="1" applyBorder="1"/>
    <xf numFmtId="3" fontId="24" fillId="0" borderId="113" xfId="21" applyNumberFormat="1" applyFont="1" applyBorder="1"/>
    <xf numFmtId="3" fontId="24" fillId="0" borderId="0" xfId="21" applyNumberFormat="1" applyFont="1"/>
    <xf numFmtId="3" fontId="24" fillId="0" borderId="113" xfId="19" applyNumberFormat="1" applyFont="1" applyBorder="1"/>
    <xf numFmtId="0" fontId="93" fillId="0" borderId="0" xfId="19" applyFont="1" applyAlignment="1">
      <alignment horizontal="left"/>
    </xf>
    <xf numFmtId="0" fontId="35" fillId="0" borderId="0" xfId="27" applyFont="1"/>
    <xf numFmtId="0" fontId="35" fillId="0" borderId="0" xfId="22" applyFont="1"/>
    <xf numFmtId="0" fontId="112" fillId="0" borderId="0" xfId="15" applyFont="1" applyAlignment="1">
      <alignment vertical="top"/>
    </xf>
    <xf numFmtId="0" fontId="113" fillId="0" borderId="0" xfId="15" applyFont="1"/>
    <xf numFmtId="0" fontId="10" fillId="0" borderId="0" xfId="17" applyAlignment="1">
      <alignment vertical="center"/>
    </xf>
    <xf numFmtId="0" fontId="93" fillId="0" borderId="0" xfId="19" applyFont="1" applyAlignment="1">
      <alignment vertical="top"/>
    </xf>
    <xf numFmtId="0" fontId="70" fillId="3" borderId="88" xfId="22" applyFont="1" applyFill="1" applyBorder="1" applyAlignment="1">
      <alignment vertical="top"/>
    </xf>
    <xf numFmtId="0" fontId="67" fillId="3" borderId="114" xfId="19" applyFont="1" applyFill="1" applyBorder="1" applyAlignment="1">
      <alignment horizontal="centerContinuous" vertical="center"/>
    </xf>
    <xf numFmtId="0" fontId="69" fillId="3" borderId="114" xfId="19" applyFont="1" applyFill="1" applyBorder="1" applyAlignment="1">
      <alignment horizontal="centerContinuous" vertical="top"/>
    </xf>
    <xf numFmtId="0" fontId="69" fillId="3" borderId="115" xfId="19" applyFont="1" applyFill="1" applyBorder="1" applyAlignment="1">
      <alignment horizontal="centerContinuous" vertical="top"/>
    </xf>
    <xf numFmtId="0" fontId="115" fillId="0" borderId="0" xfId="19" applyFont="1" applyAlignment="1">
      <alignment vertical="top"/>
    </xf>
    <xf numFmtId="0" fontId="64" fillId="0" borderId="0" xfId="15" applyFont="1" applyAlignment="1">
      <alignment vertical="top"/>
    </xf>
    <xf numFmtId="0" fontId="64" fillId="0" borderId="0" xfId="19" applyFont="1" applyAlignment="1">
      <alignment vertical="top"/>
    </xf>
    <xf numFmtId="0" fontId="40" fillId="0" borderId="0" xfId="15" applyFont="1" applyAlignment="1">
      <alignment horizontal="center" vertical="top"/>
    </xf>
    <xf numFmtId="164" fontId="64" fillId="0" borderId="0" xfId="19" applyNumberFormat="1" applyFont="1" applyAlignment="1">
      <alignment vertical="top"/>
    </xf>
    <xf numFmtId="0" fontId="116" fillId="0" borderId="0" xfId="19" applyFont="1" applyAlignment="1">
      <alignment vertical="top"/>
    </xf>
    <xf numFmtId="0" fontId="67" fillId="3" borderId="116" xfId="19" applyFont="1" applyFill="1" applyBorder="1" applyAlignment="1">
      <alignment horizontal="center" vertical="top"/>
    </xf>
    <xf numFmtId="0" fontId="70" fillId="3" borderId="16" xfId="19" applyFont="1" applyFill="1" applyBorder="1" applyAlignment="1">
      <alignment horizontal="centerContinuous" vertical="center" wrapText="1"/>
    </xf>
    <xf numFmtId="0" fontId="70" fillId="3" borderId="78" xfId="19" applyFont="1" applyFill="1" applyBorder="1" applyAlignment="1">
      <alignment horizontal="centerContinuous" vertical="center" wrapText="1"/>
    </xf>
    <xf numFmtId="0" fontId="70" fillId="3" borderId="117" xfId="19" applyFont="1" applyFill="1" applyBorder="1" applyAlignment="1">
      <alignment horizontal="center" vertical="center" wrapText="1"/>
    </xf>
    <xf numFmtId="0" fontId="70" fillId="12" borderId="16" xfId="19" applyFont="1" applyFill="1" applyBorder="1" applyAlignment="1">
      <alignment horizontal="centerContinuous" vertical="center" wrapText="1"/>
    </xf>
    <xf numFmtId="0" fontId="70" fillId="12" borderId="78" xfId="19" applyFont="1" applyFill="1" applyBorder="1" applyAlignment="1">
      <alignment horizontal="centerContinuous" vertical="center" wrapText="1"/>
    </xf>
    <xf numFmtId="0" fontId="70" fillId="12" borderId="118" xfId="19" applyFont="1" applyFill="1" applyBorder="1" applyAlignment="1">
      <alignment horizontal="center" vertical="center" wrapText="1"/>
    </xf>
    <xf numFmtId="0" fontId="70" fillId="12" borderId="119" xfId="19" applyFont="1" applyFill="1" applyBorder="1" applyAlignment="1">
      <alignment horizontal="center" vertical="center" wrapText="1"/>
    </xf>
    <xf numFmtId="0" fontId="70" fillId="3" borderId="120" xfId="19" applyFont="1" applyFill="1" applyBorder="1" applyAlignment="1">
      <alignment horizontal="centerContinuous" vertical="center" wrapText="1"/>
    </xf>
    <xf numFmtId="0" fontId="70" fillId="12" borderId="121" xfId="19" applyFont="1" applyFill="1" applyBorder="1" applyAlignment="1">
      <alignment horizontal="center" vertical="center" wrapText="1"/>
    </xf>
    <xf numFmtId="0" fontId="117" fillId="0" borderId="0" xfId="19" applyFont="1" applyAlignment="1">
      <alignment horizontal="center" vertical="center"/>
    </xf>
    <xf numFmtId="0" fontId="117" fillId="0" borderId="0" xfId="19" applyFont="1" applyAlignment="1">
      <alignment horizontal="center" vertical="center" wrapText="1"/>
    </xf>
    <xf numFmtId="0" fontId="115" fillId="0" borderId="0" xfId="19" applyFont="1"/>
    <xf numFmtId="3" fontId="25" fillId="4" borderId="122" xfId="21" applyNumberFormat="1" applyFont="1" applyFill="1" applyBorder="1"/>
    <xf numFmtId="167" fontId="25" fillId="4" borderId="9" xfId="21" applyNumberFormat="1" applyFont="1" applyFill="1" applyBorder="1" applyAlignment="1">
      <alignment horizontal="center"/>
    </xf>
    <xf numFmtId="3" fontId="25" fillId="8" borderId="18" xfId="21" applyNumberFormat="1" applyFont="1" applyFill="1" applyBorder="1"/>
    <xf numFmtId="167" fontId="25" fillId="4" borderId="2" xfId="21" applyNumberFormat="1" applyFont="1" applyFill="1" applyBorder="1" applyAlignment="1">
      <alignment horizontal="center"/>
    </xf>
    <xf numFmtId="167" fontId="109" fillId="4" borderId="123" xfId="21" applyNumberFormat="1" applyFont="1" applyFill="1" applyBorder="1"/>
    <xf numFmtId="167" fontId="109" fillId="4" borderId="122" xfId="21" applyNumberFormat="1" applyFont="1" applyFill="1" applyBorder="1"/>
    <xf numFmtId="0" fontId="117" fillId="0" borderId="0" xfId="19" applyFont="1"/>
    <xf numFmtId="3" fontId="117" fillId="0" borderId="0" xfId="21" applyNumberFormat="1" applyFont="1"/>
    <xf numFmtId="164" fontId="117" fillId="0" borderId="0" xfId="19" applyNumberFormat="1" applyFont="1" applyAlignment="1">
      <alignment vertical="center"/>
    </xf>
    <xf numFmtId="167" fontId="117" fillId="0" borderId="0" xfId="21" applyNumberFormat="1" applyFont="1"/>
    <xf numFmtId="3" fontId="27" fillId="4" borderId="124" xfId="19" applyNumberFormat="1" applyFont="1" applyFill="1" applyBorder="1"/>
    <xf numFmtId="167" fontId="27" fillId="4" borderId="125" xfId="19" applyNumberFormat="1" applyFont="1" applyFill="1" applyBorder="1" applyAlignment="1">
      <alignment horizontal="center"/>
    </xf>
    <xf numFmtId="3" fontId="27" fillId="8" borderId="77" xfId="19" applyNumberFormat="1" applyFont="1" applyFill="1" applyBorder="1"/>
    <xf numFmtId="167" fontId="27" fillId="4" borderId="3" xfId="19" applyNumberFormat="1" applyFont="1" applyFill="1" applyBorder="1" applyAlignment="1">
      <alignment horizontal="center"/>
    </xf>
    <xf numFmtId="167" fontId="109" fillId="4" borderId="126" xfId="19" applyNumberFormat="1" applyFont="1" applyFill="1" applyBorder="1"/>
    <xf numFmtId="167" fontId="109" fillId="4" borderId="124" xfId="19" applyNumberFormat="1" applyFont="1" applyFill="1" applyBorder="1"/>
    <xf numFmtId="4" fontId="44" fillId="0" borderId="0" xfId="21" applyNumberFormat="1" applyFont="1"/>
    <xf numFmtId="3" fontId="44" fillId="0" borderId="0" xfId="21" applyNumberFormat="1" applyFont="1"/>
    <xf numFmtId="167" fontId="44" fillId="0" borderId="0" xfId="21" applyNumberFormat="1" applyFont="1"/>
    <xf numFmtId="3" fontId="27" fillId="4" borderId="86" xfId="19" applyNumberFormat="1" applyFont="1" applyFill="1" applyBorder="1"/>
    <xf numFmtId="167" fontId="27" fillId="4" borderId="11" xfId="19" applyNumberFormat="1" applyFont="1" applyFill="1" applyBorder="1" applyAlignment="1">
      <alignment horizontal="center"/>
    </xf>
    <xf numFmtId="3" fontId="27" fillId="8" borderId="5" xfId="19" applyNumberFormat="1" applyFont="1" applyFill="1" applyBorder="1"/>
    <xf numFmtId="167" fontId="109" fillId="4" borderId="127" xfId="19" applyNumberFormat="1" applyFont="1" applyFill="1" applyBorder="1"/>
    <xf numFmtId="167" fontId="109" fillId="4" borderId="86" xfId="19" applyNumberFormat="1" applyFont="1" applyFill="1" applyBorder="1"/>
    <xf numFmtId="0" fontId="118" fillId="0" borderId="0" xfId="19" applyFont="1"/>
    <xf numFmtId="3" fontId="64" fillId="0" borderId="0" xfId="21" applyNumberFormat="1" applyFont="1"/>
    <xf numFmtId="167" fontId="64" fillId="0" borderId="0" xfId="21" applyNumberFormat="1" applyFont="1"/>
    <xf numFmtId="4" fontId="64" fillId="0" borderId="0" xfId="21" applyNumberFormat="1" applyFont="1"/>
    <xf numFmtId="3" fontId="119" fillId="0" borderId="0" xfId="21" applyNumberFormat="1" applyFont="1"/>
    <xf numFmtId="3" fontId="27" fillId="4" borderId="86" xfId="19" applyNumberFormat="1" applyFont="1" applyFill="1" applyBorder="1" applyAlignment="1">
      <alignment horizontal="right"/>
    </xf>
    <xf numFmtId="167" fontId="27" fillId="0" borderId="3" xfId="19" applyNumberFormat="1" applyFont="1" applyBorder="1" applyAlignment="1">
      <alignment horizontal="center"/>
    </xf>
    <xf numFmtId="3" fontId="27" fillId="4" borderId="5" xfId="19" applyNumberFormat="1" applyFont="1" applyFill="1" applyBorder="1" applyAlignment="1">
      <alignment horizontal="right"/>
    </xf>
    <xf numFmtId="3" fontId="27" fillId="0" borderId="88" xfId="21" applyNumberFormat="1" applyFont="1" applyBorder="1"/>
    <xf numFmtId="3" fontId="27" fillId="4" borderId="87" xfId="19" applyNumberFormat="1" applyFont="1" applyFill="1" applyBorder="1" applyAlignment="1">
      <alignment horizontal="right"/>
    </xf>
    <xf numFmtId="3" fontId="27" fillId="4" borderId="70" xfId="19" applyNumberFormat="1" applyFont="1" applyFill="1" applyBorder="1" applyAlignment="1">
      <alignment horizontal="right"/>
    </xf>
    <xf numFmtId="167" fontId="27" fillId="0" borderId="128" xfId="19" applyNumberFormat="1" applyFont="1" applyBorder="1" applyAlignment="1">
      <alignment horizontal="center"/>
    </xf>
    <xf numFmtId="3" fontId="27" fillId="8" borderId="70" xfId="19" applyNumberFormat="1" applyFont="1" applyFill="1" applyBorder="1"/>
    <xf numFmtId="167" fontId="27" fillId="4" borderId="69" xfId="19" applyNumberFormat="1" applyFont="1" applyFill="1" applyBorder="1" applyAlignment="1">
      <alignment horizontal="center"/>
    </xf>
    <xf numFmtId="167" fontId="109" fillId="4" borderId="129" xfId="19" applyNumberFormat="1" applyFont="1" applyFill="1" applyBorder="1"/>
    <xf numFmtId="167" fontId="109" fillId="4" borderId="87" xfId="19" applyNumberFormat="1" applyFont="1" applyFill="1" applyBorder="1"/>
    <xf numFmtId="0" fontId="120" fillId="0" borderId="0" xfId="27" applyFont="1"/>
    <xf numFmtId="3" fontId="27" fillId="4" borderId="0" xfId="19" applyNumberFormat="1" applyFont="1" applyFill="1"/>
    <xf numFmtId="0" fontId="64" fillId="0" borderId="0" xfId="19" applyFont="1"/>
    <xf numFmtId="0" fontId="40" fillId="0" borderId="0" xfId="15" applyFont="1"/>
    <xf numFmtId="3" fontId="64" fillId="0" borderId="0" xfId="15" applyNumberFormat="1" applyFont="1"/>
    <xf numFmtId="2" fontId="28" fillId="0" borderId="42" xfId="0" applyNumberFormat="1" applyFont="1" applyBorder="1" applyAlignment="1">
      <alignment horizontal="left"/>
    </xf>
    <xf numFmtId="2" fontId="25" fillId="0" borderId="130" xfId="0" applyNumberFormat="1" applyFont="1" applyBorder="1" applyAlignment="1">
      <alignment horizontal="left"/>
    </xf>
    <xf numFmtId="0" fontId="103" fillId="0" borderId="0" xfId="0" applyFont="1"/>
    <xf numFmtId="0" fontId="43" fillId="7" borderId="0" xfId="0" applyFont="1" applyFill="1" applyAlignment="1">
      <alignment horizontal="left"/>
    </xf>
    <xf numFmtId="3" fontId="28" fillId="0" borderId="131" xfId="0" applyNumberFormat="1" applyFont="1" applyBorder="1"/>
    <xf numFmtId="4" fontId="27" fillId="0" borderId="108" xfId="0" applyNumberFormat="1" applyFont="1" applyBorder="1"/>
    <xf numFmtId="4" fontId="27" fillId="0" borderId="133" xfId="0" applyNumberFormat="1" applyFont="1" applyBorder="1"/>
    <xf numFmtId="164" fontId="27" fillId="0" borderId="131" xfId="0" applyNumberFormat="1" applyFont="1" applyBorder="1" applyAlignment="1">
      <alignment horizontal="center"/>
    </xf>
    <xf numFmtId="164" fontId="27" fillId="0" borderId="108" xfId="0" applyNumberFormat="1" applyFont="1" applyBorder="1" applyAlignment="1">
      <alignment horizontal="center"/>
    </xf>
    <xf numFmtId="164" fontId="27" fillId="0" borderId="132" xfId="0" applyNumberFormat="1" applyFont="1" applyBorder="1" applyAlignment="1">
      <alignment horizontal="center"/>
    </xf>
    <xf numFmtId="3" fontId="28" fillId="0" borderId="57" xfId="0" applyNumberFormat="1" applyFont="1" applyBorder="1"/>
    <xf numFmtId="4" fontId="27" fillId="0" borderId="56" xfId="0" applyNumberFormat="1" applyFont="1" applyBorder="1"/>
    <xf numFmtId="4" fontId="27" fillId="4" borderId="56" xfId="0" applyNumberFormat="1" applyFont="1" applyFill="1" applyBorder="1"/>
    <xf numFmtId="4" fontId="27" fillId="0" borderId="134" xfId="0" applyNumberFormat="1" applyFont="1" applyBorder="1"/>
    <xf numFmtId="164" fontId="27" fillId="0" borderId="57" xfId="0" applyNumberFormat="1" applyFont="1" applyBorder="1" applyAlignment="1">
      <alignment horizontal="center"/>
    </xf>
    <xf numFmtId="3" fontId="26" fillId="0" borderId="59" xfId="0" applyNumberFormat="1" applyFont="1" applyBorder="1"/>
    <xf numFmtId="4" fontId="25" fillId="0" borderId="59" xfId="0" applyNumberFormat="1" applyFont="1" applyBorder="1"/>
    <xf numFmtId="4" fontId="25" fillId="4" borderId="59" xfId="0" applyNumberFormat="1" applyFont="1" applyFill="1" applyBorder="1"/>
    <xf numFmtId="164" fontId="25" fillId="0" borderId="59" xfId="0" applyNumberFormat="1" applyFont="1" applyBorder="1" applyAlignment="1">
      <alignment horizontal="center"/>
    </xf>
    <xf numFmtId="0" fontId="33" fillId="0" borderId="104" xfId="0" applyFont="1" applyBorder="1"/>
    <xf numFmtId="2" fontId="28" fillId="0" borderId="135" xfId="0" applyNumberFormat="1" applyFont="1" applyBorder="1" applyAlignment="1">
      <alignment horizontal="left"/>
    </xf>
    <xf numFmtId="2" fontId="28" fillId="0" borderId="136" xfId="0" applyNumberFormat="1" applyFont="1" applyBorder="1" applyAlignment="1">
      <alignment horizontal="left"/>
    </xf>
    <xf numFmtId="4" fontId="27" fillId="4" borderId="44" xfId="0" applyNumberFormat="1" applyFont="1" applyFill="1" applyBorder="1"/>
    <xf numFmtId="4" fontId="27" fillId="4" borderId="21" xfId="0" applyNumberFormat="1" applyFont="1" applyFill="1" applyBorder="1"/>
    <xf numFmtId="164" fontId="25" fillId="0" borderId="0" xfId="0" applyNumberFormat="1" applyFont="1" applyAlignment="1">
      <alignment horizontal="center"/>
    </xf>
    <xf numFmtId="4" fontId="27" fillId="4" borderId="137" xfId="0" applyNumberFormat="1" applyFont="1" applyFill="1" applyBorder="1"/>
    <xf numFmtId="4" fontId="27" fillId="4" borderId="132" xfId="0" applyNumberFormat="1" applyFont="1" applyFill="1" applyBorder="1"/>
    <xf numFmtId="4" fontId="27" fillId="4" borderId="138" xfId="0" applyNumberFormat="1" applyFont="1" applyFill="1" applyBorder="1"/>
    <xf numFmtId="2" fontId="26" fillId="0" borderId="136" xfId="0" applyNumberFormat="1" applyFont="1" applyBorder="1" applyAlignment="1">
      <alignment horizontal="left"/>
    </xf>
    <xf numFmtId="2" fontId="27" fillId="0" borderId="139" xfId="0" applyNumberFormat="1" applyFont="1" applyBorder="1"/>
    <xf numFmtId="2" fontId="28" fillId="0" borderId="140" xfId="0" applyNumberFormat="1" applyFont="1" applyBorder="1" applyAlignment="1">
      <alignment horizontal="left"/>
    </xf>
    <xf numFmtId="2" fontId="26" fillId="0" borderId="141" xfId="0" applyNumberFormat="1" applyFont="1" applyBorder="1" applyAlignment="1">
      <alignment horizontal="left"/>
    </xf>
    <xf numFmtId="2" fontId="27" fillId="0" borderId="142" xfId="0" applyNumberFormat="1" applyFont="1" applyBorder="1"/>
    <xf numFmtId="14" fontId="70" fillId="3" borderId="68" xfId="2" applyNumberFormat="1" applyFont="1" applyFill="1" applyBorder="1" applyAlignment="1">
      <alignment horizontal="centerContinuous"/>
    </xf>
    <xf numFmtId="14" fontId="70" fillId="3" borderId="39" xfId="2" applyNumberFormat="1" applyFont="1" applyFill="1" applyBorder="1" applyAlignment="1">
      <alignment horizontal="centerContinuous"/>
    </xf>
    <xf numFmtId="14" fontId="69" fillId="3" borderId="27" xfId="2" applyNumberFormat="1" applyFont="1" applyFill="1" applyBorder="1" applyAlignment="1">
      <alignment horizontal="centerContinuous"/>
    </xf>
    <xf numFmtId="2" fontId="98" fillId="0" borderId="26" xfId="15" applyNumberFormat="1" applyFont="1" applyBorder="1" applyAlignment="1">
      <alignment vertical="center"/>
    </xf>
    <xf numFmtId="0" fontId="28" fillId="0" borderId="0" xfId="0" applyFont="1"/>
    <xf numFmtId="0" fontId="24" fillId="12" borderId="17" xfId="0" applyFont="1" applyFill="1" applyBorder="1"/>
    <xf numFmtId="0" fontId="24" fillId="12" borderId="0" xfId="0" applyFont="1" applyFill="1" applyBorder="1"/>
    <xf numFmtId="0" fontId="24" fillId="4" borderId="0" xfId="0" applyFont="1" applyFill="1" applyBorder="1"/>
    <xf numFmtId="0" fontId="0" fillId="0" borderId="0" xfId="0" applyBorder="1"/>
    <xf numFmtId="0" fontId="99" fillId="4" borderId="0" xfId="0" applyFont="1" applyFill="1" applyBorder="1" applyAlignment="1">
      <alignment horizontal="left" vertical="center"/>
    </xf>
    <xf numFmtId="0" fontId="27" fillId="4" borderId="0" xfId="0" applyFont="1" applyFill="1" applyBorder="1"/>
    <xf numFmtId="0" fontId="53" fillId="4" borderId="98" xfId="7" applyFont="1" applyFill="1" applyBorder="1" applyAlignment="1">
      <alignment horizontal="center"/>
    </xf>
    <xf numFmtId="0" fontId="53" fillId="4" borderId="32" xfId="7" applyFont="1" applyFill="1" applyBorder="1" applyAlignment="1">
      <alignment horizontal="center"/>
    </xf>
    <xf numFmtId="0" fontId="52" fillId="7" borderId="0" xfId="0" applyFont="1" applyFill="1" applyBorder="1" applyAlignment="1">
      <alignment horizontal="right" shrinkToFit="1"/>
    </xf>
    <xf numFmtId="0" fontId="98" fillId="4" borderId="87" xfId="7" applyFont="1" applyFill="1" applyBorder="1" applyAlignment="1">
      <alignment horizontal="left" wrapText="1"/>
    </xf>
    <xf numFmtId="2" fontId="42" fillId="4" borderId="90" xfId="0" applyNumberFormat="1" applyFont="1" applyFill="1" applyBorder="1" applyAlignment="1">
      <alignment vertical="center"/>
    </xf>
    <xf numFmtId="0" fontId="42" fillId="4" borderId="90" xfId="0" applyFont="1" applyFill="1" applyBorder="1" applyAlignment="1">
      <alignment horizontal="center" vertical="center" wrapText="1"/>
    </xf>
    <xf numFmtId="4" fontId="1" fillId="4" borderId="90" xfId="0" applyNumberFormat="1" applyFont="1" applyFill="1" applyBorder="1" applyAlignment="1">
      <alignment horizontal="center" vertical="center"/>
    </xf>
    <xf numFmtId="2" fontId="1" fillId="4" borderId="90" xfId="0" applyNumberFormat="1" applyFont="1" applyFill="1" applyBorder="1" applyAlignment="1">
      <alignment horizontal="center" vertical="center"/>
    </xf>
    <xf numFmtId="0" fontId="1" fillId="4" borderId="90" xfId="0" applyFont="1" applyFill="1" applyBorder="1" applyAlignment="1">
      <alignment horizontal="center"/>
    </xf>
    <xf numFmtId="4" fontId="1" fillId="4" borderId="90" xfId="0" quotePrefix="1" applyNumberFormat="1" applyFont="1" applyFill="1" applyBorder="1" applyAlignment="1">
      <alignment horizontal="center" vertical="center"/>
    </xf>
    <xf numFmtId="0" fontId="42" fillId="4" borderId="90" xfId="0" applyFont="1" applyFill="1" applyBorder="1"/>
    <xf numFmtId="2" fontId="42" fillId="4" borderId="90" xfId="0" applyNumberFormat="1" applyFont="1" applyFill="1" applyBorder="1" applyAlignment="1">
      <alignment horizontal="center"/>
    </xf>
    <xf numFmtId="4" fontId="42" fillId="4" borderId="90" xfId="0" applyNumberFormat="1" applyFont="1" applyFill="1" applyBorder="1" applyAlignment="1">
      <alignment horizontal="center" vertical="center"/>
    </xf>
    <xf numFmtId="4" fontId="88" fillId="4" borderId="90" xfId="0" quotePrefix="1" applyNumberFormat="1" applyFont="1" applyFill="1" applyBorder="1" applyAlignment="1">
      <alignment horizontal="center" vertical="center"/>
    </xf>
    <xf numFmtId="0" fontId="98" fillId="4" borderId="87" xfId="7" applyFont="1" applyFill="1" applyBorder="1" applyAlignment="1">
      <alignment horizontal="left"/>
    </xf>
    <xf numFmtId="164" fontId="27" fillId="0" borderId="66" xfId="0" quotePrefix="1" applyNumberFormat="1" applyFont="1" applyBorder="1" applyAlignment="1">
      <alignment horizontal="center"/>
    </xf>
    <xf numFmtId="0" fontId="121" fillId="7" borderId="0" xfId="0" applyFont="1" applyFill="1" applyBorder="1" applyAlignment="1">
      <alignment horizontal="left" shrinkToFit="1"/>
    </xf>
    <xf numFmtId="0" fontId="52" fillId="7" borderId="0" xfId="0" applyFont="1" applyFill="1" applyBorder="1" applyAlignment="1">
      <alignment horizontal="right" shrinkToFit="1"/>
    </xf>
    <xf numFmtId="0" fontId="100" fillId="3" borderId="3" xfId="7" applyFont="1" applyFill="1" applyBorder="1" applyAlignment="1">
      <alignment horizontal="center" vertical="center"/>
    </xf>
    <xf numFmtId="14" fontId="100" fillId="3" borderId="3" xfId="7" applyNumberFormat="1" applyFont="1" applyFill="1" applyBorder="1" applyAlignment="1" applyProtection="1">
      <alignment horizontal="center" vertical="center"/>
      <protection hidden="1"/>
    </xf>
    <xf numFmtId="14" fontId="100" fillId="3" borderId="5" xfId="7" applyNumberFormat="1" applyFont="1" applyFill="1" applyBorder="1" applyAlignment="1" applyProtection="1">
      <alignment horizontal="center" vertical="center"/>
      <protection hidden="1"/>
    </xf>
    <xf numFmtId="0" fontId="101" fillId="3" borderId="15" xfId="7" applyFont="1" applyFill="1" applyBorder="1" applyAlignment="1">
      <alignment horizontal="center" vertical="center"/>
    </xf>
    <xf numFmtId="0" fontId="102" fillId="3" borderId="0" xfId="7" applyFont="1" applyFill="1" applyAlignment="1">
      <alignment horizontal="center" vertical="center"/>
    </xf>
    <xf numFmtId="0" fontId="102" fillId="3" borderId="0" xfId="7" applyFont="1" applyFill="1" applyAlignment="1">
      <alignment horizontal="center"/>
    </xf>
    <xf numFmtId="0" fontId="28" fillId="3" borderId="0" xfId="7" applyFont="1" applyFill="1" applyAlignment="1">
      <alignment horizontal="center" vertical="center"/>
    </xf>
    <xf numFmtId="0" fontId="28" fillId="3" borderId="87" xfId="7" applyFont="1" applyFill="1" applyBorder="1" applyAlignment="1">
      <alignment horizontal="center" wrapText="1"/>
    </xf>
    <xf numFmtId="0" fontId="114" fillId="0" borderId="0" xfId="17" applyFont="1" applyAlignment="1">
      <alignment horizontal="center" vertical="center"/>
    </xf>
    <xf numFmtId="0" fontId="122" fillId="13" borderId="143" xfId="0" applyNumberFormat="1" applyFont="1" applyFill="1" applyBorder="1" applyAlignment="1" applyProtection="1">
      <alignment horizontal="center" vertical="center" wrapText="1"/>
    </xf>
    <xf numFmtId="0" fontId="122" fillId="13" borderId="144" xfId="0" applyNumberFormat="1" applyFont="1" applyFill="1" applyBorder="1" applyAlignment="1" applyProtection="1">
      <alignment horizontal="center" vertical="center" wrapText="1"/>
    </xf>
    <xf numFmtId="0" fontId="124" fillId="13" borderId="145" xfId="0" applyNumberFormat="1" applyFont="1" applyFill="1" applyBorder="1" applyAlignment="1" applyProtection="1">
      <alignment horizontal="center" vertical="center" wrapText="1"/>
    </xf>
    <xf numFmtId="0" fontId="124" fillId="13" borderId="146" xfId="0" applyNumberFormat="1" applyFont="1" applyFill="1" applyBorder="1" applyAlignment="1" applyProtection="1">
      <alignment horizontal="center" vertical="center" wrapText="1"/>
    </xf>
    <xf numFmtId="0" fontId="122" fillId="13" borderId="147" xfId="0" applyNumberFormat="1" applyFont="1" applyFill="1" applyBorder="1" applyAlignment="1" applyProtection="1">
      <alignment horizontal="center" vertical="center" wrapText="1"/>
    </xf>
    <xf numFmtId="0" fontId="122" fillId="13" borderId="148" xfId="0" applyNumberFormat="1" applyFont="1" applyFill="1" applyBorder="1" applyAlignment="1" applyProtection="1">
      <alignment horizontal="center" vertical="center" wrapText="1"/>
    </xf>
    <xf numFmtId="0" fontId="124" fillId="13" borderId="149" xfId="0" applyNumberFormat="1" applyFont="1" applyFill="1" applyBorder="1" applyAlignment="1" applyProtection="1">
      <alignment horizontal="center" vertical="center" wrapText="1"/>
    </xf>
    <xf numFmtId="0" fontId="124" fillId="13" borderId="150" xfId="0" applyNumberFormat="1" applyFont="1" applyFill="1" applyBorder="1" applyAlignment="1" applyProtection="1">
      <alignment horizontal="center" vertical="center" wrapText="1"/>
    </xf>
    <xf numFmtId="0" fontId="125" fillId="0" borderId="143" xfId="0" applyNumberFormat="1" applyFont="1" applyFill="1" applyBorder="1" applyAlignment="1" applyProtection="1">
      <alignment horizontal="left" vertical="center" wrapText="1"/>
    </xf>
    <xf numFmtId="0" fontId="125" fillId="0" borderId="151" xfId="0" applyNumberFormat="1" applyFont="1" applyFill="1" applyBorder="1" applyAlignment="1" applyProtection="1">
      <alignment horizontal="left" wrapText="1"/>
    </xf>
    <xf numFmtId="167" fontId="0" fillId="0" borderId="152" xfId="0" applyNumberFormat="1" applyFill="1" applyBorder="1" applyAlignment="1" applyProtection="1">
      <alignment horizontal="center" wrapText="1"/>
    </xf>
    <xf numFmtId="167" fontId="0" fillId="0" borderId="153" xfId="0" applyNumberFormat="1" applyFill="1" applyBorder="1" applyAlignment="1" applyProtection="1">
      <alignment horizontal="center" wrapText="1"/>
    </xf>
    <xf numFmtId="0" fontId="125" fillId="0" borderId="0" xfId="28" applyNumberFormat="1" applyFont="1" applyFill="1" applyAlignment="1" applyProtection="1">
      <alignment horizontal="center" vertical="center" wrapText="1"/>
    </xf>
    <xf numFmtId="0" fontId="127" fillId="0" borderId="0" xfId="28" applyNumberFormat="1" applyFont="1" applyFill="1" applyAlignment="1" applyProtection="1">
      <alignment horizontal="left" vertical="center"/>
    </xf>
    <xf numFmtId="0" fontId="127" fillId="0" borderId="156" xfId="28" applyNumberFormat="1" applyFont="1" applyFill="1" applyBorder="1" applyAlignment="1" applyProtection="1">
      <alignment horizontal="left" vertical="center"/>
    </xf>
    <xf numFmtId="0" fontId="125" fillId="0" borderId="156" xfId="28" applyNumberFormat="1" applyFont="1" applyFill="1" applyBorder="1" applyAlignment="1" applyProtection="1">
      <alignment horizontal="center" vertical="center" wrapText="1"/>
    </xf>
    <xf numFmtId="0" fontId="128" fillId="0" borderId="0" xfId="28" applyNumberFormat="1" applyFont="1" applyFill="1" applyAlignment="1" applyProtection="1">
      <alignment horizontal="left" vertical="center"/>
    </xf>
    <xf numFmtId="0" fontId="122" fillId="13" borderId="143" xfId="28" applyNumberFormat="1" applyFont="1" applyFill="1" applyBorder="1" applyAlignment="1" applyProtection="1">
      <alignment horizontal="center" vertical="center" wrapText="1"/>
    </xf>
    <xf numFmtId="0" fontId="123" fillId="13" borderId="145" xfId="28" applyNumberFormat="1" applyFont="1" applyFill="1" applyBorder="1" applyAlignment="1" applyProtection="1">
      <alignment horizontal="center" vertical="center" wrapText="1"/>
    </xf>
    <xf numFmtId="0" fontId="124" fillId="13" borderId="145" xfId="28" applyNumberFormat="1" applyFont="1" applyFill="1" applyBorder="1" applyAlignment="1" applyProtection="1">
      <alignment horizontal="center" vertical="center" wrapText="1"/>
    </xf>
    <xf numFmtId="0" fontId="124" fillId="13" borderId="146" xfId="28" applyNumberFormat="1" applyFont="1" applyFill="1" applyBorder="1" applyAlignment="1" applyProtection="1">
      <alignment horizontal="center" vertical="center" wrapText="1"/>
    </xf>
    <xf numFmtId="0" fontId="122" fillId="13" borderId="147" xfId="28" applyNumberFormat="1" applyFont="1" applyFill="1" applyBorder="1" applyAlignment="1" applyProtection="1">
      <alignment horizontal="center" vertical="center" wrapText="1"/>
    </xf>
    <xf numFmtId="0" fontId="122" fillId="13" borderId="149" xfId="28" applyNumberFormat="1" applyFont="1" applyFill="1" applyBorder="1" applyAlignment="1" applyProtection="1">
      <alignment horizontal="center" vertical="center" wrapText="1"/>
    </xf>
    <xf numFmtId="0" fontId="124" fillId="13" borderId="149" xfId="28" applyNumberFormat="1" applyFont="1" applyFill="1" applyBorder="1" applyAlignment="1" applyProtection="1">
      <alignment horizontal="center" vertical="center" wrapText="1"/>
    </xf>
    <xf numFmtId="0" fontId="124" fillId="13" borderId="150" xfId="28" applyNumberFormat="1" applyFont="1" applyFill="1" applyBorder="1" applyAlignment="1" applyProtection="1">
      <alignment horizontal="center" vertical="center" wrapText="1"/>
    </xf>
    <xf numFmtId="0" fontId="125" fillId="0" borderId="143" xfId="28" applyNumberFormat="1" applyFont="1" applyFill="1" applyBorder="1" applyAlignment="1" applyProtection="1">
      <alignment horizontal="left" wrapText="1"/>
    </xf>
    <xf numFmtId="4" fontId="126" fillId="14" borderId="152" xfId="28" applyNumberFormat="1" applyFill="1" applyBorder="1" applyAlignment="1" applyProtection="1">
      <alignment horizontal="right" wrapText="1"/>
    </xf>
    <xf numFmtId="4" fontId="126" fillId="0" borderId="152" xfId="28" applyNumberFormat="1" applyFill="1" applyBorder="1" applyAlignment="1" applyProtection="1">
      <alignment horizontal="right" wrapText="1"/>
    </xf>
    <xf numFmtId="167" fontId="126" fillId="0" borderId="152" xfId="28" applyNumberFormat="1" applyFill="1" applyBorder="1" applyAlignment="1" applyProtection="1">
      <alignment horizontal="center" wrapText="1"/>
    </xf>
    <xf numFmtId="167" fontId="126" fillId="0" borderId="153" xfId="28" applyNumberFormat="1" applyFill="1" applyBorder="1" applyAlignment="1" applyProtection="1">
      <alignment horizontal="center" wrapText="1"/>
    </xf>
    <xf numFmtId="0" fontId="125" fillId="0" borderId="0" xfId="28" applyNumberFormat="1" applyFont="1" applyFill="1" applyAlignment="1" applyProtection="1">
      <alignment horizontal="left" wrapText="1"/>
    </xf>
    <xf numFmtId="4" fontId="126" fillId="14" borderId="154" xfId="28" applyNumberFormat="1" applyFill="1" applyBorder="1" applyAlignment="1" applyProtection="1">
      <alignment horizontal="right" wrapText="1"/>
    </xf>
    <xf numFmtId="4" fontId="126" fillId="0" borderId="154" xfId="28" applyNumberFormat="1" applyFill="1" applyBorder="1" applyAlignment="1" applyProtection="1">
      <alignment horizontal="right" wrapText="1"/>
    </xf>
    <xf numFmtId="167" fontId="126" fillId="0" borderId="154" xfId="28" applyNumberFormat="1" applyFill="1" applyBorder="1" applyAlignment="1" applyProtection="1">
      <alignment horizontal="center" wrapText="1"/>
    </xf>
    <xf numFmtId="167" fontId="126" fillId="0" borderId="155" xfId="28" applyNumberFormat="1" applyFill="1" applyBorder="1" applyAlignment="1" applyProtection="1">
      <alignment horizontal="center" wrapText="1"/>
    </xf>
  </cellXfs>
  <cellStyles count="29">
    <cellStyle name="Hiperłącze" xfId="1" builtinId="8"/>
    <cellStyle name="Hiperłącze 2" xfId="16"/>
    <cellStyle name="Normal" xfId="13"/>
    <cellStyle name="Normal_WK" xfId="2"/>
    <cellStyle name="Normalny" xfId="0" builtinId="0"/>
    <cellStyle name="Normalny 10" xfId="28"/>
    <cellStyle name="Normalny 14 2 2" xfId="26"/>
    <cellStyle name="Normalny 2" xfId="5"/>
    <cellStyle name="Normalny 2 2" xfId="25"/>
    <cellStyle name="Normalny 3" xfId="7"/>
    <cellStyle name="Normalny 3 2 2 2" xfId="15"/>
    <cellStyle name="Normalny 3 3" xfId="4"/>
    <cellStyle name="Normalny 4" xfId="8"/>
    <cellStyle name="Normalny 5" xfId="10"/>
    <cellStyle name="Normalny 6" xfId="11"/>
    <cellStyle name="Normalny 7" xfId="12"/>
    <cellStyle name="Normalny 8" xfId="14"/>
    <cellStyle name="Normalny 8 2" xfId="23"/>
    <cellStyle name="Normalny 9" xfId="24"/>
    <cellStyle name="Normalny_DROB41_0" xfId="6"/>
    <cellStyle name="Normalny_Handel_2011 2" xfId="20"/>
    <cellStyle name="Normalny_Handel_wieprzowina_A 2 2" xfId="27"/>
    <cellStyle name="Normalny_KE_handel" xfId="17"/>
    <cellStyle name="Normalny_Kopia I-IX.06" xfId="21"/>
    <cellStyle name="Normalny_MatrycaKRAJ 2 2" xfId="19"/>
    <cellStyle name="Normalny_tabela (2)" xfId="3"/>
    <cellStyle name="Normalny_wieprzowina 2010_2011_ wstepne 2 2" xfId="22"/>
    <cellStyle name="Normalny_zaklady-ceny_sez" xfId="9"/>
    <cellStyle name="Złe 2" xfId="18"/>
  </cellStyles>
  <dxfs count="286">
    <dxf>
      <font>
        <color rgb="FF006600"/>
      </font>
      <fill>
        <patternFill>
          <bgColor rgb="FFEFF7E1"/>
        </patternFill>
      </fill>
    </dxf>
    <dxf>
      <font>
        <color rgb="FFCC0000"/>
      </font>
      <fill>
        <patternFill>
          <bgColor rgb="FFFFE3E4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600"/>
      </font>
      <fill>
        <patternFill>
          <bgColor rgb="FFEFF7E1"/>
        </patternFill>
      </fill>
    </dxf>
    <dxf>
      <font>
        <color rgb="FFCC0000"/>
      </font>
      <fill>
        <patternFill>
          <bgColor rgb="FFFFE3E4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600"/>
      </font>
      <fill>
        <patternFill>
          <bgColor rgb="FFEFF7E1"/>
        </patternFill>
      </fill>
    </dxf>
    <dxf>
      <font>
        <color rgb="FFCC0000"/>
      </font>
      <fill>
        <patternFill>
          <bgColor rgb="FFFFE3E4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600"/>
      </font>
      <fill>
        <patternFill>
          <bgColor rgb="FFEFF7E1"/>
        </patternFill>
      </fill>
    </dxf>
    <dxf>
      <font>
        <color rgb="FFCC0000"/>
      </font>
      <fill>
        <patternFill>
          <bgColor rgb="FFFFE3E4"/>
        </patternFill>
      </fill>
    </dxf>
    <dxf>
      <font>
        <color auto="1"/>
      </font>
      <fill>
        <patternFill patternType="none">
          <bgColor auto="1"/>
        </patternFill>
      </fill>
    </dxf>
    <dxf>
      <font>
        <b/>
        <i val="0"/>
        <color rgb="FF0000FF"/>
      </font>
    </dxf>
    <dxf>
      <font>
        <b/>
        <i val="0"/>
        <color rgb="FF006600"/>
      </font>
    </dxf>
    <dxf>
      <font>
        <color rgb="FF006600"/>
      </font>
    </dxf>
    <dxf>
      <font>
        <b/>
        <i val="0"/>
        <color rgb="FF0000FF"/>
      </font>
    </dxf>
    <dxf>
      <font>
        <b/>
        <i val="0"/>
        <color rgb="FF006600"/>
      </font>
    </dxf>
    <dxf>
      <font>
        <b/>
        <i val="0"/>
        <color rgb="FF0000FF"/>
      </font>
    </dxf>
    <dxf>
      <font>
        <color rgb="FF006600"/>
      </font>
    </dxf>
    <dxf>
      <font>
        <color rgb="FF9C0006"/>
      </font>
    </dxf>
    <dxf>
      <font>
        <color auto="1"/>
      </font>
    </dxf>
    <dxf>
      <font>
        <b/>
        <i val="0"/>
        <color rgb="FF006600"/>
      </font>
    </dxf>
    <dxf>
      <font>
        <b/>
        <i val="0"/>
        <color rgb="FF0000FF"/>
      </font>
    </dxf>
    <dxf>
      <font>
        <color rgb="FF006600"/>
      </font>
      <fill>
        <patternFill patternType="solid">
          <fgColor auto="1"/>
          <bgColor rgb="FFEFF7E1"/>
        </patternFill>
      </fill>
    </dxf>
    <dxf>
      <font>
        <color rgb="FFCC0000"/>
      </font>
      <fill>
        <patternFill patternType="solid">
          <fgColor auto="1"/>
          <bgColor rgb="FFFFE3E4"/>
        </patternFill>
      </fill>
    </dxf>
    <dxf>
      <fill>
        <patternFill patternType="solid">
          <fgColor auto="1"/>
          <bgColor rgb="FFFFFFFF"/>
        </patternFill>
      </fill>
    </dxf>
    <dxf>
      <font>
        <color rgb="FF006600"/>
      </font>
      <fill>
        <patternFill patternType="solid">
          <fgColor auto="1"/>
          <bgColor rgb="FFEFF7E1"/>
        </patternFill>
      </fill>
    </dxf>
    <dxf>
      <font>
        <color rgb="FFCC0000"/>
      </font>
      <fill>
        <patternFill patternType="solid">
          <fgColor auto="1"/>
          <bgColor rgb="FFFFE3E4"/>
        </patternFill>
      </fill>
    </dxf>
    <dxf>
      <fill>
        <patternFill patternType="solid">
          <fgColor auto="1"/>
          <bgColor rgb="FFFFFFFF"/>
        </patternFill>
      </fill>
    </dxf>
    <dxf>
      <font>
        <color rgb="FF006600"/>
      </font>
      <fill>
        <patternFill patternType="solid">
          <fgColor auto="1"/>
          <bgColor rgb="FFEFF7E1"/>
        </patternFill>
      </fill>
    </dxf>
    <dxf>
      <font>
        <color rgb="FFCC0000"/>
      </font>
      <fill>
        <patternFill patternType="solid">
          <fgColor auto="1"/>
          <bgColor rgb="FFFFE3E4"/>
        </patternFill>
      </fill>
    </dxf>
    <dxf>
      <fill>
        <patternFill patternType="solid">
          <fgColor auto="1"/>
          <bgColor rgb="FFFFFFFF"/>
        </patternFill>
      </fill>
    </dxf>
    <dxf>
      <font>
        <color rgb="FF006600"/>
      </font>
      <fill>
        <patternFill patternType="solid">
          <fgColor auto="1"/>
          <bgColor rgb="FFEFF7E1"/>
        </patternFill>
      </fill>
    </dxf>
    <dxf>
      <font>
        <color rgb="FFCC0000"/>
      </font>
      <fill>
        <patternFill patternType="solid">
          <fgColor auto="1"/>
          <bgColor rgb="FFFFE3E4"/>
        </patternFill>
      </fill>
    </dxf>
    <dxf>
      <fill>
        <patternFill patternType="solid">
          <fgColor auto="1"/>
          <bgColor rgb="FFFFFFFF"/>
        </patternFill>
      </fill>
    </dxf>
    <dxf>
      <font>
        <color rgb="FF006600"/>
      </font>
      <fill>
        <patternFill patternType="solid">
          <fgColor auto="1"/>
          <bgColor rgb="FFEFF7E1"/>
        </patternFill>
      </fill>
    </dxf>
    <dxf>
      <font>
        <color rgb="FFCC0000"/>
      </font>
      <fill>
        <patternFill patternType="solid">
          <fgColor auto="1"/>
          <bgColor rgb="FFFFE3E4"/>
        </patternFill>
      </fill>
    </dxf>
    <dxf>
      <fill>
        <patternFill patternType="solid">
          <fgColor auto="1"/>
          <bgColor rgb="FFFFFFFF"/>
        </patternFill>
      </fill>
    </dxf>
    <dxf>
      <font>
        <color rgb="FF006600"/>
      </font>
      <fill>
        <patternFill patternType="solid">
          <fgColor auto="1"/>
          <bgColor rgb="FFEFF7E1"/>
        </patternFill>
      </fill>
    </dxf>
    <dxf>
      <font>
        <color rgb="FFCC0000"/>
      </font>
      <fill>
        <patternFill patternType="solid">
          <fgColor auto="1"/>
          <bgColor rgb="FFFFE3E4"/>
        </patternFill>
      </fill>
    </dxf>
    <dxf>
      <fill>
        <patternFill patternType="solid">
          <fgColor auto="1"/>
          <bgColor rgb="FFFFFFFF"/>
        </patternFill>
      </fill>
    </dxf>
    <dxf>
      <font>
        <color rgb="FF006600"/>
      </font>
      <fill>
        <patternFill patternType="solid">
          <fgColor auto="1"/>
          <bgColor rgb="FFEFF7E1"/>
        </patternFill>
      </fill>
    </dxf>
    <dxf>
      <font>
        <color rgb="FFCC0000"/>
      </font>
      <fill>
        <patternFill patternType="solid">
          <fgColor auto="1"/>
          <bgColor rgb="FFFFE3E4"/>
        </patternFill>
      </fill>
    </dxf>
    <dxf>
      <fill>
        <patternFill patternType="solid">
          <fgColor auto="1"/>
          <bgColor rgb="FFFFFFFF"/>
        </patternFill>
      </fill>
    </dxf>
    <dxf>
      <font>
        <color rgb="FF006600"/>
      </font>
      <fill>
        <patternFill patternType="solid">
          <fgColor auto="1"/>
          <bgColor rgb="FFEFF7E1"/>
        </patternFill>
      </fill>
    </dxf>
    <dxf>
      <font>
        <color rgb="FFCC0000"/>
      </font>
      <fill>
        <patternFill patternType="solid">
          <fgColor auto="1"/>
          <bgColor rgb="FFFFE3E4"/>
        </patternFill>
      </fill>
    </dxf>
    <dxf>
      <fill>
        <patternFill patternType="solid">
          <fgColor auto="1"/>
          <bgColor rgb="FFFFFFFF"/>
        </patternFill>
      </fill>
    </dxf>
    <dxf>
      <font>
        <color rgb="FF006600"/>
      </font>
      <fill>
        <patternFill patternType="solid">
          <fgColor auto="1"/>
          <bgColor rgb="FFEFF7E1"/>
        </patternFill>
      </fill>
    </dxf>
    <dxf>
      <font>
        <color rgb="FFCC0000"/>
      </font>
      <fill>
        <patternFill patternType="solid">
          <fgColor auto="1"/>
          <bgColor rgb="FFFFE3E4"/>
        </patternFill>
      </fill>
    </dxf>
    <dxf>
      <fill>
        <patternFill patternType="solid">
          <fgColor auto="1"/>
          <bgColor rgb="FFFFFFFF"/>
        </patternFill>
      </fill>
    </dxf>
    <dxf>
      <font>
        <color rgb="FF006600"/>
      </font>
      <fill>
        <patternFill patternType="solid">
          <fgColor auto="1"/>
          <bgColor rgb="FFEFF7E1"/>
        </patternFill>
      </fill>
    </dxf>
    <dxf>
      <font>
        <color rgb="FFCC0000"/>
      </font>
      <fill>
        <patternFill patternType="solid">
          <fgColor auto="1"/>
          <bgColor rgb="FFFFE3E4"/>
        </patternFill>
      </fill>
    </dxf>
    <dxf>
      <fill>
        <patternFill patternType="solid">
          <fgColor auto="1"/>
          <bgColor rgb="FFFFFFFF"/>
        </patternFill>
      </fill>
    </dxf>
    <dxf>
      <font>
        <color rgb="FF006600"/>
      </font>
      <fill>
        <patternFill patternType="solid">
          <fgColor auto="1"/>
          <bgColor rgb="FFEFF7E1"/>
        </patternFill>
      </fill>
    </dxf>
    <dxf>
      <font>
        <color rgb="FFCC0000"/>
      </font>
      <fill>
        <patternFill patternType="solid">
          <fgColor auto="1"/>
          <bgColor rgb="FFFFE3E4"/>
        </patternFill>
      </fill>
    </dxf>
    <dxf>
      <fill>
        <patternFill patternType="solid">
          <fgColor auto="1"/>
          <bgColor rgb="FFFFFFFF"/>
        </patternFill>
      </fill>
    </dxf>
    <dxf>
      <font>
        <color rgb="FF006600"/>
      </font>
      <fill>
        <patternFill patternType="solid">
          <fgColor auto="1"/>
          <bgColor rgb="FFEFF7E1"/>
        </patternFill>
      </fill>
    </dxf>
    <dxf>
      <font>
        <color rgb="FFCC0000"/>
      </font>
      <fill>
        <patternFill patternType="solid">
          <fgColor auto="1"/>
          <bgColor rgb="FFFFE3E4"/>
        </patternFill>
      </fill>
    </dxf>
    <dxf>
      <fill>
        <patternFill patternType="solid">
          <fgColor auto="1"/>
          <bgColor rgb="FFFFFFFF"/>
        </patternFill>
      </fill>
    </dxf>
    <dxf>
      <font>
        <color rgb="FF006600"/>
      </font>
      <fill>
        <patternFill patternType="solid">
          <fgColor auto="1"/>
          <bgColor rgb="FFEFF7E1"/>
        </patternFill>
      </fill>
    </dxf>
    <dxf>
      <font>
        <color rgb="FFCC0000"/>
      </font>
      <fill>
        <patternFill patternType="solid">
          <fgColor auto="1"/>
          <bgColor rgb="FFFFE3E4"/>
        </patternFill>
      </fill>
    </dxf>
    <dxf>
      <fill>
        <patternFill patternType="solid">
          <fgColor auto="1"/>
          <bgColor rgb="FFFFFFFF"/>
        </patternFill>
      </fill>
    </dxf>
    <dxf>
      <font>
        <color rgb="FF006600"/>
      </font>
      <fill>
        <patternFill patternType="solid">
          <fgColor auto="1"/>
          <bgColor rgb="FFEFF7E1"/>
        </patternFill>
      </fill>
    </dxf>
    <dxf>
      <font>
        <color rgb="FFCC0000"/>
      </font>
      <fill>
        <patternFill patternType="solid">
          <fgColor auto="1"/>
          <bgColor rgb="FFFFE3E4"/>
        </patternFill>
      </fill>
    </dxf>
    <dxf>
      <fill>
        <patternFill patternType="solid">
          <fgColor auto="1"/>
          <bgColor rgb="FFFFFFFF"/>
        </patternFill>
      </fill>
    </dxf>
    <dxf>
      <font>
        <color rgb="FF006600"/>
      </font>
      <fill>
        <patternFill patternType="solid">
          <fgColor auto="1"/>
          <bgColor rgb="FFEFF7E1"/>
        </patternFill>
      </fill>
    </dxf>
    <dxf>
      <font>
        <color rgb="FFCC0000"/>
      </font>
      <fill>
        <patternFill patternType="solid">
          <fgColor auto="1"/>
          <bgColor rgb="FFFFE3E4"/>
        </patternFill>
      </fill>
    </dxf>
    <dxf>
      <fill>
        <patternFill patternType="solid">
          <fgColor auto="1"/>
          <bgColor rgb="FFFFFFFF"/>
        </patternFill>
      </fill>
    </dxf>
    <dxf>
      <font>
        <color rgb="FF006600"/>
      </font>
      <fill>
        <patternFill patternType="solid">
          <fgColor auto="1"/>
          <bgColor rgb="FFEFF7E1"/>
        </patternFill>
      </fill>
    </dxf>
    <dxf>
      <font>
        <color rgb="FFCC0000"/>
      </font>
      <fill>
        <patternFill patternType="solid">
          <fgColor auto="1"/>
          <bgColor rgb="FFFFE3E4"/>
        </patternFill>
      </fill>
    </dxf>
    <dxf>
      <fill>
        <patternFill patternType="solid">
          <fgColor auto="1"/>
          <bgColor rgb="FFFFFFFF"/>
        </patternFill>
      </fill>
    </dxf>
    <dxf>
      <font>
        <color rgb="FF006600"/>
      </font>
      <fill>
        <patternFill patternType="solid">
          <fgColor auto="1"/>
          <bgColor rgb="FFEFF7E1"/>
        </patternFill>
      </fill>
    </dxf>
    <dxf>
      <font>
        <color rgb="FFCC0000"/>
      </font>
      <fill>
        <patternFill patternType="solid">
          <fgColor auto="1"/>
          <bgColor rgb="FFFFE3E4"/>
        </patternFill>
      </fill>
    </dxf>
    <dxf>
      <fill>
        <patternFill patternType="solid">
          <fgColor auto="1"/>
          <bgColor rgb="FFFFFFFF"/>
        </patternFill>
      </fill>
    </dxf>
    <dxf>
      <font>
        <color rgb="FF006600"/>
      </font>
      <fill>
        <patternFill patternType="solid">
          <fgColor auto="1"/>
          <bgColor rgb="FFEFF7E1"/>
        </patternFill>
      </fill>
    </dxf>
    <dxf>
      <font>
        <color rgb="FFCC0000"/>
      </font>
      <fill>
        <patternFill patternType="solid">
          <fgColor auto="1"/>
          <bgColor rgb="FFFFE3E4"/>
        </patternFill>
      </fill>
    </dxf>
    <dxf>
      <fill>
        <patternFill patternType="solid">
          <fgColor auto="1"/>
          <bgColor rgb="FFFFFFFF"/>
        </patternFill>
      </fill>
    </dxf>
    <dxf>
      <font>
        <color rgb="FF006600"/>
      </font>
      <fill>
        <patternFill patternType="solid">
          <fgColor auto="1"/>
          <bgColor rgb="FFEFF7E1"/>
        </patternFill>
      </fill>
    </dxf>
    <dxf>
      <font>
        <color rgb="FFCC0000"/>
      </font>
      <fill>
        <patternFill patternType="solid">
          <fgColor auto="1"/>
          <bgColor rgb="FFFFE3E4"/>
        </patternFill>
      </fill>
    </dxf>
    <dxf>
      <fill>
        <patternFill patternType="solid">
          <fgColor auto="1"/>
          <bgColor rgb="FFFFFFFF"/>
        </patternFill>
      </fill>
    </dxf>
    <dxf>
      <font>
        <color rgb="FF006600"/>
      </font>
      <fill>
        <patternFill patternType="solid">
          <fgColor auto="1"/>
          <bgColor rgb="FFEFF7E1"/>
        </patternFill>
      </fill>
    </dxf>
    <dxf>
      <font>
        <color rgb="FFCC0000"/>
      </font>
      <fill>
        <patternFill patternType="solid">
          <fgColor auto="1"/>
          <bgColor rgb="FFFFE3E4"/>
        </patternFill>
      </fill>
    </dxf>
    <dxf>
      <fill>
        <patternFill patternType="solid">
          <fgColor auto="1"/>
          <bgColor rgb="FFFFFFFF"/>
        </patternFill>
      </fill>
    </dxf>
    <dxf>
      <font>
        <color rgb="FF006600"/>
      </font>
      <fill>
        <patternFill patternType="solid">
          <fgColor auto="1"/>
          <bgColor rgb="FFEFF7E1"/>
        </patternFill>
      </fill>
    </dxf>
    <dxf>
      <font>
        <color rgb="FFCC0000"/>
      </font>
      <fill>
        <patternFill patternType="solid">
          <fgColor auto="1"/>
          <bgColor rgb="FFFFE3E4"/>
        </patternFill>
      </fill>
    </dxf>
    <dxf>
      <fill>
        <patternFill patternType="solid">
          <fgColor auto="1"/>
          <bgColor rgb="FFFFFFFF"/>
        </patternFill>
      </fill>
    </dxf>
    <dxf>
      <font>
        <color rgb="FF006600"/>
      </font>
      <fill>
        <patternFill patternType="solid">
          <fgColor auto="1"/>
          <bgColor rgb="FFEFF7E1"/>
        </patternFill>
      </fill>
    </dxf>
    <dxf>
      <font>
        <color rgb="FFCC0000"/>
      </font>
      <fill>
        <patternFill patternType="solid">
          <fgColor auto="1"/>
          <bgColor rgb="FFFFE3E4"/>
        </patternFill>
      </fill>
    </dxf>
    <dxf>
      <fill>
        <patternFill patternType="solid">
          <fgColor auto="1"/>
          <bgColor rgb="FFFFFFFF"/>
        </patternFill>
      </fill>
    </dxf>
    <dxf>
      <font>
        <color rgb="FF006600"/>
      </font>
      <fill>
        <patternFill patternType="solid">
          <fgColor auto="1"/>
          <bgColor rgb="FFEFF7E1"/>
        </patternFill>
      </fill>
    </dxf>
    <dxf>
      <font>
        <color rgb="FFCC0000"/>
      </font>
      <fill>
        <patternFill patternType="solid">
          <fgColor auto="1"/>
          <bgColor rgb="FFFFE3E4"/>
        </patternFill>
      </fill>
    </dxf>
    <dxf>
      <fill>
        <patternFill patternType="solid">
          <fgColor auto="1"/>
          <bgColor rgb="FFFFFFFF"/>
        </patternFill>
      </fill>
    </dxf>
    <dxf>
      <font>
        <color rgb="FF006600"/>
      </font>
      <fill>
        <patternFill patternType="solid">
          <fgColor auto="1"/>
          <bgColor rgb="FFEFF7E1"/>
        </patternFill>
      </fill>
    </dxf>
    <dxf>
      <font>
        <color rgb="FFCC0000"/>
      </font>
      <fill>
        <patternFill patternType="solid">
          <fgColor auto="1"/>
          <bgColor rgb="FFFFE3E4"/>
        </patternFill>
      </fill>
    </dxf>
    <dxf>
      <fill>
        <patternFill patternType="solid">
          <fgColor auto="1"/>
          <bgColor rgb="FFFFFFFF"/>
        </patternFill>
      </fill>
    </dxf>
    <dxf>
      <font>
        <color rgb="FF006600"/>
      </font>
      <fill>
        <patternFill patternType="solid">
          <fgColor auto="1"/>
          <bgColor rgb="FFEFF7E1"/>
        </patternFill>
      </fill>
    </dxf>
    <dxf>
      <font>
        <color rgb="FFCC0000"/>
      </font>
      <fill>
        <patternFill patternType="solid">
          <fgColor auto="1"/>
          <bgColor rgb="FFFFE3E4"/>
        </patternFill>
      </fill>
    </dxf>
    <dxf>
      <fill>
        <patternFill patternType="solid">
          <fgColor auto="1"/>
          <bgColor rgb="FFFFFFFF"/>
        </patternFill>
      </fill>
    </dxf>
    <dxf>
      <font>
        <color rgb="FF006600"/>
      </font>
      <fill>
        <patternFill patternType="solid">
          <fgColor auto="1"/>
          <bgColor rgb="FFEFF7E1"/>
        </patternFill>
      </fill>
    </dxf>
    <dxf>
      <font>
        <color rgb="FFCC0000"/>
      </font>
      <fill>
        <patternFill patternType="solid">
          <fgColor auto="1"/>
          <bgColor rgb="FFFFE3E4"/>
        </patternFill>
      </fill>
    </dxf>
    <dxf>
      <fill>
        <patternFill patternType="solid">
          <fgColor auto="1"/>
          <bgColor rgb="FFFFFFFF"/>
        </patternFill>
      </fill>
    </dxf>
    <dxf>
      <font>
        <color rgb="FF006600"/>
      </font>
      <fill>
        <patternFill patternType="solid">
          <fgColor auto="1"/>
          <bgColor rgb="FFEFF7E1"/>
        </patternFill>
      </fill>
    </dxf>
    <dxf>
      <font>
        <color rgb="FFCC0000"/>
      </font>
      <fill>
        <patternFill patternType="solid">
          <fgColor auto="1"/>
          <bgColor rgb="FFFFE3E4"/>
        </patternFill>
      </fill>
    </dxf>
    <dxf>
      <fill>
        <patternFill patternType="solid">
          <fgColor auto="1"/>
          <bgColor rgb="FFFFFFFF"/>
        </patternFill>
      </fill>
    </dxf>
    <dxf>
      <font>
        <color rgb="FF006600"/>
      </font>
      <fill>
        <patternFill patternType="solid">
          <fgColor auto="1"/>
          <bgColor rgb="FFEFF7E1"/>
        </patternFill>
      </fill>
    </dxf>
    <dxf>
      <font>
        <color rgb="FFCC0000"/>
      </font>
      <fill>
        <patternFill patternType="solid">
          <fgColor auto="1"/>
          <bgColor rgb="FFFFE3E4"/>
        </patternFill>
      </fill>
    </dxf>
    <dxf>
      <fill>
        <patternFill patternType="solid">
          <fgColor auto="1"/>
          <bgColor rgb="FFFFFFFF"/>
        </patternFill>
      </fill>
    </dxf>
    <dxf>
      <font>
        <color rgb="FF006600"/>
      </font>
      <fill>
        <patternFill patternType="solid">
          <fgColor auto="1"/>
          <bgColor rgb="FFEFF7E1"/>
        </patternFill>
      </fill>
    </dxf>
    <dxf>
      <font>
        <color rgb="FFCC0000"/>
      </font>
      <fill>
        <patternFill patternType="solid">
          <fgColor auto="1"/>
          <bgColor rgb="FFFFE3E4"/>
        </patternFill>
      </fill>
    </dxf>
    <dxf>
      <fill>
        <patternFill patternType="solid">
          <fgColor auto="1"/>
          <bgColor rgb="FFFFFFFF"/>
        </patternFill>
      </fill>
    </dxf>
    <dxf>
      <font>
        <color rgb="FF006600"/>
      </font>
      <fill>
        <patternFill patternType="solid">
          <fgColor auto="1"/>
          <bgColor rgb="FFEFF7E1"/>
        </patternFill>
      </fill>
    </dxf>
    <dxf>
      <font>
        <color rgb="FFCC0000"/>
      </font>
      <fill>
        <patternFill patternType="solid">
          <fgColor auto="1"/>
          <bgColor rgb="FFFFE3E4"/>
        </patternFill>
      </fill>
    </dxf>
    <dxf>
      <fill>
        <patternFill patternType="solid">
          <fgColor auto="1"/>
          <bgColor rgb="FFFFFFFF"/>
        </patternFill>
      </fill>
    </dxf>
    <dxf>
      <font>
        <color rgb="FF006600"/>
      </font>
      <fill>
        <patternFill patternType="solid">
          <fgColor auto="1"/>
          <bgColor rgb="FFEFF7E1"/>
        </patternFill>
      </fill>
    </dxf>
    <dxf>
      <font>
        <color rgb="FFCC0000"/>
      </font>
      <fill>
        <patternFill patternType="solid">
          <fgColor auto="1"/>
          <bgColor rgb="FFFFE3E4"/>
        </patternFill>
      </fill>
    </dxf>
    <dxf>
      <fill>
        <patternFill patternType="solid">
          <fgColor auto="1"/>
          <bgColor rgb="FFFFFFFF"/>
        </patternFill>
      </fill>
    </dxf>
    <dxf>
      <font>
        <color rgb="FF006600"/>
      </font>
      <fill>
        <patternFill patternType="solid">
          <fgColor auto="1"/>
          <bgColor rgb="FFEFF7E1"/>
        </patternFill>
      </fill>
    </dxf>
    <dxf>
      <font>
        <color rgb="FFCC0000"/>
      </font>
      <fill>
        <patternFill patternType="solid">
          <fgColor auto="1"/>
          <bgColor rgb="FFFFE3E4"/>
        </patternFill>
      </fill>
    </dxf>
    <dxf>
      <fill>
        <patternFill patternType="solid">
          <fgColor auto="1"/>
          <bgColor rgb="FFFFFFFF"/>
        </patternFill>
      </fill>
    </dxf>
    <dxf>
      <font>
        <color rgb="FF006600"/>
      </font>
      <fill>
        <patternFill patternType="solid">
          <fgColor auto="1"/>
          <bgColor rgb="FFEFF7E1"/>
        </patternFill>
      </fill>
    </dxf>
    <dxf>
      <font>
        <color rgb="FFCC0000"/>
      </font>
      <fill>
        <patternFill patternType="solid">
          <fgColor auto="1"/>
          <bgColor rgb="FFFFE3E4"/>
        </patternFill>
      </fill>
    </dxf>
    <dxf>
      <fill>
        <patternFill patternType="solid">
          <fgColor auto="1"/>
          <bgColor rgb="FFFFFFFF"/>
        </patternFill>
      </fill>
    </dxf>
    <dxf>
      <font>
        <color rgb="FF006600"/>
      </font>
      <fill>
        <patternFill patternType="solid">
          <fgColor auto="1"/>
          <bgColor rgb="FFEFF7E1"/>
        </patternFill>
      </fill>
    </dxf>
    <dxf>
      <font>
        <color rgb="FFCC0000"/>
      </font>
      <fill>
        <patternFill patternType="solid">
          <fgColor auto="1"/>
          <bgColor rgb="FFFFE3E4"/>
        </patternFill>
      </fill>
    </dxf>
    <dxf>
      <fill>
        <patternFill patternType="solid">
          <fgColor auto="1"/>
          <bgColor rgb="FFFFFFFF"/>
        </patternFill>
      </fill>
    </dxf>
    <dxf>
      <font>
        <color rgb="FF006600"/>
      </font>
      <fill>
        <patternFill patternType="solid">
          <fgColor auto="1"/>
          <bgColor rgb="FFEFF7E1"/>
        </patternFill>
      </fill>
    </dxf>
    <dxf>
      <font>
        <color rgb="FFCC0000"/>
      </font>
      <fill>
        <patternFill patternType="solid">
          <fgColor auto="1"/>
          <bgColor rgb="FFFFE3E4"/>
        </patternFill>
      </fill>
    </dxf>
    <dxf>
      <fill>
        <patternFill patternType="solid">
          <fgColor auto="1"/>
          <bgColor rgb="FFFFFFFF"/>
        </patternFill>
      </fill>
    </dxf>
    <dxf>
      <font>
        <color rgb="FF006600"/>
      </font>
      <fill>
        <patternFill patternType="solid">
          <fgColor auto="1"/>
          <bgColor rgb="FFEFF7E1"/>
        </patternFill>
      </fill>
    </dxf>
    <dxf>
      <font>
        <color rgb="FFCC0000"/>
      </font>
      <fill>
        <patternFill patternType="solid">
          <fgColor auto="1"/>
          <bgColor rgb="FFFFE3E4"/>
        </patternFill>
      </fill>
    </dxf>
    <dxf>
      <fill>
        <patternFill patternType="solid">
          <fgColor auto="1"/>
          <bgColor rgb="FFFFFFFF"/>
        </patternFill>
      </fill>
    </dxf>
    <dxf>
      <font>
        <color rgb="FF006600"/>
      </font>
      <fill>
        <patternFill patternType="solid">
          <fgColor auto="1"/>
          <bgColor rgb="FFEFF7E1"/>
        </patternFill>
      </fill>
    </dxf>
    <dxf>
      <font>
        <color rgb="FFCC0000"/>
      </font>
      <fill>
        <patternFill patternType="solid">
          <fgColor auto="1"/>
          <bgColor rgb="FFFFE3E4"/>
        </patternFill>
      </fill>
    </dxf>
    <dxf>
      <fill>
        <patternFill patternType="solid">
          <fgColor auto="1"/>
          <bgColor rgb="FFFFFFFF"/>
        </patternFill>
      </fill>
    </dxf>
    <dxf>
      <font>
        <color rgb="FF006600"/>
      </font>
      <fill>
        <patternFill patternType="solid">
          <fgColor auto="1"/>
          <bgColor rgb="FFEFF7E1"/>
        </patternFill>
      </fill>
    </dxf>
    <dxf>
      <font>
        <color rgb="FFCC0000"/>
      </font>
      <fill>
        <patternFill patternType="solid">
          <fgColor auto="1"/>
          <bgColor rgb="FFFFE3E4"/>
        </patternFill>
      </fill>
    </dxf>
    <dxf>
      <fill>
        <patternFill patternType="solid">
          <fgColor auto="1"/>
          <bgColor rgb="FFFFFFFF"/>
        </patternFill>
      </fill>
    </dxf>
    <dxf>
      <font>
        <color rgb="FF006600"/>
      </font>
      <fill>
        <patternFill patternType="solid">
          <fgColor auto="1"/>
          <bgColor rgb="FFEFF7E1"/>
        </patternFill>
      </fill>
    </dxf>
    <dxf>
      <font>
        <color rgb="FFCC0000"/>
      </font>
      <fill>
        <patternFill patternType="solid">
          <fgColor auto="1"/>
          <bgColor rgb="FFFFE3E4"/>
        </patternFill>
      </fill>
    </dxf>
    <dxf>
      <fill>
        <patternFill patternType="solid">
          <fgColor auto="1"/>
          <bgColor rgb="FFFFFFFF"/>
        </patternFill>
      </fill>
    </dxf>
    <dxf>
      <font>
        <color rgb="FF006600"/>
      </font>
      <fill>
        <patternFill patternType="solid">
          <fgColor auto="1"/>
          <bgColor rgb="FFEFF7E1"/>
        </patternFill>
      </fill>
    </dxf>
    <dxf>
      <font>
        <color rgb="FFCC0000"/>
      </font>
      <fill>
        <patternFill patternType="solid">
          <fgColor auto="1"/>
          <bgColor rgb="FFFFE3E4"/>
        </patternFill>
      </fill>
    </dxf>
    <dxf>
      <fill>
        <patternFill patternType="solid">
          <fgColor auto="1"/>
          <bgColor rgb="FFFFFFFF"/>
        </patternFill>
      </fill>
    </dxf>
    <dxf>
      <font>
        <color rgb="FF006600"/>
      </font>
      <fill>
        <patternFill patternType="solid">
          <fgColor auto="1"/>
          <bgColor rgb="FFEFF7E1"/>
        </patternFill>
      </fill>
    </dxf>
    <dxf>
      <font>
        <color rgb="FFCC0000"/>
      </font>
      <fill>
        <patternFill patternType="solid">
          <fgColor auto="1"/>
          <bgColor rgb="FFFFE3E4"/>
        </patternFill>
      </fill>
    </dxf>
    <dxf>
      <fill>
        <patternFill patternType="solid">
          <fgColor auto="1"/>
          <bgColor rgb="FFFFFFFF"/>
        </patternFill>
      </fill>
    </dxf>
    <dxf>
      <font>
        <color rgb="FF006600"/>
      </font>
      <fill>
        <patternFill patternType="solid">
          <fgColor auto="1"/>
          <bgColor rgb="FFEFF7E1"/>
        </patternFill>
      </fill>
    </dxf>
    <dxf>
      <font>
        <color rgb="FFCC0000"/>
      </font>
      <fill>
        <patternFill patternType="solid">
          <fgColor auto="1"/>
          <bgColor rgb="FFFFE3E4"/>
        </patternFill>
      </fill>
    </dxf>
    <dxf>
      <fill>
        <patternFill patternType="solid">
          <fgColor auto="1"/>
          <bgColor rgb="FFFFFFFF"/>
        </patternFill>
      </fill>
    </dxf>
    <dxf>
      <font>
        <color rgb="FF006600"/>
      </font>
      <fill>
        <patternFill patternType="solid">
          <fgColor auto="1"/>
          <bgColor rgb="FFEFF7E1"/>
        </patternFill>
      </fill>
    </dxf>
    <dxf>
      <font>
        <color rgb="FFCC0000"/>
      </font>
      <fill>
        <patternFill patternType="solid">
          <fgColor auto="1"/>
          <bgColor rgb="FFFFE3E4"/>
        </patternFill>
      </fill>
    </dxf>
    <dxf>
      <fill>
        <patternFill patternType="solid">
          <fgColor auto="1"/>
          <bgColor rgb="FFFFFFFF"/>
        </patternFill>
      </fill>
    </dxf>
    <dxf>
      <font>
        <color rgb="FF006600"/>
      </font>
      <fill>
        <patternFill patternType="solid">
          <fgColor auto="1"/>
          <bgColor rgb="FFEFF7E1"/>
        </patternFill>
      </fill>
    </dxf>
    <dxf>
      <font>
        <color rgb="FFCC0000"/>
      </font>
      <fill>
        <patternFill patternType="solid">
          <fgColor auto="1"/>
          <bgColor rgb="FFFFE3E4"/>
        </patternFill>
      </fill>
    </dxf>
    <dxf>
      <fill>
        <patternFill patternType="solid">
          <fgColor auto="1"/>
          <bgColor rgb="FFFFFFFF"/>
        </patternFill>
      </fill>
    </dxf>
    <dxf>
      <font>
        <color rgb="FF006600"/>
      </font>
      <fill>
        <patternFill patternType="solid">
          <fgColor auto="1"/>
          <bgColor rgb="FFEFF7E1"/>
        </patternFill>
      </fill>
    </dxf>
    <dxf>
      <font>
        <color rgb="FFCC0000"/>
      </font>
      <fill>
        <patternFill patternType="solid">
          <fgColor auto="1"/>
          <bgColor rgb="FFFFE3E4"/>
        </patternFill>
      </fill>
    </dxf>
    <dxf>
      <fill>
        <patternFill patternType="solid">
          <fgColor auto="1"/>
          <bgColor rgb="FFFFFFFF"/>
        </patternFill>
      </fill>
    </dxf>
    <dxf>
      <font>
        <color rgb="FF006600"/>
      </font>
      <fill>
        <patternFill patternType="solid">
          <fgColor auto="1"/>
          <bgColor rgb="FFEFF7E1"/>
        </patternFill>
      </fill>
    </dxf>
    <dxf>
      <font>
        <color rgb="FFCC0000"/>
      </font>
      <fill>
        <patternFill patternType="solid">
          <fgColor auto="1"/>
          <bgColor rgb="FFFFE3E4"/>
        </patternFill>
      </fill>
    </dxf>
    <dxf>
      <fill>
        <patternFill patternType="solid">
          <fgColor auto="1"/>
          <bgColor rgb="FFFFFFFF"/>
        </patternFill>
      </fill>
    </dxf>
    <dxf>
      <font>
        <color rgb="FF006600"/>
      </font>
      <fill>
        <patternFill patternType="solid">
          <fgColor auto="1"/>
          <bgColor rgb="FFEFF7E1"/>
        </patternFill>
      </fill>
    </dxf>
    <dxf>
      <font>
        <color rgb="FFCC0000"/>
      </font>
      <fill>
        <patternFill patternType="solid">
          <fgColor auto="1"/>
          <bgColor rgb="FFFFE3E4"/>
        </patternFill>
      </fill>
    </dxf>
    <dxf>
      <fill>
        <patternFill patternType="solid">
          <fgColor auto="1"/>
          <bgColor rgb="FFFFFFFF"/>
        </patternFill>
      </fill>
    </dxf>
    <dxf>
      <font>
        <color rgb="FF006600"/>
      </font>
      <fill>
        <patternFill patternType="solid">
          <fgColor auto="1"/>
          <bgColor rgb="FFEFF7E1"/>
        </patternFill>
      </fill>
    </dxf>
    <dxf>
      <font>
        <color rgb="FFCC0000"/>
      </font>
      <fill>
        <patternFill patternType="solid">
          <fgColor auto="1"/>
          <bgColor rgb="FFFFE3E4"/>
        </patternFill>
      </fill>
    </dxf>
    <dxf>
      <fill>
        <patternFill patternType="solid">
          <fgColor auto="1"/>
          <bgColor rgb="FFFFFFFF"/>
        </patternFill>
      </fill>
    </dxf>
    <dxf>
      <font>
        <color rgb="FF006600"/>
      </font>
      <fill>
        <patternFill patternType="solid">
          <fgColor auto="1"/>
          <bgColor rgb="FFEFF7E1"/>
        </patternFill>
      </fill>
    </dxf>
    <dxf>
      <font>
        <color rgb="FFCC0000"/>
      </font>
      <fill>
        <patternFill patternType="solid">
          <fgColor auto="1"/>
          <bgColor rgb="FFFFE3E4"/>
        </patternFill>
      </fill>
    </dxf>
    <dxf>
      <fill>
        <patternFill patternType="solid">
          <fgColor auto="1"/>
          <bgColor rgb="FFFFFFFF"/>
        </patternFill>
      </fill>
    </dxf>
    <dxf>
      <font>
        <color rgb="FF006600"/>
      </font>
      <fill>
        <patternFill patternType="solid">
          <fgColor auto="1"/>
          <bgColor rgb="FFEFF7E1"/>
        </patternFill>
      </fill>
    </dxf>
    <dxf>
      <font>
        <color rgb="FFCC0000"/>
      </font>
      <fill>
        <patternFill patternType="solid">
          <fgColor auto="1"/>
          <bgColor rgb="FFFFE3E4"/>
        </patternFill>
      </fill>
    </dxf>
    <dxf>
      <fill>
        <patternFill patternType="solid">
          <fgColor auto="1"/>
          <bgColor rgb="FFFFFFFF"/>
        </patternFill>
      </fill>
    </dxf>
    <dxf>
      <font>
        <color rgb="FF006600"/>
      </font>
      <fill>
        <patternFill patternType="solid">
          <fgColor auto="1"/>
          <bgColor rgb="FFEFF7E1"/>
        </patternFill>
      </fill>
    </dxf>
    <dxf>
      <font>
        <color rgb="FFCC0000"/>
      </font>
      <fill>
        <patternFill patternType="solid">
          <fgColor auto="1"/>
          <bgColor rgb="FFFFE3E4"/>
        </patternFill>
      </fill>
    </dxf>
    <dxf>
      <fill>
        <patternFill patternType="solid">
          <fgColor auto="1"/>
          <bgColor rgb="FFFFFFFF"/>
        </patternFill>
      </fill>
    </dxf>
    <dxf>
      <font>
        <color rgb="FF006600"/>
      </font>
      <fill>
        <patternFill patternType="solid">
          <fgColor auto="1"/>
          <bgColor rgb="FFEFF7E1"/>
        </patternFill>
      </fill>
    </dxf>
    <dxf>
      <font>
        <color rgb="FFCC0000"/>
      </font>
      <fill>
        <patternFill patternType="solid">
          <fgColor auto="1"/>
          <bgColor rgb="FFFFE3E4"/>
        </patternFill>
      </fill>
    </dxf>
    <dxf>
      <fill>
        <patternFill patternType="solid">
          <fgColor auto="1"/>
          <bgColor rgb="FFFFFFFF"/>
        </patternFill>
      </fill>
    </dxf>
    <dxf>
      <font>
        <color rgb="FF006600"/>
      </font>
      <fill>
        <patternFill patternType="solid">
          <fgColor auto="1"/>
          <bgColor rgb="FFEFF7E1"/>
        </patternFill>
      </fill>
    </dxf>
    <dxf>
      <font>
        <color rgb="FFCC0000"/>
      </font>
      <fill>
        <patternFill patternType="solid">
          <fgColor auto="1"/>
          <bgColor rgb="FFFFE3E4"/>
        </patternFill>
      </fill>
    </dxf>
    <dxf>
      <fill>
        <patternFill patternType="solid">
          <fgColor auto="1"/>
          <bgColor rgb="FFFFFFFF"/>
        </patternFill>
      </fill>
    </dxf>
    <dxf>
      <font>
        <color rgb="FF006600"/>
      </font>
      <fill>
        <patternFill patternType="solid">
          <fgColor auto="1"/>
          <bgColor rgb="FFEFF7E1"/>
        </patternFill>
      </fill>
    </dxf>
    <dxf>
      <font>
        <color rgb="FFCC0000"/>
      </font>
      <fill>
        <patternFill patternType="solid">
          <fgColor auto="1"/>
          <bgColor rgb="FFFFE3E4"/>
        </patternFill>
      </fill>
    </dxf>
    <dxf>
      <fill>
        <patternFill patternType="solid">
          <fgColor auto="1"/>
          <bgColor rgb="FFFFFFFF"/>
        </patternFill>
      </fill>
    </dxf>
    <dxf>
      <font>
        <color rgb="FF006600"/>
      </font>
      <fill>
        <patternFill patternType="solid">
          <fgColor auto="1"/>
          <bgColor rgb="FFEFF7E1"/>
        </patternFill>
      </fill>
    </dxf>
    <dxf>
      <font>
        <color rgb="FFCC0000"/>
      </font>
      <fill>
        <patternFill patternType="solid">
          <fgColor auto="1"/>
          <bgColor rgb="FFFFE3E4"/>
        </patternFill>
      </fill>
    </dxf>
    <dxf>
      <fill>
        <patternFill patternType="solid">
          <fgColor auto="1"/>
          <bgColor rgb="FFFFFFFF"/>
        </patternFill>
      </fill>
    </dxf>
    <dxf>
      <font>
        <color rgb="FF006600"/>
      </font>
      <fill>
        <patternFill patternType="solid">
          <fgColor auto="1"/>
          <bgColor rgb="FFEFF7E1"/>
        </patternFill>
      </fill>
    </dxf>
    <dxf>
      <font>
        <color rgb="FFCC0000"/>
      </font>
      <fill>
        <patternFill patternType="solid">
          <fgColor auto="1"/>
          <bgColor rgb="FFFFE3E4"/>
        </patternFill>
      </fill>
    </dxf>
    <dxf>
      <fill>
        <patternFill patternType="solid">
          <fgColor auto="1"/>
          <bgColor rgb="FFFFFFFF"/>
        </patternFill>
      </fill>
    </dxf>
    <dxf>
      <font>
        <color rgb="FF006600"/>
      </font>
      <fill>
        <patternFill patternType="solid">
          <fgColor auto="1"/>
          <bgColor rgb="FFEFF7E1"/>
        </patternFill>
      </fill>
    </dxf>
    <dxf>
      <font>
        <color rgb="FFCC0000"/>
      </font>
      <fill>
        <patternFill patternType="solid">
          <fgColor auto="1"/>
          <bgColor rgb="FFFFE3E4"/>
        </patternFill>
      </fill>
    </dxf>
    <dxf>
      <fill>
        <patternFill patternType="solid">
          <fgColor auto="1"/>
          <bgColor rgb="FFFFFFFF"/>
        </patternFill>
      </fill>
    </dxf>
    <dxf>
      <font>
        <color rgb="FF006600"/>
      </font>
      <fill>
        <patternFill patternType="solid">
          <fgColor auto="1"/>
          <bgColor rgb="FFEFF7E1"/>
        </patternFill>
      </fill>
    </dxf>
    <dxf>
      <font>
        <color rgb="FFCC0000"/>
      </font>
      <fill>
        <patternFill patternType="solid">
          <fgColor auto="1"/>
          <bgColor rgb="FFFFE3E4"/>
        </patternFill>
      </fill>
    </dxf>
    <dxf>
      <fill>
        <patternFill patternType="solid">
          <fgColor auto="1"/>
          <bgColor rgb="FFFFFFFF"/>
        </patternFill>
      </fill>
    </dxf>
    <dxf>
      <font>
        <color rgb="FF006600"/>
      </font>
      <fill>
        <patternFill patternType="solid">
          <fgColor auto="1"/>
          <bgColor rgb="FFEFF7E1"/>
        </patternFill>
      </fill>
    </dxf>
    <dxf>
      <font>
        <color rgb="FFCC0000"/>
      </font>
      <fill>
        <patternFill patternType="solid">
          <fgColor auto="1"/>
          <bgColor rgb="FFFFE3E4"/>
        </patternFill>
      </fill>
    </dxf>
    <dxf>
      <fill>
        <patternFill patternType="solid">
          <fgColor auto="1"/>
          <bgColor rgb="FFFFFFFF"/>
        </patternFill>
      </fill>
    </dxf>
    <dxf>
      <font>
        <color rgb="FF006600"/>
      </font>
      <fill>
        <patternFill patternType="solid">
          <fgColor auto="1"/>
          <bgColor rgb="FFEFF7E1"/>
        </patternFill>
      </fill>
    </dxf>
    <dxf>
      <font>
        <color rgb="FFCC0000"/>
      </font>
      <fill>
        <patternFill patternType="solid">
          <fgColor auto="1"/>
          <bgColor rgb="FFFFE3E4"/>
        </patternFill>
      </fill>
    </dxf>
    <dxf>
      <fill>
        <patternFill patternType="solid">
          <fgColor auto="1"/>
          <bgColor rgb="FFFFFFFF"/>
        </patternFill>
      </fill>
    </dxf>
    <dxf>
      <font>
        <color rgb="FF006600"/>
      </font>
      <fill>
        <patternFill patternType="solid">
          <fgColor auto="1"/>
          <bgColor rgb="FFEFF7E1"/>
        </patternFill>
      </fill>
    </dxf>
    <dxf>
      <font>
        <color rgb="FFCC0000"/>
      </font>
      <fill>
        <patternFill patternType="solid">
          <fgColor auto="1"/>
          <bgColor rgb="FFFFE3E4"/>
        </patternFill>
      </fill>
    </dxf>
    <dxf>
      <fill>
        <patternFill patternType="solid">
          <fgColor auto="1"/>
          <bgColor rgb="FFFFFFFF"/>
        </patternFill>
      </fill>
    </dxf>
    <dxf>
      <font>
        <color rgb="FF006600"/>
      </font>
      <fill>
        <patternFill patternType="solid">
          <fgColor auto="1"/>
          <bgColor rgb="FFEFF7E1"/>
        </patternFill>
      </fill>
    </dxf>
    <dxf>
      <font>
        <color rgb="FFCC0000"/>
      </font>
      <fill>
        <patternFill patternType="solid">
          <fgColor auto="1"/>
          <bgColor rgb="FFFFE3E4"/>
        </patternFill>
      </fill>
    </dxf>
    <dxf>
      <fill>
        <patternFill patternType="solid">
          <fgColor auto="1"/>
          <bgColor rgb="FFFFFFFF"/>
        </patternFill>
      </fill>
    </dxf>
    <dxf>
      <font>
        <color rgb="FF006600"/>
      </font>
      <fill>
        <patternFill patternType="solid">
          <fgColor auto="1"/>
          <bgColor rgb="FFEFF7E1"/>
        </patternFill>
      </fill>
    </dxf>
    <dxf>
      <font>
        <color rgb="FFCC0000"/>
      </font>
      <fill>
        <patternFill patternType="solid">
          <fgColor auto="1"/>
          <bgColor rgb="FFFFE3E4"/>
        </patternFill>
      </fill>
    </dxf>
    <dxf>
      <fill>
        <patternFill patternType="solid">
          <fgColor auto="1"/>
          <bgColor rgb="FFFFFFFF"/>
        </patternFill>
      </fill>
    </dxf>
    <dxf>
      <font>
        <color rgb="FF006600"/>
      </font>
      <fill>
        <patternFill patternType="solid">
          <fgColor auto="1"/>
          <bgColor rgb="FFEFF7E1"/>
        </patternFill>
      </fill>
    </dxf>
    <dxf>
      <font>
        <color rgb="FFCC0000"/>
      </font>
      <fill>
        <patternFill patternType="solid">
          <fgColor auto="1"/>
          <bgColor rgb="FFFFE3E4"/>
        </patternFill>
      </fill>
    </dxf>
    <dxf>
      <fill>
        <patternFill patternType="solid">
          <fgColor auto="1"/>
          <bgColor rgb="FFFFFFFF"/>
        </patternFill>
      </fill>
    </dxf>
    <dxf>
      <font>
        <color rgb="FF006600"/>
      </font>
      <fill>
        <patternFill patternType="solid">
          <fgColor auto="1"/>
          <bgColor rgb="FFEFF7E1"/>
        </patternFill>
      </fill>
    </dxf>
    <dxf>
      <font>
        <color rgb="FFCC0000"/>
      </font>
      <fill>
        <patternFill patternType="solid">
          <fgColor auto="1"/>
          <bgColor rgb="FFFFE3E4"/>
        </patternFill>
      </fill>
    </dxf>
    <dxf>
      <fill>
        <patternFill patternType="solid">
          <fgColor auto="1"/>
          <bgColor rgb="FFFFFFFF"/>
        </patternFill>
      </fill>
    </dxf>
    <dxf>
      <font>
        <color rgb="FF006600"/>
      </font>
      <fill>
        <patternFill patternType="solid">
          <fgColor auto="1"/>
          <bgColor rgb="FFEFF7E1"/>
        </patternFill>
      </fill>
    </dxf>
    <dxf>
      <font>
        <color rgb="FFCC0000"/>
      </font>
      <fill>
        <patternFill patternType="solid">
          <fgColor auto="1"/>
          <bgColor rgb="FFFFE3E4"/>
        </patternFill>
      </fill>
    </dxf>
    <dxf>
      <fill>
        <patternFill patternType="solid">
          <fgColor auto="1"/>
          <bgColor rgb="FFFFFFFF"/>
        </patternFill>
      </fill>
    </dxf>
    <dxf>
      <font>
        <color rgb="FF006600"/>
      </font>
      <fill>
        <patternFill patternType="solid">
          <fgColor auto="1"/>
          <bgColor rgb="FFEFF7E1"/>
        </patternFill>
      </fill>
    </dxf>
    <dxf>
      <font>
        <color rgb="FFCC0000"/>
      </font>
      <fill>
        <patternFill patternType="solid">
          <fgColor auto="1"/>
          <bgColor rgb="FFFFE3E4"/>
        </patternFill>
      </fill>
    </dxf>
    <dxf>
      <fill>
        <patternFill patternType="solid">
          <fgColor auto="1"/>
          <bgColor rgb="FFFFFFFF"/>
        </patternFill>
      </fill>
    </dxf>
    <dxf>
      <font>
        <color rgb="FF006600"/>
      </font>
      <fill>
        <patternFill patternType="solid">
          <fgColor auto="1"/>
          <bgColor rgb="FFEFF7E1"/>
        </patternFill>
      </fill>
    </dxf>
    <dxf>
      <font>
        <color rgb="FFCC0000"/>
      </font>
      <fill>
        <patternFill patternType="solid">
          <fgColor auto="1"/>
          <bgColor rgb="FFFFE3E4"/>
        </patternFill>
      </fill>
    </dxf>
    <dxf>
      <fill>
        <patternFill patternType="solid">
          <fgColor auto="1"/>
          <bgColor rgb="FFFFFFFF"/>
        </patternFill>
      </fill>
    </dxf>
    <dxf>
      <font>
        <color rgb="FF006600"/>
      </font>
      <fill>
        <patternFill patternType="solid">
          <fgColor auto="1"/>
          <bgColor rgb="FFEFF7E1"/>
        </patternFill>
      </fill>
    </dxf>
    <dxf>
      <font>
        <color rgb="FFCC0000"/>
      </font>
      <fill>
        <patternFill patternType="solid">
          <fgColor auto="1"/>
          <bgColor rgb="FFFFE3E4"/>
        </patternFill>
      </fill>
    </dxf>
    <dxf>
      <fill>
        <patternFill patternType="solid">
          <fgColor auto="1"/>
          <bgColor rgb="FFFFFFFF"/>
        </patternFill>
      </fill>
    </dxf>
    <dxf>
      <font>
        <color rgb="FF006600"/>
      </font>
      <fill>
        <patternFill patternType="solid">
          <fgColor auto="1"/>
          <bgColor rgb="FFEFF7E1"/>
        </patternFill>
      </fill>
    </dxf>
    <dxf>
      <font>
        <color rgb="FFCC0000"/>
      </font>
      <fill>
        <patternFill patternType="solid">
          <fgColor auto="1"/>
          <bgColor rgb="FFFFE3E4"/>
        </patternFill>
      </fill>
    </dxf>
    <dxf>
      <fill>
        <patternFill patternType="solid">
          <fgColor auto="1"/>
          <bgColor rgb="FFFFFFFF"/>
        </patternFill>
      </fill>
    </dxf>
    <dxf>
      <font>
        <color rgb="FF006600"/>
      </font>
      <fill>
        <patternFill patternType="solid">
          <fgColor auto="1"/>
          <bgColor rgb="FFEFF7E1"/>
        </patternFill>
      </fill>
    </dxf>
    <dxf>
      <font>
        <color rgb="FFCC0000"/>
      </font>
      <fill>
        <patternFill patternType="solid">
          <fgColor auto="1"/>
          <bgColor rgb="FFFFE3E4"/>
        </patternFill>
      </fill>
    </dxf>
    <dxf>
      <fill>
        <patternFill patternType="solid">
          <fgColor auto="1"/>
          <bgColor rgb="FFFFFFFF"/>
        </patternFill>
      </fill>
    </dxf>
    <dxf>
      <font>
        <color rgb="FF006600"/>
      </font>
      <fill>
        <patternFill patternType="solid">
          <fgColor auto="1"/>
          <bgColor rgb="FFEFF7E1"/>
        </patternFill>
      </fill>
    </dxf>
    <dxf>
      <font>
        <color rgb="FFCC0000"/>
      </font>
      <fill>
        <patternFill patternType="solid">
          <fgColor auto="1"/>
          <bgColor rgb="FFFFE3E4"/>
        </patternFill>
      </fill>
    </dxf>
    <dxf>
      <fill>
        <patternFill patternType="solid">
          <fgColor auto="1"/>
          <bgColor rgb="FFFFFFFF"/>
        </patternFill>
      </fill>
    </dxf>
    <dxf>
      <font>
        <color rgb="FF006600"/>
      </font>
      <fill>
        <patternFill patternType="solid">
          <fgColor auto="1"/>
          <bgColor rgb="FFEFF7E1"/>
        </patternFill>
      </fill>
    </dxf>
    <dxf>
      <font>
        <color rgb="FFCC0000"/>
      </font>
      <fill>
        <patternFill patternType="solid">
          <fgColor auto="1"/>
          <bgColor rgb="FFFFE3E4"/>
        </patternFill>
      </fill>
    </dxf>
    <dxf>
      <fill>
        <patternFill patternType="solid">
          <fgColor auto="1"/>
          <bgColor rgb="FFFFFFFF"/>
        </patternFill>
      </fill>
    </dxf>
    <dxf>
      <font>
        <color rgb="FF006600"/>
      </font>
      <fill>
        <patternFill patternType="solid">
          <fgColor auto="1"/>
          <bgColor rgb="FFEFF7E1"/>
        </patternFill>
      </fill>
    </dxf>
    <dxf>
      <font>
        <color rgb="FFCC0000"/>
      </font>
      <fill>
        <patternFill patternType="solid">
          <fgColor auto="1"/>
          <bgColor rgb="FFFFE3E4"/>
        </patternFill>
      </fill>
    </dxf>
    <dxf>
      <fill>
        <patternFill patternType="solid">
          <fgColor auto="1"/>
          <bgColor rgb="FFFFFFFF"/>
        </patternFill>
      </fill>
    </dxf>
    <dxf>
      <font>
        <color rgb="FF006600"/>
      </font>
      <fill>
        <patternFill patternType="solid">
          <fgColor auto="1"/>
          <bgColor rgb="FFEFF7E1"/>
        </patternFill>
      </fill>
    </dxf>
    <dxf>
      <font>
        <color rgb="FFCC0000"/>
      </font>
      <fill>
        <patternFill patternType="solid">
          <fgColor auto="1"/>
          <bgColor rgb="FFFFE3E4"/>
        </patternFill>
      </fill>
    </dxf>
    <dxf>
      <fill>
        <patternFill patternType="solid">
          <fgColor auto="1"/>
          <bgColor rgb="FFFFFFFF"/>
        </patternFill>
      </fill>
    </dxf>
    <dxf>
      <font>
        <color rgb="FF006600"/>
      </font>
      <fill>
        <patternFill patternType="solid">
          <fgColor auto="1"/>
          <bgColor rgb="FFEFF7E1"/>
        </patternFill>
      </fill>
    </dxf>
    <dxf>
      <font>
        <color rgb="FFCC0000"/>
      </font>
      <fill>
        <patternFill patternType="solid">
          <fgColor auto="1"/>
          <bgColor rgb="FFFFE3E4"/>
        </patternFill>
      </fill>
    </dxf>
    <dxf>
      <fill>
        <patternFill patternType="solid">
          <fgColor auto="1"/>
          <bgColor rgb="FFFFFFFF"/>
        </patternFill>
      </fill>
    </dxf>
    <dxf>
      <font>
        <color rgb="FF006600"/>
      </font>
      <fill>
        <patternFill patternType="solid">
          <fgColor auto="1"/>
          <bgColor rgb="FFEFF7E1"/>
        </patternFill>
      </fill>
    </dxf>
    <dxf>
      <font>
        <color rgb="FFCC0000"/>
      </font>
      <fill>
        <patternFill patternType="solid">
          <fgColor auto="1"/>
          <bgColor rgb="FFFFE3E4"/>
        </patternFill>
      </fill>
    </dxf>
    <dxf>
      <fill>
        <patternFill patternType="solid">
          <fgColor auto="1"/>
          <bgColor rgb="FFFFFFFF"/>
        </patternFill>
      </fill>
    </dxf>
    <dxf>
      <font>
        <color rgb="FF006600"/>
      </font>
      <fill>
        <patternFill patternType="solid">
          <fgColor auto="1"/>
          <bgColor rgb="FFEFF7E1"/>
        </patternFill>
      </fill>
    </dxf>
    <dxf>
      <font>
        <color rgb="FFCC0000"/>
      </font>
      <fill>
        <patternFill patternType="solid">
          <fgColor auto="1"/>
          <bgColor rgb="FFFFE3E4"/>
        </patternFill>
      </fill>
    </dxf>
    <dxf>
      <fill>
        <patternFill patternType="solid">
          <fgColor auto="1"/>
          <bgColor rgb="FFFFFFFF"/>
        </patternFill>
      </fill>
    </dxf>
    <dxf>
      <font>
        <color rgb="FF006600"/>
      </font>
      <fill>
        <patternFill patternType="solid">
          <fgColor auto="1"/>
          <bgColor rgb="FFEFF7E1"/>
        </patternFill>
      </fill>
    </dxf>
    <dxf>
      <font>
        <color rgb="FFCC0000"/>
      </font>
      <fill>
        <patternFill patternType="solid">
          <fgColor auto="1"/>
          <bgColor rgb="FFFFE3E4"/>
        </patternFill>
      </fill>
    </dxf>
    <dxf>
      <fill>
        <patternFill patternType="solid">
          <fgColor auto="1"/>
          <bgColor rgb="FFFFFFFF"/>
        </patternFill>
      </fill>
    </dxf>
    <dxf>
      <font>
        <color rgb="FFCC0000"/>
      </font>
      <fill>
        <patternFill>
          <bgColor rgb="FFFFE3E4"/>
        </patternFill>
      </fill>
    </dxf>
    <dxf>
      <font>
        <color rgb="FF006600"/>
      </font>
      <fill>
        <patternFill>
          <bgColor rgb="FFEFF7E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CC0000"/>
      </font>
      <fill>
        <patternFill>
          <bgColor rgb="FFFFE3E4"/>
        </patternFill>
      </fill>
    </dxf>
    <dxf>
      <font>
        <color rgb="FF006600"/>
      </font>
      <fill>
        <patternFill>
          <bgColor rgb="FFEFF7E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CC0000"/>
      </font>
      <fill>
        <patternFill>
          <bgColor rgb="FFFFE3E4"/>
        </patternFill>
      </fill>
    </dxf>
    <dxf>
      <font>
        <color rgb="FF006600"/>
      </font>
      <fill>
        <patternFill>
          <bgColor rgb="FFEFF7E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CC0000"/>
      </font>
      <fill>
        <patternFill>
          <bgColor rgb="FFFFE3E4"/>
        </patternFill>
      </fill>
    </dxf>
    <dxf>
      <font>
        <color rgb="FF006600"/>
      </font>
      <fill>
        <patternFill>
          <bgColor rgb="FFEFF7E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CC0000"/>
      </font>
      <fill>
        <patternFill>
          <bgColor rgb="FFFFE3E4"/>
        </patternFill>
      </fill>
    </dxf>
    <dxf>
      <font>
        <color rgb="FF006600"/>
      </font>
      <fill>
        <patternFill>
          <bgColor rgb="FFEFF7E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CC0000"/>
      </font>
      <fill>
        <patternFill>
          <bgColor rgb="FFFFE3E4"/>
        </patternFill>
      </fill>
    </dxf>
    <dxf>
      <font>
        <color rgb="FF006600"/>
      </font>
      <fill>
        <patternFill>
          <bgColor rgb="FFEFF7E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CC0000"/>
      </font>
      <fill>
        <patternFill>
          <bgColor rgb="FFFFE3E4"/>
        </patternFill>
      </fill>
    </dxf>
    <dxf>
      <font>
        <color rgb="FF006600"/>
      </font>
      <fill>
        <patternFill>
          <bgColor rgb="FFEFF7E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CC0000"/>
      </font>
      <fill>
        <patternFill>
          <bgColor rgb="FFFFE3E4"/>
        </patternFill>
      </fill>
    </dxf>
    <dxf>
      <font>
        <color rgb="FF006600"/>
      </font>
      <fill>
        <patternFill>
          <bgColor rgb="FFEFF7E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006600"/>
      <color rgb="FF008000"/>
      <color rgb="FFFF6600"/>
      <color rgb="FFFF552D"/>
      <color rgb="FFFF3300"/>
      <color rgb="FFFD5B2F"/>
      <color rgb="FFFF481D"/>
      <color rgb="FF333333"/>
      <color rgb="FFCC0000"/>
      <color rgb="FFCC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1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externalLink" Target="externalLinks/externalLink4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2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8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7830451859871336E-2"/>
          <c:y val="0.27067615740740741"/>
          <c:w val="0.86175138888888891"/>
          <c:h val="0.56355023148148153"/>
        </c:manualLayout>
      </c:layout>
      <c:lineChart>
        <c:grouping val="standard"/>
        <c:varyColors val="0"/>
        <c:ser>
          <c:idx val="6"/>
          <c:order val="0"/>
          <c:tx>
            <c:strRef>
              <c:f>'[3]ZAKUP KL. E WYKRES TYG'!$C$25:$D$25</c:f>
              <c:strCache>
                <c:ptCount val="1"/>
                <c:pt idx="0">
                  <c:v>2021</c:v>
                </c:pt>
              </c:strCache>
            </c:strRef>
          </c:tx>
          <c:spPr>
            <a:ln w="25400" cap="rnd" cmpd="sng" algn="ctr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'[3]ZAKUP KL. E WYKRES TYG'!$B$27:$B$78</c:f>
              <c:numCache>
                <c:formatCode>General</c:formatCode>
                <c:ptCount val="5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</c:numCache>
            </c:numRef>
          </c:cat>
          <c:val>
            <c:numRef>
              <c:f>'[3]ZAKUP KL. E WYKRES TYG'!$D$27:$D$78</c:f>
              <c:numCache>
                <c:formatCode>General</c:formatCode>
                <c:ptCount val="52"/>
                <c:pt idx="0">
                  <c:v>5051.33</c:v>
                </c:pt>
                <c:pt idx="1">
                  <c:v>5133.78</c:v>
                </c:pt>
                <c:pt idx="2">
                  <c:v>5154.1899999999996</c:v>
                </c:pt>
                <c:pt idx="3">
                  <c:v>5191.0200000000004</c:v>
                </c:pt>
                <c:pt idx="4">
                  <c:v>5300.09</c:v>
                </c:pt>
                <c:pt idx="5">
                  <c:v>5458.35</c:v>
                </c:pt>
                <c:pt idx="6">
                  <c:v>5677.76</c:v>
                </c:pt>
                <c:pt idx="7">
                  <c:v>6142.38</c:v>
                </c:pt>
                <c:pt idx="8">
                  <c:v>6583.41</c:v>
                </c:pt>
                <c:pt idx="9">
                  <c:v>6902.64</c:v>
                </c:pt>
                <c:pt idx="10">
                  <c:v>7127.55</c:v>
                </c:pt>
                <c:pt idx="11">
                  <c:v>7034.41</c:v>
                </c:pt>
                <c:pt idx="12">
                  <c:v>6946.15</c:v>
                </c:pt>
                <c:pt idx="13">
                  <c:v>6939.59</c:v>
                </c:pt>
                <c:pt idx="14">
                  <c:v>6937.16</c:v>
                </c:pt>
                <c:pt idx="15">
                  <c:v>6831.71</c:v>
                </c:pt>
                <c:pt idx="16">
                  <c:v>6609.45</c:v>
                </c:pt>
                <c:pt idx="17">
                  <c:v>6586.37</c:v>
                </c:pt>
                <c:pt idx="18">
                  <c:v>6681.8</c:v>
                </c:pt>
                <c:pt idx="19">
                  <c:v>7235.33</c:v>
                </c:pt>
                <c:pt idx="20">
                  <c:v>7437.18</c:v>
                </c:pt>
                <c:pt idx="21">
                  <c:v>7277.45</c:v>
                </c:pt>
                <c:pt idx="22">
                  <c:v>7247.88</c:v>
                </c:pt>
                <c:pt idx="23">
                  <c:v>7058.71</c:v>
                </c:pt>
                <c:pt idx="24">
                  <c:v>6739.52</c:v>
                </c:pt>
                <c:pt idx="25">
                  <c:v>6575.19</c:v>
                </c:pt>
                <c:pt idx="26">
                  <c:v>6584.84</c:v>
                </c:pt>
                <c:pt idx="27">
                  <c:v>6515.92</c:v>
                </c:pt>
                <c:pt idx="28">
                  <c:v>6398.02</c:v>
                </c:pt>
                <c:pt idx="29">
                  <c:v>6634.27</c:v>
                </c:pt>
                <c:pt idx="30">
                  <c:v>6725.34</c:v>
                </c:pt>
                <c:pt idx="31">
                  <c:v>6606.7</c:v>
                </c:pt>
                <c:pt idx="32">
                  <c:v>6651.31</c:v>
                </c:pt>
                <c:pt idx="33">
                  <c:v>6423.77</c:v>
                </c:pt>
                <c:pt idx="34">
                  <c:v>6117.29</c:v>
                </c:pt>
                <c:pt idx="35">
                  <c:v>5883.29</c:v>
                </c:pt>
                <c:pt idx="36">
                  <c:v>5701.26</c:v>
                </c:pt>
                <c:pt idx="37">
                  <c:v>5660.83</c:v>
                </c:pt>
                <c:pt idx="38">
                  <c:v>5598.65</c:v>
                </c:pt>
                <c:pt idx="39">
                  <c:v>5557.99</c:v>
                </c:pt>
                <c:pt idx="40">
                  <c:v>5398.01</c:v>
                </c:pt>
                <c:pt idx="41">
                  <c:v>5390.47</c:v>
                </c:pt>
                <c:pt idx="42">
                  <c:v>5370.37</c:v>
                </c:pt>
                <c:pt idx="43">
                  <c:v>5435.2</c:v>
                </c:pt>
                <c:pt idx="44">
                  <c:v>5482.13</c:v>
                </c:pt>
                <c:pt idx="45">
                  <c:v>5490.34</c:v>
                </c:pt>
                <c:pt idx="46">
                  <c:v>5538.97</c:v>
                </c:pt>
                <c:pt idx="47">
                  <c:v>5615.87</c:v>
                </c:pt>
                <c:pt idx="48">
                  <c:v>5890.51</c:v>
                </c:pt>
                <c:pt idx="49">
                  <c:v>6067.82</c:v>
                </c:pt>
                <c:pt idx="50">
                  <c:v>5927.55</c:v>
                </c:pt>
                <c:pt idx="51">
                  <c:v>5857.07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DC7-4444-B980-EF5E8BBA461C}"/>
            </c:ext>
          </c:extLst>
        </c:ser>
        <c:ser>
          <c:idx val="7"/>
          <c:order val="1"/>
          <c:tx>
            <c:strRef>
              <c:f>'[4]WYKRES JAPKA'!$E$25:$F$25</c:f>
              <c:strCache>
                <c:ptCount val="1"/>
                <c:pt idx="0">
                  <c:v>Gala</c:v>
                </c:pt>
              </c:strCache>
            </c:strRef>
          </c:tx>
          <c:spPr>
            <a:ln w="25400" cap="rnd" cmpd="sng" algn="ctr">
              <a:solidFill>
                <a:schemeClr val="accent6">
                  <a:lumMod val="7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dLbls>
            <c:dLbl>
              <c:idx val="30"/>
              <c:layout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20C4-4A32-B8E1-0D56EA976B94}"/>
                </c:ext>
              </c:extLst>
            </c:dLbl>
            <c:spPr>
              <a:solidFill>
                <a:schemeClr val="accent6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shade val="95000"/>
                          <a:satMod val="105000"/>
                        </a:schemeClr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'[4]WYKRES JAPKA'!$B$27:$B$78</c:f>
              <c:numCache>
                <c:formatCode>General</c:formatCode>
                <c:ptCount val="5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</c:numCache>
            </c:numRef>
          </c:cat>
          <c:val>
            <c:numRef>
              <c:f>'[4]WYKRES JAPKA'!$F$27:$F$78</c:f>
              <c:numCache>
                <c:formatCode>General</c:formatCode>
                <c:ptCount val="52"/>
                <c:pt idx="0">
                  <c:v>3.5213000000000001</c:v>
                </c:pt>
                <c:pt idx="1">
                  <c:v>3.5</c:v>
                </c:pt>
                <c:pt idx="2">
                  <c:v>3.4409999999999998</c:v>
                </c:pt>
                <c:pt idx="3">
                  <c:v>3.49</c:v>
                </c:pt>
                <c:pt idx="4">
                  <c:v>3.4611000000000001</c:v>
                </c:pt>
                <c:pt idx="5">
                  <c:v>3.32</c:v>
                </c:pt>
                <c:pt idx="6">
                  <c:v>3.2433000000000001</c:v>
                </c:pt>
                <c:pt idx="7">
                  <c:v>3.2433000000000001</c:v>
                </c:pt>
                <c:pt idx="8">
                  <c:v>3.3834</c:v>
                </c:pt>
                <c:pt idx="9">
                  <c:v>3.4159000000000002</c:v>
                </c:pt>
                <c:pt idx="10">
                  <c:v>3.4468000000000001</c:v>
                </c:pt>
                <c:pt idx="11">
                  <c:v>3.2669999999999999</c:v>
                </c:pt>
                <c:pt idx="12">
                  <c:v>3.43</c:v>
                </c:pt>
                <c:pt idx="13">
                  <c:v>3.4769999999999999</c:v>
                </c:pt>
                <c:pt idx="14">
                  <c:v>3.4769999999999999</c:v>
                </c:pt>
                <c:pt idx="15">
                  <c:v>3.58</c:v>
                </c:pt>
                <c:pt idx="16">
                  <c:v>3.66</c:v>
                </c:pt>
                <c:pt idx="17">
                  <c:v>3.63</c:v>
                </c:pt>
                <c:pt idx="18">
                  <c:v>3.657</c:v>
                </c:pt>
                <c:pt idx="19">
                  <c:v>3.5640000000000001</c:v>
                </c:pt>
                <c:pt idx="20">
                  <c:v>3.5640000000000001</c:v>
                </c:pt>
                <c:pt idx="21">
                  <c:v>3.657</c:v>
                </c:pt>
                <c:pt idx="22">
                  <c:v>3.76</c:v>
                </c:pt>
                <c:pt idx="23">
                  <c:v>3.66</c:v>
                </c:pt>
                <c:pt idx="24">
                  <c:v>3.6673</c:v>
                </c:pt>
                <c:pt idx="25">
                  <c:v>3.65</c:v>
                </c:pt>
                <c:pt idx="26">
                  <c:v>3.62</c:v>
                </c:pt>
                <c:pt idx="27">
                  <c:v>3.59</c:v>
                </c:pt>
                <c:pt idx="28">
                  <c:v>3.61</c:v>
                </c:pt>
                <c:pt idx="29">
                  <c:v>3.63</c:v>
                </c:pt>
                <c:pt idx="30">
                  <c:v>3.72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DC7-4444-B980-EF5E8BBA461C}"/>
            </c:ext>
          </c:extLst>
        </c:ser>
        <c:ser>
          <c:idx val="8"/>
          <c:order val="2"/>
          <c:tx>
            <c:strRef>
              <c:f>'[4]WYKRES JAPKA'!$G$25:$H$25</c:f>
              <c:strCache>
                <c:ptCount val="1"/>
                <c:pt idx="0">
                  <c:v>Golden</c:v>
                </c:pt>
              </c:strCache>
            </c:strRef>
          </c:tx>
          <c:spPr>
            <a:ln w="25400" cap="rnd" cmpd="sng" algn="ctr">
              <a:solidFill>
                <a:schemeClr val="accent3"/>
              </a:solidFill>
              <a:prstDash val="solid"/>
              <a:round/>
            </a:ln>
            <a:effectLst/>
          </c:spPr>
          <c:marker>
            <c:symbol val="none"/>
          </c:marker>
          <c:dLbls>
            <c:dLbl>
              <c:idx val="30"/>
              <c:layout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20C4-4A32-B8E1-0D56EA976B94}"/>
                </c:ext>
              </c:extLst>
            </c:dLbl>
            <c:spPr>
              <a:solidFill>
                <a:schemeClr val="accent3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shade val="95000"/>
                          <a:satMod val="105000"/>
                        </a:schemeClr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'[4]WYKRES JAPKA'!$B$27:$B$78</c:f>
              <c:numCache>
                <c:formatCode>General</c:formatCode>
                <c:ptCount val="5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</c:numCache>
            </c:numRef>
          </c:cat>
          <c:val>
            <c:numRef>
              <c:f>'[4]WYKRES JAPKA'!$H$27:$H$78</c:f>
              <c:numCache>
                <c:formatCode>General</c:formatCode>
                <c:ptCount val="52"/>
                <c:pt idx="0">
                  <c:v>3.3759999999999999</c:v>
                </c:pt>
                <c:pt idx="1">
                  <c:v>3.3536999999999999</c:v>
                </c:pt>
                <c:pt idx="2">
                  <c:v>3.3</c:v>
                </c:pt>
                <c:pt idx="3">
                  <c:v>3.29</c:v>
                </c:pt>
                <c:pt idx="4">
                  <c:v>3.2454999999999998</c:v>
                </c:pt>
                <c:pt idx="5">
                  <c:v>3.2389999999999999</c:v>
                </c:pt>
                <c:pt idx="6">
                  <c:v>3.1158999999999999</c:v>
                </c:pt>
                <c:pt idx="7">
                  <c:v>3.1158999999999999</c:v>
                </c:pt>
                <c:pt idx="8">
                  <c:v>3.2290000000000001</c:v>
                </c:pt>
                <c:pt idx="9">
                  <c:v>3.2921999999999998</c:v>
                </c:pt>
                <c:pt idx="10">
                  <c:v>3.1718999999999999</c:v>
                </c:pt>
                <c:pt idx="11">
                  <c:v>3.2115999999999998</c:v>
                </c:pt>
                <c:pt idx="12">
                  <c:v>3.2</c:v>
                </c:pt>
                <c:pt idx="13">
                  <c:v>2.1949000000000001</c:v>
                </c:pt>
                <c:pt idx="14">
                  <c:v>2.1949000000000001</c:v>
                </c:pt>
                <c:pt idx="15">
                  <c:v>3.2498999999999998</c:v>
                </c:pt>
                <c:pt idx="16">
                  <c:v>3.26</c:v>
                </c:pt>
                <c:pt idx="17">
                  <c:v>3.3170000000000002</c:v>
                </c:pt>
                <c:pt idx="18">
                  <c:v>3.2989999999999999</c:v>
                </c:pt>
                <c:pt idx="19">
                  <c:v>3.2538999999999998</c:v>
                </c:pt>
                <c:pt idx="20">
                  <c:v>3.26</c:v>
                </c:pt>
                <c:pt idx="21">
                  <c:v>3.2989999999999999</c:v>
                </c:pt>
                <c:pt idx="22">
                  <c:v>3.34</c:v>
                </c:pt>
                <c:pt idx="23">
                  <c:v>3.34</c:v>
                </c:pt>
                <c:pt idx="24">
                  <c:v>3.3367300000000002</c:v>
                </c:pt>
                <c:pt idx="25">
                  <c:v>3.33</c:v>
                </c:pt>
                <c:pt idx="26">
                  <c:v>3.34</c:v>
                </c:pt>
                <c:pt idx="27">
                  <c:v>3.37</c:v>
                </c:pt>
                <c:pt idx="28">
                  <c:v>3.3184999999999998</c:v>
                </c:pt>
                <c:pt idx="29">
                  <c:v>3.34</c:v>
                </c:pt>
                <c:pt idx="30">
                  <c:v>3.36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DC7-4444-B980-EF5E8BBA461C}"/>
            </c:ext>
          </c:extLst>
        </c:ser>
        <c:ser>
          <c:idx val="9"/>
          <c:order val="3"/>
          <c:tx>
            <c:strRef>
              <c:f>'[4]WYKRES JAPKA'!$I$25:$J$25</c:f>
              <c:strCache>
                <c:ptCount val="1"/>
                <c:pt idx="0">
                  <c:v>Jonagold</c:v>
                </c:pt>
              </c:strCache>
            </c:strRef>
          </c:tx>
          <c:spPr>
            <a:ln w="25400" cap="rnd" cmpd="sng" algn="ctr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none"/>
          </c:marker>
          <c:dLbls>
            <c:dLbl>
              <c:idx val="30"/>
              <c:layout>
                <c:manualLayout>
                  <c:x val="-1.4431818181818181E-2"/>
                  <c:y val="2.645833333333333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4-20C4-4A32-B8E1-0D56EA976B94}"/>
                </c:ext>
              </c:extLst>
            </c:dLbl>
            <c:spPr>
              <a:solidFill>
                <a:schemeClr val="accent2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shade val="95000"/>
                          <a:satMod val="105000"/>
                        </a:schemeClr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'[4]WYKRES JAPKA'!$B$27:$B$78</c:f>
              <c:numCache>
                <c:formatCode>General</c:formatCode>
                <c:ptCount val="5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</c:numCache>
            </c:numRef>
          </c:cat>
          <c:val>
            <c:numRef>
              <c:f>'[4]WYKRES JAPKA'!$J$27:$J$78</c:f>
              <c:numCache>
                <c:formatCode>General</c:formatCode>
                <c:ptCount val="52"/>
                <c:pt idx="0">
                  <c:v>2.8826999999999998</c:v>
                </c:pt>
                <c:pt idx="1">
                  <c:v>2.7440000000000002</c:v>
                </c:pt>
                <c:pt idx="2">
                  <c:v>2.7898000000000001</c:v>
                </c:pt>
                <c:pt idx="3">
                  <c:v>2.7948</c:v>
                </c:pt>
                <c:pt idx="4">
                  <c:v>2.89</c:v>
                </c:pt>
                <c:pt idx="5">
                  <c:v>2.6</c:v>
                </c:pt>
                <c:pt idx="6">
                  <c:v>2.63</c:v>
                </c:pt>
                <c:pt idx="7">
                  <c:v>2.6315</c:v>
                </c:pt>
                <c:pt idx="8">
                  <c:v>2.5609999999999999</c:v>
                </c:pt>
                <c:pt idx="9">
                  <c:v>2.625</c:v>
                </c:pt>
                <c:pt idx="10">
                  <c:v>2.5804999999999998</c:v>
                </c:pt>
                <c:pt idx="11">
                  <c:v>2.5539999999999998</c:v>
                </c:pt>
                <c:pt idx="12">
                  <c:v>2.62</c:v>
                </c:pt>
                <c:pt idx="13">
                  <c:v>2.6680999999999999</c:v>
                </c:pt>
                <c:pt idx="14">
                  <c:v>2.7</c:v>
                </c:pt>
                <c:pt idx="15">
                  <c:v>2.6118000000000001</c:v>
                </c:pt>
                <c:pt idx="16">
                  <c:v>2.62</c:v>
                </c:pt>
                <c:pt idx="17">
                  <c:v>2.6257999999999999</c:v>
                </c:pt>
                <c:pt idx="18">
                  <c:v>2.831</c:v>
                </c:pt>
                <c:pt idx="19">
                  <c:v>2.7296</c:v>
                </c:pt>
                <c:pt idx="20">
                  <c:v>2.72</c:v>
                </c:pt>
                <c:pt idx="21">
                  <c:v>2.831</c:v>
                </c:pt>
                <c:pt idx="22">
                  <c:v>2.91</c:v>
                </c:pt>
                <c:pt idx="23">
                  <c:v>2.75</c:v>
                </c:pt>
                <c:pt idx="24">
                  <c:v>2.88</c:v>
                </c:pt>
                <c:pt idx="25">
                  <c:v>2.81</c:v>
                </c:pt>
                <c:pt idx="26">
                  <c:v>2.79</c:v>
                </c:pt>
                <c:pt idx="27">
                  <c:v>2.83</c:v>
                </c:pt>
                <c:pt idx="28">
                  <c:v>2.83</c:v>
                </c:pt>
                <c:pt idx="29">
                  <c:v>2.84</c:v>
                </c:pt>
                <c:pt idx="30">
                  <c:v>2.88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DC7-4444-B980-EF5E8BBA461C}"/>
            </c:ext>
          </c:extLst>
        </c:ser>
        <c:ser>
          <c:idx val="10"/>
          <c:order val="4"/>
          <c:tx>
            <c:strRef>
              <c:f>'[4]WYKRES JAPKA'!$K$25:$L$25</c:f>
              <c:strCache>
                <c:ptCount val="1"/>
                <c:pt idx="0">
                  <c:v>Ligol</c:v>
                </c:pt>
              </c:strCache>
            </c:strRef>
          </c:tx>
          <c:spPr>
            <a:ln w="25400" cap="rnd" cmpd="sng" algn="ctr">
              <a:solidFill>
                <a:schemeClr val="accent1">
                  <a:lumMod val="7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dLbls>
            <c:dLbl>
              <c:idx val="30"/>
              <c:layout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20C4-4A32-B8E1-0D56EA976B94}"/>
                </c:ext>
              </c:extLst>
            </c:dLbl>
            <c:spPr>
              <a:solidFill>
                <a:schemeClr val="accent1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shade val="95000"/>
                          <a:satMod val="105000"/>
                        </a:schemeClr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'[4]WYKRES JAPKA'!$B$27:$B$78</c:f>
              <c:numCache>
                <c:formatCode>General</c:formatCode>
                <c:ptCount val="5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</c:numCache>
            </c:numRef>
          </c:cat>
          <c:val>
            <c:numRef>
              <c:f>'[4]WYKRES JAPKA'!$L$27:$L$79</c:f>
              <c:numCache>
                <c:formatCode>General</c:formatCode>
                <c:ptCount val="53"/>
                <c:pt idx="0">
                  <c:v>3.113</c:v>
                </c:pt>
                <c:pt idx="1">
                  <c:v>3.1619000000000002</c:v>
                </c:pt>
                <c:pt idx="2">
                  <c:v>3.09</c:v>
                </c:pt>
                <c:pt idx="3">
                  <c:v>3.1854</c:v>
                </c:pt>
                <c:pt idx="4">
                  <c:v>3.14</c:v>
                </c:pt>
                <c:pt idx="5">
                  <c:v>3.07</c:v>
                </c:pt>
                <c:pt idx="6">
                  <c:v>2.96</c:v>
                </c:pt>
                <c:pt idx="7">
                  <c:v>2.96</c:v>
                </c:pt>
                <c:pt idx="8">
                  <c:v>3.3279999999999998</c:v>
                </c:pt>
                <c:pt idx="9">
                  <c:v>3.11</c:v>
                </c:pt>
                <c:pt idx="10">
                  <c:v>3.0244</c:v>
                </c:pt>
                <c:pt idx="11">
                  <c:v>3.0729000000000002</c:v>
                </c:pt>
                <c:pt idx="12">
                  <c:v>2.9188999999999998</c:v>
                </c:pt>
                <c:pt idx="13">
                  <c:v>3.02</c:v>
                </c:pt>
                <c:pt idx="14">
                  <c:v>3</c:v>
                </c:pt>
                <c:pt idx="15">
                  <c:v>3.1</c:v>
                </c:pt>
                <c:pt idx="16">
                  <c:v>3.13</c:v>
                </c:pt>
                <c:pt idx="17">
                  <c:v>3.1684000000000001</c:v>
                </c:pt>
                <c:pt idx="18">
                  <c:v>3.1</c:v>
                </c:pt>
                <c:pt idx="19">
                  <c:v>3.0880000000000001</c:v>
                </c:pt>
                <c:pt idx="20">
                  <c:v>3.1</c:v>
                </c:pt>
                <c:pt idx="21">
                  <c:v>3.1</c:v>
                </c:pt>
                <c:pt idx="22">
                  <c:v>3.18</c:v>
                </c:pt>
                <c:pt idx="23">
                  <c:v>3.18</c:v>
                </c:pt>
                <c:pt idx="24">
                  <c:v>3.18</c:v>
                </c:pt>
                <c:pt idx="25">
                  <c:v>3.1949999999999998</c:v>
                </c:pt>
                <c:pt idx="26">
                  <c:v>3.18</c:v>
                </c:pt>
                <c:pt idx="27">
                  <c:v>3.16</c:v>
                </c:pt>
                <c:pt idx="28">
                  <c:v>3.27</c:v>
                </c:pt>
                <c:pt idx="29">
                  <c:v>3.13</c:v>
                </c:pt>
                <c:pt idx="30">
                  <c:v>3.21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DC7-4444-B980-EF5E8BBA461C}"/>
            </c:ext>
          </c:extLst>
        </c:ser>
        <c:ser>
          <c:idx val="0"/>
          <c:order val="5"/>
          <c:tx>
            <c:strRef>
              <c:f>'[4]WYKRES JAPKA'!$M$25:$N$25</c:f>
              <c:strCache>
                <c:ptCount val="1"/>
                <c:pt idx="0">
                  <c:v>Szampion</c:v>
                </c:pt>
              </c:strCache>
            </c:strRef>
          </c:tx>
          <c:spPr>
            <a:ln w="31750" cap="rnd" cmpd="sng" algn="ctr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none"/>
          </c:marker>
          <c:dLbls>
            <c:dLbl>
              <c:idx val="2"/>
              <c:layout>
                <c:manualLayout>
                  <c:x val="-3.5277777777777776E-2"/>
                  <c:y val="4.409722222222222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5-BDC7-4444-B980-EF5E8BBA461C}"/>
                </c:ext>
              </c:extLst>
            </c:dLbl>
            <c:dLbl>
              <c:idx val="21"/>
              <c:layout>
                <c:manualLayout>
                  <c:x val="-9.6212121212121207E-3"/>
                  <c:y val="5.879629629629618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6-BDC7-4444-B980-EF5E8BBA461C}"/>
                </c:ext>
              </c:extLst>
            </c:dLbl>
            <c:dLbl>
              <c:idx val="30"/>
              <c:layout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20C4-4A32-B8E1-0D56EA976B94}"/>
                </c:ext>
              </c:extLst>
            </c:dLbl>
            <c:numFmt formatCode="#,##0.00" sourceLinked="0"/>
            <c:spPr>
              <a:solidFill>
                <a:srgbClr val="FFC9C9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6350" cap="flat" cmpd="sng" algn="ctr">
                      <a:solidFill>
                        <a:schemeClr val="tx1"/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'[4]WYKRES JAPKA'!$N$27:$N$79</c:f>
              <c:numCache>
                <c:formatCode>General</c:formatCode>
                <c:ptCount val="53"/>
                <c:pt idx="0">
                  <c:v>2.7725</c:v>
                </c:pt>
                <c:pt idx="1">
                  <c:v>2.9426000000000001</c:v>
                </c:pt>
                <c:pt idx="2">
                  <c:v>3.04</c:v>
                </c:pt>
                <c:pt idx="3">
                  <c:v>2.94</c:v>
                </c:pt>
                <c:pt idx="4">
                  <c:v>2.8281000000000001</c:v>
                </c:pt>
                <c:pt idx="5">
                  <c:v>2.9943</c:v>
                </c:pt>
                <c:pt idx="6">
                  <c:v>2.7351000000000001</c:v>
                </c:pt>
                <c:pt idx="7">
                  <c:v>2.7351000000000001</c:v>
                </c:pt>
                <c:pt idx="8">
                  <c:v>2.9116</c:v>
                </c:pt>
                <c:pt idx="9">
                  <c:v>2.9224999999999999</c:v>
                </c:pt>
                <c:pt idx="10">
                  <c:v>2.8206000000000002</c:v>
                </c:pt>
                <c:pt idx="11">
                  <c:v>2.6899000000000002</c:v>
                </c:pt>
                <c:pt idx="12">
                  <c:v>2.7490000000000001</c:v>
                </c:pt>
                <c:pt idx="13">
                  <c:v>2.71</c:v>
                </c:pt>
                <c:pt idx="14">
                  <c:v>2.7</c:v>
                </c:pt>
                <c:pt idx="15">
                  <c:v>2.9338000000000002</c:v>
                </c:pt>
                <c:pt idx="16">
                  <c:v>2.7892999999999999</c:v>
                </c:pt>
                <c:pt idx="17">
                  <c:v>2.9571999999999998</c:v>
                </c:pt>
                <c:pt idx="18">
                  <c:v>2.7924000000000002</c:v>
                </c:pt>
                <c:pt idx="19">
                  <c:v>2.9447000000000001</c:v>
                </c:pt>
                <c:pt idx="20">
                  <c:v>2.9447000000000001</c:v>
                </c:pt>
                <c:pt idx="21">
                  <c:v>2.7924000000000002</c:v>
                </c:pt>
                <c:pt idx="22">
                  <c:v>3.0760000000000001</c:v>
                </c:pt>
                <c:pt idx="23">
                  <c:v>3.06</c:v>
                </c:pt>
                <c:pt idx="24">
                  <c:v>3.09</c:v>
                </c:pt>
                <c:pt idx="25">
                  <c:v>3.0379999999999998</c:v>
                </c:pt>
                <c:pt idx="26">
                  <c:v>3</c:v>
                </c:pt>
                <c:pt idx="27">
                  <c:v>3.06</c:v>
                </c:pt>
                <c:pt idx="28">
                  <c:v>3.01</c:v>
                </c:pt>
                <c:pt idx="29">
                  <c:v>2.99</c:v>
                </c:pt>
                <c:pt idx="30">
                  <c:v>3.0373999999999999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BDC7-4444-B980-EF5E8BBA46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0222336"/>
        <c:axId val="110498176"/>
      </c:lineChart>
      <c:catAx>
        <c:axId val="11022233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rgbClr val="5F5F5F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 b="1">
                    <a:solidFill>
                      <a:srgbClr val="5F5F5F"/>
                    </a:solidFill>
                  </a:rPr>
                  <a:t>tydzień</a:t>
                </a:r>
              </a:p>
            </c:rich>
          </c:tx>
          <c:layout>
            <c:manualLayout>
              <c:xMode val="edge"/>
              <c:yMode val="edge"/>
              <c:x val="0.93979419191919189"/>
              <c:y val="0.8496627314814814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rgbClr val="5F5F5F"/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12700" cap="flat" cmpd="sng" algn="ctr">
            <a:solidFill>
              <a:schemeClr val="bg1">
                <a:lumMod val="75000"/>
              </a:schemeClr>
            </a:solidFill>
            <a:prstDash val="solid"/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rgbClr val="777777"/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10498176"/>
        <c:crosses val="autoZero"/>
        <c:auto val="0"/>
        <c:lblAlgn val="ctr"/>
        <c:lblOffset val="100"/>
        <c:tickLblSkip val="3"/>
        <c:tickMarkSkip val="5"/>
        <c:noMultiLvlLbl val="1"/>
      </c:catAx>
      <c:valAx>
        <c:axId val="110498176"/>
        <c:scaling>
          <c:orientation val="minMax"/>
          <c:max val="4"/>
          <c:min val="2"/>
        </c:scaling>
        <c:delete val="0"/>
        <c:axPos val="l"/>
        <c:majorGridlines>
          <c:spPr>
            <a:ln w="3175" cap="flat" cmpd="sng" algn="ctr">
              <a:solidFill>
                <a:schemeClr val="bg1">
                  <a:lumMod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rgbClr val="5F5F5F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 b="1">
                    <a:solidFill>
                      <a:srgbClr val="5F5F5F"/>
                    </a:solidFill>
                  </a:rPr>
                  <a:t>zł/t</a:t>
                </a:r>
              </a:p>
            </c:rich>
          </c:tx>
          <c:layout>
            <c:manualLayout>
              <c:xMode val="edge"/>
              <c:yMode val="edge"/>
              <c:x val="2.960454545454546E-2"/>
              <c:y val="0.197581018518518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000" b="1" i="0" u="none" strike="noStrike" kern="1200" baseline="0">
                  <a:solidFill>
                    <a:srgbClr val="5F5F5F"/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#,##0.00" sourceLinked="0"/>
        <c:majorTickMark val="none"/>
        <c:minorTickMark val="none"/>
        <c:tickLblPos val="nextTo"/>
        <c:spPr>
          <a:noFill/>
          <a:ln w="12700" cap="flat" cmpd="sng" algn="ctr">
            <a:noFill/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777777"/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10222336"/>
        <c:crossesAt val="1"/>
        <c:crossBetween val="between"/>
        <c:majorUnit val="0.25"/>
      </c:valAx>
      <c:spPr>
        <a:solidFill>
          <a:schemeClr val="bg1"/>
        </a:solidFill>
        <a:ln>
          <a:noFill/>
        </a:ln>
        <a:effectLst/>
      </c:spPr>
    </c:plotArea>
    <c:legend>
      <c:legendPos val="r"/>
      <c:legendEntry>
        <c:idx val="0"/>
        <c:delete val="1"/>
      </c:legendEntry>
      <c:layout>
        <c:manualLayout>
          <c:xMode val="edge"/>
          <c:yMode val="edge"/>
          <c:x val="0.1400560606060606"/>
          <c:y val="0.92125023148148144"/>
          <c:w val="0.72210404040404041"/>
          <c:h val="6.993032407407406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</c:chart>
  <c:spPr>
    <a:solidFill>
      <a:schemeClr val="bg1"/>
    </a:solidFill>
    <a:ln w="6350" cap="flat" cmpd="sng" algn="ctr">
      <a:noFill/>
      <a:prstDash val="solid"/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 orientation="landscape"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Warzywa</a:t>
            </a:r>
            <a:r>
              <a:rPr lang="pl-PL" baseline="0"/>
              <a:t> (krajowe)</a:t>
            </a:r>
            <a:endParaRPr lang="pl-PL"/>
          </a:p>
        </c:rich>
      </c:tx>
      <c:layout>
        <c:manualLayout>
          <c:xMode val="edge"/>
          <c:yMode val="edge"/>
          <c:x val="0.40798914141414139"/>
          <c:y val="7.937500000000000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>
        <c:manualLayout>
          <c:layoutTarget val="inner"/>
          <c:xMode val="edge"/>
          <c:yMode val="edge"/>
          <c:x val="9.6747979797979791E-2"/>
          <c:y val="0.24720902777777778"/>
          <c:w val="0.8262823232323232"/>
          <c:h val="0.5025111111111110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'DETAL WARZ WYKRES'!$B$60</c:f>
              <c:strCache>
                <c:ptCount val="1"/>
                <c:pt idx="0">
                  <c:v>12.07.2026 </c:v>
                </c:pt>
              </c:strCache>
            </c:strRef>
          </c:tx>
          <c:spPr>
            <a:solidFill>
              <a:schemeClr val="bg2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rgbClr val="996600"/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'DETAL WARZ WYKRES'!$A$61:$A$63</c:f>
              <c:strCache>
                <c:ptCount val="3"/>
                <c:pt idx="0">
                  <c:v>Marchew</c:v>
                </c:pt>
                <c:pt idx="1">
                  <c:v>Pomidory okrągłe</c:v>
                </c:pt>
                <c:pt idx="2">
                  <c:v>Ziemniaki</c:v>
                </c:pt>
              </c:strCache>
            </c:strRef>
          </c:cat>
          <c:val>
            <c:numRef>
              <c:f>'DETAL WARZ WYKRES'!$B$61:$B$63</c:f>
              <c:numCache>
                <c:formatCode>0.00</c:formatCode>
                <c:ptCount val="3"/>
                <c:pt idx="0">
                  <c:v>2.48</c:v>
                </c:pt>
                <c:pt idx="1">
                  <c:v>4.2069999999999999</c:v>
                </c:pt>
                <c:pt idx="2">
                  <c:v>1.2589999999999999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F7-40B0-9D09-2C5E52B758FA}"/>
            </c:ext>
          </c:extLst>
        </c:ser>
        <c:ser>
          <c:idx val="1"/>
          <c:order val="1"/>
          <c:tx>
            <c:strRef>
              <c:f>'DETAL WARZ WYKRES'!$C$60</c:f>
              <c:strCache>
                <c:ptCount val="1"/>
                <c:pt idx="0">
                  <c:v>05.07.2026</c:v>
                </c:pt>
              </c:strCache>
            </c:strRef>
          </c:tx>
          <c:spPr>
            <a:solidFill>
              <a:srgbClr val="FF99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accent6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'DETAL WARZ WYKRES'!$A$61:$A$63</c:f>
              <c:strCache>
                <c:ptCount val="3"/>
                <c:pt idx="0">
                  <c:v>Marchew</c:v>
                </c:pt>
                <c:pt idx="1">
                  <c:v>Pomidory okrągłe</c:v>
                </c:pt>
                <c:pt idx="2">
                  <c:v>Ziemniaki</c:v>
                </c:pt>
              </c:strCache>
            </c:strRef>
          </c:cat>
          <c:val>
            <c:numRef>
              <c:f>'DETAL WARZ WYKRES'!$C$61:$C$63</c:f>
              <c:numCache>
                <c:formatCode>0.00</c:formatCode>
                <c:ptCount val="3"/>
                <c:pt idx="0">
                  <c:v>2.56</c:v>
                </c:pt>
                <c:pt idx="1">
                  <c:v>3.86</c:v>
                </c:pt>
                <c:pt idx="2">
                  <c:v>1.43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BF7-40B0-9D09-2C5E52B758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43016896"/>
        <c:axId val="443015912"/>
      </c:barChart>
      <c:catAx>
        <c:axId val="443016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443015912"/>
        <c:crosses val="autoZero"/>
        <c:auto val="1"/>
        <c:lblAlgn val="ctr"/>
        <c:lblOffset val="100"/>
        <c:noMultiLvlLbl val="0"/>
      </c:catAx>
      <c:valAx>
        <c:axId val="443015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443016896"/>
        <c:crosses val="autoZero"/>
        <c:crossBetween val="between"/>
        <c:majorUnit val="4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9385012626262628"/>
          <c:y val="0.8851034722222223"/>
          <c:w val="0.22192083333333334"/>
          <c:h val="5.316041666666666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cid:image002.png@01D8FD9C.F41DAA60" TargetMode="Externa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3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SPIS!A1"/><Relationship Id="rId2" Type="http://schemas.openxmlformats.org/officeDocument/2006/relationships/image" Target="../media/image5.png"/><Relationship Id="rId1" Type="http://schemas.openxmlformats.org/officeDocument/2006/relationships/image" Target="../media/image4.png"/><Relationship Id="rId4" Type="http://schemas.openxmlformats.org/officeDocument/2006/relationships/image" Target="../media/image6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SPIS!A1"/><Relationship Id="rId2" Type="http://schemas.openxmlformats.org/officeDocument/2006/relationships/image" Target="../media/image5.png"/><Relationship Id="rId1" Type="http://schemas.openxmlformats.org/officeDocument/2006/relationships/image" Target="../media/image4.png"/><Relationship Id="rId4" Type="http://schemas.openxmlformats.org/officeDocument/2006/relationships/image" Target="../media/image6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#SPIS!A1"/><Relationship Id="rId2" Type="http://schemas.openxmlformats.org/officeDocument/2006/relationships/image" Target="../media/image5.png"/><Relationship Id="rId1" Type="http://schemas.openxmlformats.org/officeDocument/2006/relationships/image" Target="../media/image4.png"/><Relationship Id="rId4" Type="http://schemas.openxmlformats.org/officeDocument/2006/relationships/image" Target="../media/image6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hyperlink" Target="#SPIS!A1"/><Relationship Id="rId1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hyperlink" Target="#SPIS!A1"/><Relationship Id="rId1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hyperlink" Target="#SPIS!A1"/><Relationship Id="rId1" Type="http://schemas.openxmlformats.org/officeDocument/2006/relationships/image" Target="../media/image5.png"/><Relationship Id="rId5" Type="http://schemas.openxmlformats.org/officeDocument/2006/relationships/chart" Target="../charts/chart1.xml"/><Relationship Id="rId4" Type="http://schemas.openxmlformats.org/officeDocument/2006/relationships/image" Target="../media/image7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hyperlink" Target="#SPIS!A1"/><Relationship Id="rId2" Type="http://schemas.openxmlformats.org/officeDocument/2006/relationships/image" Target="../media/image5.png"/><Relationship Id="rId1" Type="http://schemas.openxmlformats.org/officeDocument/2006/relationships/chart" Target="../charts/chart2.xml"/><Relationship Id="rId4" Type="http://schemas.openxmlformats.org/officeDocument/2006/relationships/image" Target="../media/image6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hyperlink" Target="#SPIS!A1"/><Relationship Id="rId1" Type="http://schemas.openxmlformats.org/officeDocument/2006/relationships/image" Target="../media/image5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hyperlink" Target="#SPIS!A1"/><Relationship Id="rId1" Type="http://schemas.openxmlformats.org/officeDocument/2006/relationships/image" Target="../media/image5.pn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hyperlink" Target="#SPIS!A1"/><Relationship Id="rId1" Type="http://schemas.openxmlformats.org/officeDocument/2006/relationships/image" Target="../media/image5.pn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hyperlink" Target="#SPIS!A1"/><Relationship Id="rId1" Type="http://schemas.openxmlformats.org/officeDocument/2006/relationships/image" Target="../media/image5.png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hyperlink" Target="#SPIS!A1"/><Relationship Id="rId1" Type="http://schemas.openxmlformats.org/officeDocument/2006/relationships/image" Target="../media/image5.png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hyperlink" Target="#SPIS!A1"/><Relationship Id="rId2" Type="http://schemas.openxmlformats.org/officeDocument/2006/relationships/image" Target="../media/image5.png"/><Relationship Id="rId1" Type="http://schemas.openxmlformats.org/officeDocument/2006/relationships/image" Target="../media/image8.png"/><Relationship Id="rId4" Type="http://schemas.openxmlformats.org/officeDocument/2006/relationships/image" Target="../media/image6.png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hyperlink" Target="#SPIS!A1"/><Relationship Id="rId2" Type="http://schemas.openxmlformats.org/officeDocument/2006/relationships/image" Target="../media/image5.png"/><Relationship Id="rId1" Type="http://schemas.openxmlformats.org/officeDocument/2006/relationships/image" Target="../media/image8.png"/><Relationship Id="rId4" Type="http://schemas.openxmlformats.org/officeDocument/2006/relationships/image" Target="../media/image6.png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2" Type="http://schemas.openxmlformats.org/officeDocument/2006/relationships/hyperlink" Target="#SPIS!A1"/><Relationship Id="rId1" Type="http://schemas.openxmlformats.org/officeDocument/2006/relationships/image" Target="../media/image9.png"/><Relationship Id="rId4" Type="http://schemas.openxmlformats.org/officeDocument/2006/relationships/image" Target="../media/image11.png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2" Type="http://schemas.openxmlformats.org/officeDocument/2006/relationships/hyperlink" Target="#SPIS!A1"/><Relationship Id="rId1" Type="http://schemas.openxmlformats.org/officeDocument/2006/relationships/image" Target="../media/image9.png"/><Relationship Id="rId4" Type="http://schemas.openxmlformats.org/officeDocument/2006/relationships/image" Target="../media/image11.png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2" Type="http://schemas.openxmlformats.org/officeDocument/2006/relationships/hyperlink" Target="#SPIS!A1"/><Relationship Id="rId1" Type="http://schemas.openxmlformats.org/officeDocument/2006/relationships/image" Target="../media/image9.png"/><Relationship Id="rId4" Type="http://schemas.openxmlformats.org/officeDocument/2006/relationships/image" Target="../media/image11.png"/></Relationships>
</file>

<file path=xl/drawings/_rels/drawing20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hyperlink" Target="#SPIS!A1"/><Relationship Id="rId1" Type="http://schemas.openxmlformats.org/officeDocument/2006/relationships/image" Target="../media/image5.png"/></Relationships>
</file>

<file path=xl/drawings/_rels/drawing21.xml.rels><?xml version="1.0" encoding="UTF-8" standalone="yes"?>
<Relationships xmlns="http://schemas.openxmlformats.org/package/2006/relationships"><Relationship Id="rId3" Type="http://schemas.openxmlformats.org/officeDocument/2006/relationships/hyperlink" Target="#SPIS!A1"/><Relationship Id="rId2" Type="http://schemas.openxmlformats.org/officeDocument/2006/relationships/image" Target="../media/image5.png"/><Relationship Id="rId1" Type="http://schemas.openxmlformats.org/officeDocument/2006/relationships/image" Target="../media/image12.png"/><Relationship Id="rId4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388034</xdr:colOff>
      <xdr:row>15</xdr:row>
      <xdr:rowOff>160077</xdr:rowOff>
    </xdr:from>
    <xdr:to>
      <xdr:col>10</xdr:col>
      <xdr:colOff>704533</xdr:colOff>
      <xdr:row>18</xdr:row>
      <xdr:rowOff>17602</xdr:rowOff>
    </xdr:to>
    <xdr:sp macro="" textlink="">
      <xdr:nvSpPr>
        <xdr:cNvPr id="2" name="Schemat blokowy: dane 1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/>
      </xdr:nvSpPr>
      <xdr:spPr>
        <a:xfrm rot="12804145">
          <a:off x="3385234" y="5722677"/>
          <a:ext cx="4812299" cy="619525"/>
        </a:xfrm>
        <a:prstGeom prst="flowChartInputOutput">
          <a:avLst/>
        </a:prstGeom>
        <a:solidFill>
          <a:srgbClr val="8FB143">
            <a:alpha val="23922"/>
          </a:srgbClr>
        </a:solidFill>
        <a:ln w="12700" cap="flat" cmpd="sng" algn="ctr">
          <a:noFill/>
          <a:prstDash val="solid"/>
          <a:miter lim="800000"/>
        </a:ln>
        <a:effectLst/>
      </xdr:spPr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endParaRPr lang="pl-PL"/>
        </a:p>
      </xdr:txBody>
    </xdr:sp>
    <xdr:clientData/>
  </xdr:twoCellAnchor>
  <xdr:twoCellAnchor editAs="oneCell">
    <xdr:from>
      <xdr:col>1</xdr:col>
      <xdr:colOff>62534</xdr:colOff>
      <xdr:row>5</xdr:row>
      <xdr:rowOff>160681</xdr:rowOff>
    </xdr:from>
    <xdr:to>
      <xdr:col>2</xdr:col>
      <xdr:colOff>304800</xdr:colOff>
      <xdr:row>6</xdr:row>
      <xdr:rowOff>127732</xdr:rowOff>
    </xdr:to>
    <xdr:pic>
      <xdr:nvPicPr>
        <xdr:cNvPr id="3" name="Obraz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1834" y="1684681"/>
          <a:ext cx="991566" cy="221051"/>
        </a:xfrm>
        <a:prstGeom prst="rect">
          <a:avLst/>
        </a:prstGeom>
      </xdr:spPr>
    </xdr:pic>
    <xdr:clientData/>
  </xdr:twoCellAnchor>
  <xdr:twoCellAnchor>
    <xdr:from>
      <xdr:col>5</xdr:col>
      <xdr:colOff>279662</xdr:colOff>
      <xdr:row>20</xdr:row>
      <xdr:rowOff>133908</xdr:rowOff>
    </xdr:from>
    <xdr:to>
      <xdr:col>12</xdr:col>
      <xdr:colOff>349083</xdr:colOff>
      <xdr:row>23</xdr:row>
      <xdr:rowOff>85886</xdr:rowOff>
    </xdr:to>
    <xdr:sp macro="" textlink="">
      <xdr:nvSpPr>
        <xdr:cNvPr id="4" name="Schemat blokowy: dane 3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/>
      </xdr:nvSpPr>
      <xdr:spPr>
        <a:xfrm rot="12810779">
          <a:off x="4026162" y="6966508"/>
          <a:ext cx="5314521" cy="713978"/>
        </a:xfrm>
        <a:prstGeom prst="flowChartInputOutput">
          <a:avLst/>
        </a:prstGeom>
        <a:solidFill>
          <a:srgbClr val="70AD47">
            <a:lumMod val="60000"/>
            <a:lumOff val="40000"/>
            <a:alpha val="24000"/>
          </a:srgbClr>
        </a:solidFill>
        <a:ln w="12700" cap="flat" cmpd="sng" algn="ctr">
          <a:noFill/>
          <a:prstDash val="solid"/>
          <a:miter lim="800000"/>
        </a:ln>
        <a:effectLst/>
      </xdr:spPr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endParaRPr lang="pl-PL"/>
        </a:p>
      </xdr:txBody>
    </xdr:sp>
    <xdr:clientData/>
  </xdr:twoCellAnchor>
  <xdr:twoCellAnchor>
    <xdr:from>
      <xdr:col>0</xdr:col>
      <xdr:colOff>0</xdr:colOff>
      <xdr:row>16</xdr:row>
      <xdr:rowOff>133350</xdr:rowOff>
    </xdr:from>
    <xdr:to>
      <xdr:col>8</xdr:col>
      <xdr:colOff>123825</xdr:colOff>
      <xdr:row>16</xdr:row>
      <xdr:rowOff>133350</xdr:rowOff>
    </xdr:to>
    <xdr:cxnSp macro="">
      <xdr:nvCxnSpPr>
        <xdr:cNvPr id="5" name="Łącznik prosty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CxnSpPr/>
      </xdr:nvCxnSpPr>
      <xdr:spPr>
        <a:xfrm>
          <a:off x="0" y="5949950"/>
          <a:ext cx="6118225" cy="0"/>
        </a:xfrm>
        <a:prstGeom prst="line">
          <a:avLst/>
        </a:prstGeom>
        <a:ln w="38100">
          <a:solidFill>
            <a:srgbClr val="0066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21</xdr:row>
      <xdr:rowOff>203768</xdr:rowOff>
    </xdr:from>
    <xdr:to>
      <xdr:col>5</xdr:col>
      <xdr:colOff>666877</xdr:colOff>
      <xdr:row>24</xdr:row>
      <xdr:rowOff>34312</xdr:rowOff>
    </xdr:to>
    <xdr:sp macro="" textlink="">
      <xdr:nvSpPr>
        <xdr:cNvPr id="6" name="Schemat blokowy: dane 5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/>
      </xdr:nvSpPr>
      <xdr:spPr>
        <a:xfrm rot="12781388">
          <a:off x="0" y="7290368"/>
          <a:ext cx="4413377" cy="592544"/>
        </a:xfrm>
        <a:prstGeom prst="flowChartInputOutput">
          <a:avLst/>
        </a:prstGeom>
        <a:solidFill>
          <a:srgbClr val="70AD47">
            <a:lumMod val="60000"/>
            <a:lumOff val="40000"/>
            <a:alpha val="24000"/>
          </a:srgbClr>
        </a:solidFill>
        <a:ln w="12700" cap="flat" cmpd="sng" algn="ctr">
          <a:noFill/>
          <a:prstDash val="solid"/>
          <a:miter lim="800000"/>
        </a:ln>
        <a:effectLst/>
      </xdr:spPr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endParaRPr lang="pl-PL"/>
        </a:p>
      </xdr:txBody>
    </xdr:sp>
    <xdr:clientData/>
  </xdr:twoCellAnchor>
  <xdr:twoCellAnchor>
    <xdr:from>
      <xdr:col>5</xdr:col>
      <xdr:colOff>678224</xdr:colOff>
      <xdr:row>14</xdr:row>
      <xdr:rowOff>144824</xdr:rowOff>
    </xdr:from>
    <xdr:to>
      <xdr:col>6</xdr:col>
      <xdr:colOff>323849</xdr:colOff>
      <xdr:row>16</xdr:row>
      <xdr:rowOff>9524</xdr:rowOff>
    </xdr:to>
    <xdr:sp macro="" textlink="">
      <xdr:nvSpPr>
        <xdr:cNvPr id="7" name="Schemat blokowy: opóźnienie 6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4424724" y="5453424"/>
          <a:ext cx="394925" cy="372700"/>
        </a:xfrm>
        <a:prstGeom prst="flowChartDelay">
          <a:avLst/>
        </a:prstGeom>
        <a:solidFill>
          <a:srgbClr val="FF552D"/>
        </a:solidFill>
        <a:ln w="635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/>
          <a:endParaRPr lang="pl-PL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5</xdr:col>
      <xdr:colOff>390525</xdr:colOff>
      <xdr:row>14</xdr:row>
      <xdr:rowOff>142873</xdr:rowOff>
    </xdr:from>
    <xdr:to>
      <xdr:col>5</xdr:col>
      <xdr:colOff>704850</xdr:colOff>
      <xdr:row>16</xdr:row>
      <xdr:rowOff>7573</xdr:rowOff>
    </xdr:to>
    <xdr:sp macro="" textlink="">
      <xdr:nvSpPr>
        <xdr:cNvPr id="8" name="Prostokąt 7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/>
      </xdr:nvSpPr>
      <xdr:spPr>
        <a:xfrm>
          <a:off x="4137025" y="5451473"/>
          <a:ext cx="314325" cy="372700"/>
        </a:xfrm>
        <a:prstGeom prst="rect">
          <a:avLst/>
        </a:prstGeom>
        <a:solidFill>
          <a:srgbClr val="FF66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l-PL" sz="1100"/>
        </a:p>
      </xdr:txBody>
    </xdr:sp>
    <xdr:clientData/>
  </xdr:twoCellAnchor>
  <xdr:twoCellAnchor>
    <xdr:from>
      <xdr:col>1</xdr:col>
      <xdr:colOff>0</xdr:colOff>
      <xdr:row>0</xdr:row>
      <xdr:rowOff>171450</xdr:rowOff>
    </xdr:from>
    <xdr:to>
      <xdr:col>2</xdr:col>
      <xdr:colOff>552450</xdr:colOff>
      <xdr:row>1</xdr:row>
      <xdr:rowOff>165151</xdr:rowOff>
    </xdr:to>
    <xdr:pic>
      <xdr:nvPicPr>
        <xdr:cNvPr id="9" name="Obraz 2" descr="logo_stopka.pdf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r:link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9300" y="171450"/>
          <a:ext cx="1301750" cy="3112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632835</xdr:colOff>
      <xdr:row>14</xdr:row>
      <xdr:rowOff>243301</xdr:rowOff>
    </xdr:from>
    <xdr:to>
      <xdr:col>15</xdr:col>
      <xdr:colOff>86240</xdr:colOff>
      <xdr:row>17</xdr:row>
      <xdr:rowOff>238847</xdr:rowOff>
    </xdr:to>
    <xdr:sp macro="" textlink="">
      <xdr:nvSpPr>
        <xdr:cNvPr id="10" name="Schemat blokowy: dane 9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/>
      </xdr:nvSpPr>
      <xdr:spPr>
        <a:xfrm rot="12749519">
          <a:off x="5128635" y="5551901"/>
          <a:ext cx="6197105" cy="757546"/>
        </a:xfrm>
        <a:prstGeom prst="flowChartInputOutput">
          <a:avLst/>
        </a:prstGeom>
        <a:solidFill>
          <a:srgbClr val="70AD47">
            <a:lumMod val="60000"/>
            <a:lumOff val="40000"/>
            <a:alpha val="24000"/>
          </a:srgbClr>
        </a:solidFill>
        <a:ln w="12700" cap="flat" cmpd="sng" algn="ctr">
          <a:noFill/>
          <a:prstDash val="solid"/>
          <a:miter lim="800000"/>
        </a:ln>
        <a:effectLst/>
      </xdr:spPr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pl-PL" sz="18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</a:endParaRPr>
        </a:p>
      </xdr:txBody>
    </xdr:sp>
    <xdr:clientData/>
  </xdr:twoCellAnchor>
  <xdr:twoCellAnchor>
    <xdr:from>
      <xdr:col>8</xdr:col>
      <xdr:colOff>125672</xdr:colOff>
      <xdr:row>17</xdr:row>
      <xdr:rowOff>226277</xdr:rowOff>
    </xdr:from>
    <xdr:to>
      <xdr:col>14</xdr:col>
      <xdr:colOff>396875</xdr:colOff>
      <xdr:row>20</xdr:row>
      <xdr:rowOff>72418</xdr:rowOff>
    </xdr:to>
    <xdr:sp macro="" textlink="">
      <xdr:nvSpPr>
        <xdr:cNvPr id="11" name="Schemat blokowy: dane 10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/>
      </xdr:nvSpPr>
      <xdr:spPr>
        <a:xfrm rot="12781081">
          <a:off x="6120072" y="6296877"/>
          <a:ext cx="4767003" cy="608141"/>
        </a:xfrm>
        <a:prstGeom prst="flowChartInputOutput">
          <a:avLst/>
        </a:prstGeom>
        <a:solidFill>
          <a:srgbClr val="70AD47">
            <a:lumMod val="75000"/>
            <a:alpha val="24000"/>
          </a:srgbClr>
        </a:solidFill>
        <a:ln w="12700" cap="flat" cmpd="sng" algn="ctr">
          <a:noFill/>
          <a:prstDash val="solid"/>
          <a:miter lim="800000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endParaRPr lang="pl-PL"/>
        </a:p>
      </xdr:txBody>
    </xdr:sp>
    <xdr:clientData/>
  </xdr:twoCellAnchor>
  <xdr:twoCellAnchor>
    <xdr:from>
      <xdr:col>3</xdr:col>
      <xdr:colOff>646802</xdr:colOff>
      <xdr:row>22</xdr:row>
      <xdr:rowOff>85449</xdr:rowOff>
    </xdr:from>
    <xdr:to>
      <xdr:col>10</xdr:col>
      <xdr:colOff>445451</xdr:colOff>
      <xdr:row>24</xdr:row>
      <xdr:rowOff>230961</xdr:rowOff>
    </xdr:to>
    <xdr:sp macro="" textlink="">
      <xdr:nvSpPr>
        <xdr:cNvPr id="12" name="Schemat blokowy: dane 11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/>
      </xdr:nvSpPr>
      <xdr:spPr>
        <a:xfrm rot="12804145">
          <a:off x="2894702" y="7426049"/>
          <a:ext cx="5043749" cy="653512"/>
        </a:xfrm>
        <a:prstGeom prst="flowChartInputOutput">
          <a:avLst/>
        </a:prstGeom>
        <a:solidFill>
          <a:srgbClr val="8FB143">
            <a:alpha val="23922"/>
          </a:srgbClr>
        </a:solidFill>
        <a:ln w="12700" cap="flat" cmpd="sng" algn="ctr">
          <a:noFill/>
          <a:prstDash val="solid"/>
          <a:miter lim="800000"/>
        </a:ln>
        <a:effectLst/>
      </xdr:spPr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endParaRPr lang="pl-PL"/>
        </a:p>
      </xdr:txBody>
    </xdr:sp>
    <xdr:clientData/>
  </xdr:twoCellAnchor>
  <xdr:twoCellAnchor>
    <xdr:from>
      <xdr:col>0</xdr:col>
      <xdr:colOff>0</xdr:colOff>
      <xdr:row>14</xdr:row>
      <xdr:rowOff>142875</xdr:rowOff>
    </xdr:from>
    <xdr:to>
      <xdr:col>5</xdr:col>
      <xdr:colOff>388125</xdr:colOff>
      <xdr:row>16</xdr:row>
      <xdr:rowOff>7575</xdr:rowOff>
    </xdr:to>
    <xdr:sp macro="" textlink="">
      <xdr:nvSpPr>
        <xdr:cNvPr id="13" name="pole tekstow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0" y="5451475"/>
          <a:ext cx="4134625" cy="372700"/>
        </a:xfrm>
        <a:prstGeom prst="rect">
          <a:avLst/>
        </a:prstGeom>
        <a:solidFill>
          <a:srgbClr val="328228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pl-PL" sz="1400" b="1">
              <a:solidFill>
                <a:schemeClr val="bg1"/>
              </a:solidFill>
              <a:latin typeface="+mn-lt"/>
            </a:rPr>
            <a:t>  </a:t>
          </a:r>
          <a:r>
            <a:rPr lang="pl-PL" sz="1400" b="1" baseline="0">
              <a:solidFill>
                <a:schemeClr val="bg1"/>
              </a:solidFill>
              <a:latin typeface="+mn-lt"/>
            </a:rPr>
            <a:t>              </a:t>
          </a:r>
          <a:r>
            <a:rPr lang="pl-PL" sz="1400" b="1">
              <a:solidFill>
                <a:schemeClr val="bg1"/>
              </a:solidFill>
              <a:latin typeface="+mn-lt"/>
            </a:rPr>
            <a:t>Notowania za okres: 17</a:t>
          </a:r>
          <a:r>
            <a:rPr lang="pl-PL" sz="1400" b="1" baseline="0">
              <a:solidFill>
                <a:schemeClr val="bg1"/>
              </a:solidFill>
              <a:latin typeface="+mn-lt"/>
            </a:rPr>
            <a:t> </a:t>
          </a:r>
          <a:r>
            <a:rPr lang="pl-PL" sz="1400" b="1">
              <a:solidFill>
                <a:schemeClr val="bg1"/>
              </a:solidFill>
              <a:latin typeface="+mn-lt"/>
            </a:rPr>
            <a:t>- 23.08.2026 r.</a:t>
          </a:r>
        </a:p>
      </xdr:txBody>
    </xdr:sp>
    <xdr:clientData/>
  </xdr:twoCellAnchor>
  <xdr:twoCellAnchor>
    <xdr:from>
      <xdr:col>5</xdr:col>
      <xdr:colOff>390525</xdr:colOff>
      <xdr:row>14</xdr:row>
      <xdr:rowOff>142874</xdr:rowOff>
    </xdr:from>
    <xdr:to>
      <xdr:col>6</xdr:col>
      <xdr:colOff>57150</xdr:colOff>
      <xdr:row>16</xdr:row>
      <xdr:rowOff>7574</xdr:rowOff>
    </xdr:to>
    <xdr:sp macro="" textlink="">
      <xdr:nvSpPr>
        <xdr:cNvPr id="14" name="Schemat blokowy: opóźnienie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3962400" y="5391149"/>
          <a:ext cx="381000" cy="360000"/>
        </a:xfrm>
        <a:prstGeom prst="flowChartDelay">
          <a:avLst/>
        </a:prstGeom>
        <a:solidFill>
          <a:srgbClr val="328228"/>
        </a:solidFill>
        <a:ln w="635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endParaRPr lang="pl-PL"/>
        </a:p>
      </xdr:txBody>
    </xdr:sp>
    <xdr:clientData/>
  </xdr:twoCellAnchor>
  <xdr:twoCellAnchor>
    <xdr:from>
      <xdr:col>10</xdr:col>
      <xdr:colOff>644931</xdr:colOff>
      <xdr:row>14</xdr:row>
      <xdr:rowOff>70709</xdr:rowOff>
    </xdr:from>
    <xdr:to>
      <xdr:col>15</xdr:col>
      <xdr:colOff>640935</xdr:colOff>
      <xdr:row>16</xdr:row>
      <xdr:rowOff>53107</xdr:rowOff>
    </xdr:to>
    <xdr:sp macro="" textlink="">
      <xdr:nvSpPr>
        <xdr:cNvPr id="15" name="Schemat blokowy: dane 14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 rot="12810779">
          <a:off x="8137931" y="5379309"/>
          <a:ext cx="3742504" cy="490398"/>
        </a:xfrm>
        <a:prstGeom prst="flowChartInputOutput">
          <a:avLst/>
        </a:prstGeom>
        <a:solidFill>
          <a:srgbClr val="EFF7E1">
            <a:alpha val="53000"/>
          </a:srgbClr>
        </a:solidFill>
        <a:ln w="12700" cap="flat" cmpd="sng" algn="ctr">
          <a:noFill/>
          <a:prstDash val="solid"/>
          <a:miter lim="800000"/>
        </a:ln>
        <a:effectLst/>
      </xdr:spPr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endParaRPr lang="pl-PL">
            <a:solidFill>
              <a:srgbClr val="99FFCC"/>
            </a:solidFill>
          </a:endParaRPr>
        </a:p>
      </xdr:txBody>
    </xdr:sp>
    <xdr:clientData/>
  </xdr:twoCellAnchor>
  <xdr:twoCellAnchor>
    <xdr:from>
      <xdr:col>0</xdr:col>
      <xdr:colOff>9525</xdr:colOff>
      <xdr:row>17</xdr:row>
      <xdr:rowOff>9525</xdr:rowOff>
    </xdr:from>
    <xdr:to>
      <xdr:col>12</xdr:col>
      <xdr:colOff>581025</xdr:colOff>
      <xdr:row>17</xdr:row>
      <xdr:rowOff>28575</xdr:rowOff>
    </xdr:to>
    <xdr:cxnSp macro="">
      <xdr:nvCxnSpPr>
        <xdr:cNvPr id="16" name="Łącznik prosty 15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CxnSpPr/>
      </xdr:nvCxnSpPr>
      <xdr:spPr>
        <a:xfrm flipV="1">
          <a:off x="9525" y="6080125"/>
          <a:ext cx="9563100" cy="19050"/>
        </a:xfrm>
        <a:prstGeom prst="line">
          <a:avLst/>
        </a:prstGeom>
        <a:ln w="34925">
          <a:solidFill>
            <a:srgbClr val="99CC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361950</xdr:colOff>
      <xdr:row>18</xdr:row>
      <xdr:rowOff>57150</xdr:rowOff>
    </xdr:from>
    <xdr:to>
      <xdr:col>2</xdr:col>
      <xdr:colOff>636294</xdr:colOff>
      <xdr:row>19</xdr:row>
      <xdr:rowOff>83844</xdr:rowOff>
    </xdr:to>
    <xdr:pic>
      <xdr:nvPicPr>
        <xdr:cNvPr id="17" name="Obraz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860550" y="6381750"/>
          <a:ext cx="274344" cy="280694"/>
        </a:xfrm>
        <a:prstGeom prst="rect">
          <a:avLst/>
        </a:prstGeom>
      </xdr:spPr>
    </xdr:pic>
    <xdr:clientData/>
  </xdr:twoCellAnchor>
  <xdr:twoCellAnchor>
    <xdr:from>
      <xdr:col>0</xdr:col>
      <xdr:colOff>209550</xdr:colOff>
      <xdr:row>19</xdr:row>
      <xdr:rowOff>142875</xdr:rowOff>
    </xdr:from>
    <xdr:to>
      <xdr:col>6</xdr:col>
      <xdr:colOff>480753</xdr:colOff>
      <xdr:row>21</xdr:row>
      <xdr:rowOff>236666</xdr:rowOff>
    </xdr:to>
    <xdr:sp macro="" textlink="">
      <xdr:nvSpPr>
        <xdr:cNvPr id="18" name="Schemat blokowy: dane 17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/>
      </xdr:nvSpPr>
      <xdr:spPr>
        <a:xfrm rot="12781081">
          <a:off x="209550" y="6721475"/>
          <a:ext cx="4767003" cy="601791"/>
        </a:xfrm>
        <a:prstGeom prst="flowChartInputOutput">
          <a:avLst/>
        </a:prstGeom>
        <a:solidFill>
          <a:srgbClr val="70AD47">
            <a:lumMod val="75000"/>
            <a:alpha val="24000"/>
          </a:srgbClr>
        </a:solidFill>
        <a:ln w="12700" cap="flat" cmpd="sng" algn="ctr">
          <a:noFill/>
          <a:prstDash val="solid"/>
          <a:miter lim="800000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endParaRPr lang="pl-PL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590550</xdr:colOff>
      <xdr:row>0</xdr:row>
      <xdr:rowOff>28575</xdr:rowOff>
    </xdr:from>
    <xdr:to>
      <xdr:col>14</xdr:col>
      <xdr:colOff>638240</xdr:colOff>
      <xdr:row>0</xdr:row>
      <xdr:rowOff>199278</xdr:rowOff>
    </xdr:to>
    <xdr:pic>
      <xdr:nvPicPr>
        <xdr:cNvPr id="3" name="Obraz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553700" y="28575"/>
          <a:ext cx="762066" cy="170703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0</xdr:col>
      <xdr:colOff>713294</xdr:colOff>
      <xdr:row>3</xdr:row>
      <xdr:rowOff>157317</xdr:rowOff>
    </xdr:to>
    <xdr:grpSp>
      <xdr:nvGrpSpPr>
        <xdr:cNvPr id="10" name="Grupa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GrpSpPr/>
      </xdr:nvGrpSpPr>
      <xdr:grpSpPr>
        <a:xfrm>
          <a:off x="0" y="0"/>
          <a:ext cx="713294" cy="1109817"/>
          <a:chOff x="0" y="0"/>
          <a:chExt cx="713294" cy="1100292"/>
        </a:xfrm>
      </xdr:grpSpPr>
      <xdr:pic>
        <xdr:nvPicPr>
          <xdr:cNvPr id="11" name="Obraz 10">
            <a:extLst>
              <a:ext uri="{FF2B5EF4-FFF2-40B4-BE49-F238E27FC236}">
                <a16:creationId xmlns:a16="http://schemas.microsoft.com/office/drawing/2014/main" id="{00000000-0008-0000-0200-00001B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0" y="0"/>
            <a:ext cx="713294" cy="524301"/>
          </a:xfrm>
          <a:prstGeom prst="rect">
            <a:avLst/>
          </a:prstGeom>
        </xdr:spPr>
      </xdr:pic>
      <xdr:pic>
        <xdr:nvPicPr>
          <xdr:cNvPr id="12" name="Obraz 11">
            <a:hlinkClick xmlns:r="http://schemas.openxmlformats.org/officeDocument/2006/relationships" r:id="rId3"/>
            <a:extLst>
              <a:ext uri="{FF2B5EF4-FFF2-40B4-BE49-F238E27FC236}">
                <a16:creationId xmlns:a16="http://schemas.microsoft.com/office/drawing/2014/main" id="{00000000-0008-0000-0200-00001C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200025" y="400050"/>
            <a:ext cx="317019" cy="341406"/>
          </a:xfrm>
          <a:prstGeom prst="rect">
            <a:avLst/>
          </a:prstGeom>
        </xdr:spPr>
      </xdr:pic>
      <xdr:grpSp>
        <xdr:nvGrpSpPr>
          <xdr:cNvPr id="13" name="Grupa 12">
            <a:extLst>
              <a:ext uri="{FF2B5EF4-FFF2-40B4-BE49-F238E27FC236}">
                <a16:creationId xmlns:a16="http://schemas.microsoft.com/office/drawing/2014/main" id="{00000000-0008-0000-0200-00000D000000}"/>
              </a:ext>
            </a:extLst>
          </xdr:cNvPr>
          <xdr:cNvGrpSpPr/>
        </xdr:nvGrpSpPr>
        <xdr:grpSpPr>
          <a:xfrm>
            <a:off x="0" y="800100"/>
            <a:ext cx="671173" cy="300192"/>
            <a:chOff x="0" y="794069"/>
            <a:chExt cx="671173" cy="302016"/>
          </a:xfrm>
        </xdr:grpSpPr>
        <xdr:sp macro="" textlink="">
          <xdr:nvSpPr>
            <xdr:cNvPr id="14" name="pole tekstowe 13">
              <a:extLst>
                <a:ext uri="{FF2B5EF4-FFF2-40B4-BE49-F238E27FC236}">
                  <a16:creationId xmlns:a16="http://schemas.microsoft.com/office/drawing/2014/main" id="{00000000-0008-0000-1400-000004000000}"/>
                </a:ext>
              </a:extLst>
            </xdr:cNvPr>
            <xdr:cNvSpPr txBox="1"/>
          </xdr:nvSpPr>
          <xdr:spPr>
            <a:xfrm>
              <a:off x="0" y="794223"/>
              <a:ext cx="397669" cy="301861"/>
            </a:xfrm>
            <a:prstGeom prst="rect">
              <a:avLst/>
            </a:prstGeom>
            <a:solidFill>
              <a:srgbClr val="FF552D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endParaRPr lang="pl-PL" sz="1100"/>
            </a:p>
          </xdr:txBody>
        </xdr:sp>
        <xdr:sp macro="" textlink="">
          <xdr:nvSpPr>
            <xdr:cNvPr id="15" name="Schemat blokowy: opóźnienie 14">
              <a:extLst>
                <a:ext uri="{FF2B5EF4-FFF2-40B4-BE49-F238E27FC236}">
                  <a16:creationId xmlns:a16="http://schemas.microsoft.com/office/drawing/2014/main" id="{C34A0F63-3541-42FC-892D-EC9C236DB99B}"/>
                </a:ext>
              </a:extLst>
            </xdr:cNvPr>
            <xdr:cNvSpPr/>
          </xdr:nvSpPr>
          <xdr:spPr>
            <a:xfrm>
              <a:off x="362302" y="794069"/>
              <a:ext cx="308871" cy="302016"/>
            </a:xfrm>
            <a:prstGeom prst="flowChartDelay">
              <a:avLst/>
            </a:prstGeom>
            <a:solidFill>
              <a:srgbClr val="FF552D"/>
            </a:solidFill>
            <a:ln w="63500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/>
            <a:p>
              <a:endParaRPr lang="pl-PL"/>
            </a:p>
          </xdr:txBody>
        </xdr:sp>
      </xdr:grp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628650</xdr:colOff>
      <xdr:row>0</xdr:row>
      <xdr:rowOff>30256</xdr:rowOff>
    </xdr:from>
    <xdr:to>
      <xdr:col>13</xdr:col>
      <xdr:colOff>674435</xdr:colOff>
      <xdr:row>0</xdr:row>
      <xdr:rowOff>204769</xdr:rowOff>
    </xdr:to>
    <xdr:pic>
      <xdr:nvPicPr>
        <xdr:cNvPr id="2" name="Obraz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201275" y="30256"/>
          <a:ext cx="760160" cy="174513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0</xdr:col>
      <xdr:colOff>713294</xdr:colOff>
      <xdr:row>3</xdr:row>
      <xdr:rowOff>157317</xdr:rowOff>
    </xdr:to>
    <xdr:grpSp>
      <xdr:nvGrpSpPr>
        <xdr:cNvPr id="3" name="Grupa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pSpPr/>
      </xdr:nvGrpSpPr>
      <xdr:grpSpPr>
        <a:xfrm>
          <a:off x="0" y="0"/>
          <a:ext cx="713294" cy="1109817"/>
          <a:chOff x="0" y="0"/>
          <a:chExt cx="713294" cy="1100292"/>
        </a:xfrm>
      </xdr:grpSpPr>
      <xdr:pic>
        <xdr:nvPicPr>
          <xdr:cNvPr id="4" name="Obraz 3">
            <a:extLst>
              <a:ext uri="{FF2B5EF4-FFF2-40B4-BE49-F238E27FC236}">
                <a16:creationId xmlns:a16="http://schemas.microsoft.com/office/drawing/2014/main" id="{00000000-0008-0000-0200-00001B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0" y="0"/>
            <a:ext cx="713294" cy="524301"/>
          </a:xfrm>
          <a:prstGeom prst="rect">
            <a:avLst/>
          </a:prstGeom>
        </xdr:spPr>
      </xdr:pic>
      <xdr:pic>
        <xdr:nvPicPr>
          <xdr:cNvPr id="5" name="Obraz 4">
            <a:hlinkClick xmlns:r="http://schemas.openxmlformats.org/officeDocument/2006/relationships" r:id="rId3"/>
            <a:extLst>
              <a:ext uri="{FF2B5EF4-FFF2-40B4-BE49-F238E27FC236}">
                <a16:creationId xmlns:a16="http://schemas.microsoft.com/office/drawing/2014/main" id="{00000000-0008-0000-0200-00001C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200025" y="400050"/>
            <a:ext cx="317019" cy="341406"/>
          </a:xfrm>
          <a:prstGeom prst="rect">
            <a:avLst/>
          </a:prstGeom>
        </xdr:spPr>
      </xdr:pic>
      <xdr:grpSp>
        <xdr:nvGrpSpPr>
          <xdr:cNvPr id="6" name="Grupa 5">
            <a:extLst>
              <a:ext uri="{FF2B5EF4-FFF2-40B4-BE49-F238E27FC236}">
                <a16:creationId xmlns:a16="http://schemas.microsoft.com/office/drawing/2014/main" id="{00000000-0008-0000-0300-000006000000}"/>
              </a:ext>
            </a:extLst>
          </xdr:cNvPr>
          <xdr:cNvGrpSpPr/>
        </xdr:nvGrpSpPr>
        <xdr:grpSpPr>
          <a:xfrm>
            <a:off x="0" y="800100"/>
            <a:ext cx="671173" cy="300192"/>
            <a:chOff x="0" y="794069"/>
            <a:chExt cx="671173" cy="302016"/>
          </a:xfrm>
        </xdr:grpSpPr>
        <xdr:sp macro="" textlink="">
          <xdr:nvSpPr>
            <xdr:cNvPr id="7" name="pole tekstowe 6">
              <a:extLst>
                <a:ext uri="{FF2B5EF4-FFF2-40B4-BE49-F238E27FC236}">
                  <a16:creationId xmlns:a16="http://schemas.microsoft.com/office/drawing/2014/main" id="{00000000-0008-0000-1400-000004000000}"/>
                </a:ext>
              </a:extLst>
            </xdr:cNvPr>
            <xdr:cNvSpPr txBox="1"/>
          </xdr:nvSpPr>
          <xdr:spPr>
            <a:xfrm>
              <a:off x="0" y="794223"/>
              <a:ext cx="397669" cy="301861"/>
            </a:xfrm>
            <a:prstGeom prst="rect">
              <a:avLst/>
            </a:prstGeom>
            <a:solidFill>
              <a:srgbClr val="FF552D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endParaRPr lang="pl-PL" sz="1100"/>
            </a:p>
          </xdr:txBody>
        </xdr:sp>
        <xdr:sp macro="" textlink="">
          <xdr:nvSpPr>
            <xdr:cNvPr id="8" name="Schemat blokowy: opóźnienie 7">
              <a:extLst>
                <a:ext uri="{FF2B5EF4-FFF2-40B4-BE49-F238E27FC236}">
                  <a16:creationId xmlns:a16="http://schemas.microsoft.com/office/drawing/2014/main" id="{C34A0F63-3541-42FC-892D-EC9C236DB99B}"/>
                </a:ext>
              </a:extLst>
            </xdr:cNvPr>
            <xdr:cNvSpPr/>
          </xdr:nvSpPr>
          <xdr:spPr>
            <a:xfrm>
              <a:off x="362302" y="794069"/>
              <a:ext cx="308871" cy="302016"/>
            </a:xfrm>
            <a:prstGeom prst="flowChartDelay">
              <a:avLst/>
            </a:prstGeom>
            <a:solidFill>
              <a:srgbClr val="FF552D"/>
            </a:solidFill>
            <a:ln w="63500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/>
            <a:p>
              <a:endParaRPr lang="pl-PL"/>
            </a:p>
          </xdr:txBody>
        </xdr:sp>
      </xdr:grpSp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653864</xdr:colOff>
      <xdr:row>0</xdr:row>
      <xdr:rowOff>14568</xdr:rowOff>
    </xdr:from>
    <xdr:to>
      <xdr:col>13</xdr:col>
      <xdr:colOff>705364</xdr:colOff>
      <xdr:row>0</xdr:row>
      <xdr:rowOff>183366</xdr:rowOff>
    </xdr:to>
    <xdr:pic>
      <xdr:nvPicPr>
        <xdr:cNvPr id="2" name="Obraz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826564" y="14568"/>
          <a:ext cx="765875" cy="168798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0</xdr:col>
      <xdr:colOff>713294</xdr:colOff>
      <xdr:row>3</xdr:row>
      <xdr:rowOff>157317</xdr:rowOff>
    </xdr:to>
    <xdr:grpSp>
      <xdr:nvGrpSpPr>
        <xdr:cNvPr id="3" name="Grupa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pSpPr/>
      </xdr:nvGrpSpPr>
      <xdr:grpSpPr>
        <a:xfrm>
          <a:off x="0" y="0"/>
          <a:ext cx="713294" cy="1103467"/>
          <a:chOff x="0" y="0"/>
          <a:chExt cx="713294" cy="1100292"/>
        </a:xfrm>
      </xdr:grpSpPr>
      <xdr:pic>
        <xdr:nvPicPr>
          <xdr:cNvPr id="4" name="Obraz 3">
            <a:extLst>
              <a:ext uri="{FF2B5EF4-FFF2-40B4-BE49-F238E27FC236}">
                <a16:creationId xmlns:a16="http://schemas.microsoft.com/office/drawing/2014/main" id="{00000000-0008-0000-0200-00001B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0" y="0"/>
            <a:ext cx="713294" cy="524301"/>
          </a:xfrm>
          <a:prstGeom prst="rect">
            <a:avLst/>
          </a:prstGeom>
        </xdr:spPr>
      </xdr:pic>
      <xdr:pic>
        <xdr:nvPicPr>
          <xdr:cNvPr id="5" name="Obraz 4">
            <a:hlinkClick xmlns:r="http://schemas.openxmlformats.org/officeDocument/2006/relationships" r:id="rId3"/>
            <a:extLst>
              <a:ext uri="{FF2B5EF4-FFF2-40B4-BE49-F238E27FC236}">
                <a16:creationId xmlns:a16="http://schemas.microsoft.com/office/drawing/2014/main" id="{00000000-0008-0000-0200-00001C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200025" y="400050"/>
            <a:ext cx="317019" cy="341406"/>
          </a:xfrm>
          <a:prstGeom prst="rect">
            <a:avLst/>
          </a:prstGeom>
        </xdr:spPr>
      </xdr:pic>
      <xdr:grpSp>
        <xdr:nvGrpSpPr>
          <xdr:cNvPr id="6" name="Grupa 5">
            <a:extLst>
              <a:ext uri="{FF2B5EF4-FFF2-40B4-BE49-F238E27FC236}">
                <a16:creationId xmlns:a16="http://schemas.microsoft.com/office/drawing/2014/main" id="{00000000-0008-0000-0400-000006000000}"/>
              </a:ext>
            </a:extLst>
          </xdr:cNvPr>
          <xdr:cNvGrpSpPr/>
        </xdr:nvGrpSpPr>
        <xdr:grpSpPr>
          <a:xfrm>
            <a:off x="0" y="800100"/>
            <a:ext cx="671173" cy="300192"/>
            <a:chOff x="0" y="794069"/>
            <a:chExt cx="671173" cy="302016"/>
          </a:xfrm>
        </xdr:grpSpPr>
        <xdr:sp macro="" textlink="">
          <xdr:nvSpPr>
            <xdr:cNvPr id="7" name="pole tekstowe 6">
              <a:extLst>
                <a:ext uri="{FF2B5EF4-FFF2-40B4-BE49-F238E27FC236}">
                  <a16:creationId xmlns:a16="http://schemas.microsoft.com/office/drawing/2014/main" id="{00000000-0008-0000-1400-000004000000}"/>
                </a:ext>
              </a:extLst>
            </xdr:cNvPr>
            <xdr:cNvSpPr txBox="1"/>
          </xdr:nvSpPr>
          <xdr:spPr>
            <a:xfrm>
              <a:off x="0" y="794223"/>
              <a:ext cx="397669" cy="301861"/>
            </a:xfrm>
            <a:prstGeom prst="rect">
              <a:avLst/>
            </a:prstGeom>
            <a:solidFill>
              <a:srgbClr val="FF552D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endParaRPr lang="pl-PL" sz="1100"/>
            </a:p>
          </xdr:txBody>
        </xdr:sp>
        <xdr:sp macro="" textlink="">
          <xdr:nvSpPr>
            <xdr:cNvPr id="8" name="Schemat blokowy: opóźnienie 7">
              <a:extLst>
                <a:ext uri="{FF2B5EF4-FFF2-40B4-BE49-F238E27FC236}">
                  <a16:creationId xmlns:a16="http://schemas.microsoft.com/office/drawing/2014/main" id="{C34A0F63-3541-42FC-892D-EC9C236DB99B}"/>
                </a:ext>
              </a:extLst>
            </xdr:cNvPr>
            <xdr:cNvSpPr/>
          </xdr:nvSpPr>
          <xdr:spPr>
            <a:xfrm>
              <a:off x="362302" y="794069"/>
              <a:ext cx="308871" cy="302016"/>
            </a:xfrm>
            <a:prstGeom prst="flowChartDelay">
              <a:avLst/>
            </a:prstGeom>
            <a:solidFill>
              <a:srgbClr val="FF552D"/>
            </a:solidFill>
            <a:ln w="63500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/>
            <a:p>
              <a:endParaRPr lang="pl-PL"/>
            </a:p>
          </xdr:txBody>
        </xdr:sp>
      </xdr:grpSp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713294</xdr:colOff>
      <xdr:row>3</xdr:row>
      <xdr:rowOff>157317</xdr:rowOff>
    </xdr:to>
    <xdr:grpSp>
      <xdr:nvGrpSpPr>
        <xdr:cNvPr id="2" name="Grupa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pSpPr/>
      </xdr:nvGrpSpPr>
      <xdr:grpSpPr>
        <a:xfrm>
          <a:off x="0" y="0"/>
          <a:ext cx="713294" cy="1109817"/>
          <a:chOff x="0" y="0"/>
          <a:chExt cx="713294" cy="1100292"/>
        </a:xfrm>
      </xdr:grpSpPr>
      <xdr:pic>
        <xdr:nvPicPr>
          <xdr:cNvPr id="3" name="Obraz 2">
            <a:extLst>
              <a:ext uri="{FF2B5EF4-FFF2-40B4-BE49-F238E27FC236}">
                <a16:creationId xmlns:a16="http://schemas.microsoft.com/office/drawing/2014/main" id="{00000000-0008-0000-0200-00001B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0" y="0"/>
            <a:ext cx="713294" cy="524301"/>
          </a:xfrm>
          <a:prstGeom prst="rect">
            <a:avLst/>
          </a:prstGeom>
        </xdr:spPr>
      </xdr:pic>
      <xdr:pic>
        <xdr:nvPicPr>
          <xdr:cNvPr id="4" name="Obraz 3">
            <a:hlinkClick xmlns:r="http://schemas.openxmlformats.org/officeDocument/2006/relationships" r:id="rId2"/>
            <a:extLst>
              <a:ext uri="{FF2B5EF4-FFF2-40B4-BE49-F238E27FC236}">
                <a16:creationId xmlns:a16="http://schemas.microsoft.com/office/drawing/2014/main" id="{00000000-0008-0000-0200-00001C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200025" y="400050"/>
            <a:ext cx="317019" cy="341406"/>
          </a:xfrm>
          <a:prstGeom prst="rect">
            <a:avLst/>
          </a:prstGeom>
        </xdr:spPr>
      </xdr:pic>
      <xdr:grpSp>
        <xdr:nvGrpSpPr>
          <xdr:cNvPr id="5" name="Grupa 4">
            <a:extLst>
              <a:ext uri="{FF2B5EF4-FFF2-40B4-BE49-F238E27FC236}">
                <a16:creationId xmlns:a16="http://schemas.microsoft.com/office/drawing/2014/main" id="{00000000-0008-0000-0500-000005000000}"/>
              </a:ext>
            </a:extLst>
          </xdr:cNvPr>
          <xdr:cNvGrpSpPr/>
        </xdr:nvGrpSpPr>
        <xdr:grpSpPr>
          <a:xfrm>
            <a:off x="0" y="800100"/>
            <a:ext cx="671173" cy="300192"/>
            <a:chOff x="0" y="794069"/>
            <a:chExt cx="671173" cy="302016"/>
          </a:xfrm>
        </xdr:grpSpPr>
        <xdr:sp macro="" textlink="">
          <xdr:nvSpPr>
            <xdr:cNvPr id="6" name="pole tekstowe 5">
              <a:extLst>
                <a:ext uri="{FF2B5EF4-FFF2-40B4-BE49-F238E27FC236}">
                  <a16:creationId xmlns:a16="http://schemas.microsoft.com/office/drawing/2014/main" id="{00000000-0008-0000-1400-000004000000}"/>
                </a:ext>
              </a:extLst>
            </xdr:cNvPr>
            <xdr:cNvSpPr txBox="1"/>
          </xdr:nvSpPr>
          <xdr:spPr>
            <a:xfrm>
              <a:off x="0" y="794223"/>
              <a:ext cx="397669" cy="301861"/>
            </a:xfrm>
            <a:prstGeom prst="rect">
              <a:avLst/>
            </a:prstGeom>
            <a:solidFill>
              <a:srgbClr val="FF552D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endParaRPr lang="pl-PL" sz="1100"/>
            </a:p>
          </xdr:txBody>
        </xdr:sp>
        <xdr:sp macro="" textlink="">
          <xdr:nvSpPr>
            <xdr:cNvPr id="7" name="Schemat blokowy: opóźnienie 6">
              <a:extLst>
                <a:ext uri="{FF2B5EF4-FFF2-40B4-BE49-F238E27FC236}">
                  <a16:creationId xmlns:a16="http://schemas.microsoft.com/office/drawing/2014/main" id="{C34A0F63-3541-42FC-892D-EC9C236DB99B}"/>
                </a:ext>
              </a:extLst>
            </xdr:cNvPr>
            <xdr:cNvSpPr/>
          </xdr:nvSpPr>
          <xdr:spPr>
            <a:xfrm>
              <a:off x="362302" y="794069"/>
              <a:ext cx="308871" cy="302016"/>
            </a:xfrm>
            <a:prstGeom prst="flowChartDelay">
              <a:avLst/>
            </a:prstGeom>
            <a:solidFill>
              <a:srgbClr val="FF552D"/>
            </a:solidFill>
            <a:ln w="63500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/>
            <a:p>
              <a:endParaRPr lang="pl-PL"/>
            </a:p>
          </xdr:txBody>
        </xdr:sp>
      </xdr:grpSp>
    </xdr:grpSp>
    <xdr:clientData/>
  </xdr:twoCellAnchor>
  <xdr:twoCellAnchor editAs="oneCell">
    <xdr:from>
      <xdr:col>12</xdr:col>
      <xdr:colOff>447675</xdr:colOff>
      <xdr:row>0</xdr:row>
      <xdr:rowOff>38100</xdr:rowOff>
    </xdr:from>
    <xdr:to>
      <xdr:col>13</xdr:col>
      <xdr:colOff>498167</xdr:colOff>
      <xdr:row>0</xdr:row>
      <xdr:rowOff>208803</xdr:rowOff>
    </xdr:to>
    <xdr:pic>
      <xdr:nvPicPr>
        <xdr:cNvPr id="8" name="Obraz 7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277350" y="38100"/>
          <a:ext cx="764867" cy="170703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713294</xdr:colOff>
      <xdr:row>3</xdr:row>
      <xdr:rowOff>157317</xdr:rowOff>
    </xdr:to>
    <xdr:grpSp>
      <xdr:nvGrpSpPr>
        <xdr:cNvPr id="8" name="Grupa 7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GrpSpPr/>
      </xdr:nvGrpSpPr>
      <xdr:grpSpPr>
        <a:xfrm>
          <a:off x="0" y="0"/>
          <a:ext cx="713294" cy="1109817"/>
          <a:chOff x="0" y="0"/>
          <a:chExt cx="713294" cy="1100292"/>
        </a:xfrm>
      </xdr:grpSpPr>
      <xdr:pic>
        <xdr:nvPicPr>
          <xdr:cNvPr id="9" name="Obraz 8">
            <a:extLst>
              <a:ext uri="{FF2B5EF4-FFF2-40B4-BE49-F238E27FC236}">
                <a16:creationId xmlns:a16="http://schemas.microsoft.com/office/drawing/2014/main" id="{00000000-0008-0000-0200-00001B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0" y="0"/>
            <a:ext cx="713294" cy="524301"/>
          </a:xfrm>
          <a:prstGeom prst="rect">
            <a:avLst/>
          </a:prstGeom>
        </xdr:spPr>
      </xdr:pic>
      <xdr:pic>
        <xdr:nvPicPr>
          <xdr:cNvPr id="10" name="Obraz 9">
            <a:hlinkClick xmlns:r="http://schemas.openxmlformats.org/officeDocument/2006/relationships" r:id="rId2"/>
            <a:extLst>
              <a:ext uri="{FF2B5EF4-FFF2-40B4-BE49-F238E27FC236}">
                <a16:creationId xmlns:a16="http://schemas.microsoft.com/office/drawing/2014/main" id="{00000000-0008-0000-0200-00001C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200025" y="400050"/>
            <a:ext cx="317019" cy="341406"/>
          </a:xfrm>
          <a:prstGeom prst="rect">
            <a:avLst/>
          </a:prstGeom>
        </xdr:spPr>
      </xdr:pic>
      <xdr:grpSp>
        <xdr:nvGrpSpPr>
          <xdr:cNvPr id="11" name="Grupa 10">
            <a:extLst>
              <a:ext uri="{FF2B5EF4-FFF2-40B4-BE49-F238E27FC236}">
                <a16:creationId xmlns:a16="http://schemas.microsoft.com/office/drawing/2014/main" id="{00000000-0008-0000-0600-00000B000000}"/>
              </a:ext>
            </a:extLst>
          </xdr:cNvPr>
          <xdr:cNvGrpSpPr/>
        </xdr:nvGrpSpPr>
        <xdr:grpSpPr>
          <a:xfrm>
            <a:off x="0" y="800100"/>
            <a:ext cx="671173" cy="300192"/>
            <a:chOff x="0" y="794069"/>
            <a:chExt cx="671173" cy="302016"/>
          </a:xfrm>
        </xdr:grpSpPr>
        <xdr:sp macro="" textlink="">
          <xdr:nvSpPr>
            <xdr:cNvPr id="12" name="pole tekstowe 11">
              <a:extLst>
                <a:ext uri="{FF2B5EF4-FFF2-40B4-BE49-F238E27FC236}">
                  <a16:creationId xmlns:a16="http://schemas.microsoft.com/office/drawing/2014/main" id="{00000000-0008-0000-1400-000004000000}"/>
                </a:ext>
              </a:extLst>
            </xdr:cNvPr>
            <xdr:cNvSpPr txBox="1"/>
          </xdr:nvSpPr>
          <xdr:spPr>
            <a:xfrm>
              <a:off x="0" y="794223"/>
              <a:ext cx="397669" cy="301861"/>
            </a:xfrm>
            <a:prstGeom prst="rect">
              <a:avLst/>
            </a:prstGeom>
            <a:solidFill>
              <a:srgbClr val="FF6600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endParaRPr lang="pl-PL" sz="1100"/>
            </a:p>
          </xdr:txBody>
        </xdr:sp>
        <xdr:sp macro="" textlink="">
          <xdr:nvSpPr>
            <xdr:cNvPr id="13" name="Schemat blokowy: opóźnienie 12">
              <a:extLst>
                <a:ext uri="{FF2B5EF4-FFF2-40B4-BE49-F238E27FC236}">
                  <a16:creationId xmlns:a16="http://schemas.microsoft.com/office/drawing/2014/main" id="{C34A0F63-3541-42FC-892D-EC9C236DB99B}"/>
                </a:ext>
              </a:extLst>
            </xdr:cNvPr>
            <xdr:cNvSpPr/>
          </xdr:nvSpPr>
          <xdr:spPr>
            <a:xfrm>
              <a:off x="362302" y="794069"/>
              <a:ext cx="308871" cy="302016"/>
            </a:xfrm>
            <a:prstGeom prst="flowChartDelay">
              <a:avLst/>
            </a:prstGeom>
            <a:solidFill>
              <a:srgbClr val="FF6600"/>
            </a:solidFill>
            <a:ln w="63500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/>
            <a:p>
              <a:endParaRPr lang="pl-PL"/>
            </a:p>
          </xdr:txBody>
        </xdr:sp>
      </xdr:grpSp>
    </xdr:grpSp>
    <xdr:clientData/>
  </xdr:twoCellAnchor>
  <xdr:twoCellAnchor editAs="oneCell">
    <xdr:from>
      <xdr:col>10</xdr:col>
      <xdr:colOff>638175</xdr:colOff>
      <xdr:row>0</xdr:row>
      <xdr:rowOff>28575</xdr:rowOff>
    </xdr:from>
    <xdr:to>
      <xdr:col>11</xdr:col>
      <xdr:colOff>688667</xdr:colOff>
      <xdr:row>0</xdr:row>
      <xdr:rowOff>199278</xdr:rowOff>
    </xdr:to>
    <xdr:pic>
      <xdr:nvPicPr>
        <xdr:cNvPr id="14" name="Obraz 13">
          <a:extLst>
            <a:ext uri="{FF2B5EF4-FFF2-40B4-BE49-F238E27FC236}">
              <a16:creationId xmlns:a16="http://schemas.microsoft.com/office/drawing/2014/main" id="{00000000-0008-0000-06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448925" y="28575"/>
          <a:ext cx="764867" cy="170703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713294</xdr:colOff>
      <xdr:row>3</xdr:row>
      <xdr:rowOff>157317</xdr:rowOff>
    </xdr:to>
    <xdr:grpSp>
      <xdr:nvGrpSpPr>
        <xdr:cNvPr id="3" name="Grupa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GrpSpPr/>
      </xdr:nvGrpSpPr>
      <xdr:grpSpPr>
        <a:xfrm>
          <a:off x="0" y="0"/>
          <a:ext cx="713294" cy="1109817"/>
          <a:chOff x="0" y="0"/>
          <a:chExt cx="713294" cy="1100292"/>
        </a:xfrm>
      </xdr:grpSpPr>
      <xdr:pic>
        <xdr:nvPicPr>
          <xdr:cNvPr id="4" name="Obraz 3">
            <a:extLst>
              <a:ext uri="{FF2B5EF4-FFF2-40B4-BE49-F238E27FC236}">
                <a16:creationId xmlns:a16="http://schemas.microsoft.com/office/drawing/2014/main" id="{00000000-0008-0000-0200-00001B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0" y="0"/>
            <a:ext cx="713294" cy="524301"/>
          </a:xfrm>
          <a:prstGeom prst="rect">
            <a:avLst/>
          </a:prstGeom>
        </xdr:spPr>
      </xdr:pic>
      <xdr:pic>
        <xdr:nvPicPr>
          <xdr:cNvPr id="5" name="Obraz 4">
            <a:hlinkClick xmlns:r="http://schemas.openxmlformats.org/officeDocument/2006/relationships" r:id="rId2"/>
            <a:extLst>
              <a:ext uri="{FF2B5EF4-FFF2-40B4-BE49-F238E27FC236}">
                <a16:creationId xmlns:a16="http://schemas.microsoft.com/office/drawing/2014/main" id="{00000000-0008-0000-0200-00001C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200025" y="400050"/>
            <a:ext cx="317019" cy="341406"/>
          </a:xfrm>
          <a:prstGeom prst="rect">
            <a:avLst/>
          </a:prstGeom>
        </xdr:spPr>
      </xdr:pic>
      <xdr:grpSp>
        <xdr:nvGrpSpPr>
          <xdr:cNvPr id="6" name="Grupa 5">
            <a:extLst>
              <a:ext uri="{FF2B5EF4-FFF2-40B4-BE49-F238E27FC236}">
                <a16:creationId xmlns:a16="http://schemas.microsoft.com/office/drawing/2014/main" id="{00000000-0008-0000-0A00-000006000000}"/>
              </a:ext>
            </a:extLst>
          </xdr:cNvPr>
          <xdr:cNvGrpSpPr/>
        </xdr:nvGrpSpPr>
        <xdr:grpSpPr>
          <a:xfrm>
            <a:off x="0" y="800100"/>
            <a:ext cx="671173" cy="300192"/>
            <a:chOff x="0" y="794069"/>
            <a:chExt cx="671173" cy="302016"/>
          </a:xfrm>
        </xdr:grpSpPr>
        <xdr:sp macro="" textlink="">
          <xdr:nvSpPr>
            <xdr:cNvPr id="7" name="pole tekstowe 6">
              <a:extLst>
                <a:ext uri="{FF2B5EF4-FFF2-40B4-BE49-F238E27FC236}">
                  <a16:creationId xmlns:a16="http://schemas.microsoft.com/office/drawing/2014/main" id="{00000000-0008-0000-1400-000004000000}"/>
                </a:ext>
              </a:extLst>
            </xdr:cNvPr>
            <xdr:cNvSpPr txBox="1"/>
          </xdr:nvSpPr>
          <xdr:spPr>
            <a:xfrm>
              <a:off x="0" y="794223"/>
              <a:ext cx="397669" cy="301861"/>
            </a:xfrm>
            <a:prstGeom prst="rect">
              <a:avLst/>
            </a:prstGeom>
            <a:solidFill>
              <a:srgbClr val="FF552D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endParaRPr lang="pl-PL" sz="1100"/>
            </a:p>
          </xdr:txBody>
        </xdr:sp>
        <xdr:sp macro="" textlink="">
          <xdr:nvSpPr>
            <xdr:cNvPr id="8" name="Schemat blokowy: opóźnienie 7">
              <a:extLst>
                <a:ext uri="{FF2B5EF4-FFF2-40B4-BE49-F238E27FC236}">
                  <a16:creationId xmlns:a16="http://schemas.microsoft.com/office/drawing/2014/main" id="{C34A0F63-3541-42FC-892D-EC9C236DB99B}"/>
                </a:ext>
              </a:extLst>
            </xdr:cNvPr>
            <xdr:cNvSpPr/>
          </xdr:nvSpPr>
          <xdr:spPr>
            <a:xfrm>
              <a:off x="362302" y="794069"/>
              <a:ext cx="308871" cy="302016"/>
            </a:xfrm>
            <a:prstGeom prst="flowChartDelay">
              <a:avLst/>
            </a:prstGeom>
            <a:solidFill>
              <a:srgbClr val="FF552D"/>
            </a:solidFill>
            <a:ln w="63500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/>
            <a:p>
              <a:endParaRPr lang="pl-PL"/>
            </a:p>
          </xdr:txBody>
        </xdr:sp>
      </xdr:grpSp>
    </xdr:grpSp>
    <xdr:clientData/>
  </xdr:twoCellAnchor>
  <xdr:twoCellAnchor editAs="oneCell">
    <xdr:from>
      <xdr:col>11</xdr:col>
      <xdr:colOff>657225</xdr:colOff>
      <xdr:row>0</xdr:row>
      <xdr:rowOff>47625</xdr:rowOff>
    </xdr:from>
    <xdr:to>
      <xdr:col>12</xdr:col>
      <xdr:colOff>711013</xdr:colOff>
      <xdr:row>0</xdr:row>
      <xdr:rowOff>218328</xdr:rowOff>
    </xdr:to>
    <xdr:pic>
      <xdr:nvPicPr>
        <xdr:cNvPr id="9" name="Obraz 8">
          <a:extLst>
            <a:ext uri="{FF2B5EF4-FFF2-40B4-BE49-F238E27FC236}">
              <a16:creationId xmlns:a16="http://schemas.microsoft.com/office/drawing/2014/main" id="{00000000-0008-0000-0A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899525" y="47625"/>
          <a:ext cx="803088" cy="170703"/>
        </a:xfrm>
        <a:prstGeom prst="rect">
          <a:avLst/>
        </a:prstGeom>
      </xdr:spPr>
    </xdr:pic>
    <xdr:clientData/>
  </xdr:twoCellAnchor>
  <xdr:absoluteAnchor>
    <xdr:pos x="736600" y="1285875"/>
    <xdr:ext cx="7920000" cy="4320000"/>
    <xdr:graphicFrame macro="">
      <xdr:nvGraphicFramePr>
        <xdr:cNvPr id="11" name="Wykres 10" title="hhjjjkj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absolute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0.10271</cdr:x>
      <cdr:y>0.15214</cdr:y>
    </cdr:from>
    <cdr:to>
      <cdr:x>1</cdr:x>
      <cdr:y>0.20946</cdr:y>
    </cdr:to>
    <cdr:sp macro="" textlink="">
      <cdr:nvSpPr>
        <cdr:cNvPr id="6" name="pole tekstowe 5"/>
        <cdr:cNvSpPr txBox="1"/>
      </cdr:nvSpPr>
      <cdr:spPr>
        <a:xfrm xmlns:a="http://schemas.openxmlformats.org/drawingml/2006/main">
          <a:off x="813435" y="657245"/>
          <a:ext cx="7106565" cy="247622"/>
        </a:xfrm>
        <a:prstGeom xmlns:a="http://schemas.openxmlformats.org/drawingml/2006/main" prst="rect">
          <a:avLst/>
        </a:prstGeom>
        <a:noFill xmlns:a="http://schemas.openxmlformats.org/drawingml/2006/main"/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pl-PL" sz="1050">
              <a:solidFill>
                <a:schemeClr val="tx1">
                  <a:lumMod val="60000"/>
                  <a:lumOff val="40000"/>
                </a:schemeClr>
              </a:solidFill>
            </a:rPr>
            <a:t>I</a:t>
          </a:r>
          <a:r>
            <a:rPr lang="pl-PL" sz="1050" baseline="0">
              <a:solidFill>
                <a:schemeClr val="tx1">
                  <a:lumMod val="60000"/>
                  <a:lumOff val="40000"/>
                </a:schemeClr>
              </a:solidFill>
            </a:rPr>
            <a:t>               II               III                IV               V                VI               VII               VIII               IX                X               XI              XII        </a:t>
          </a:r>
          <a:r>
            <a:rPr lang="pl-PL" sz="1000" b="1" baseline="0">
              <a:solidFill>
                <a:srgbClr val="5F5F5F"/>
              </a:solidFill>
              <a:latin typeface="+mn-lt"/>
              <a:ea typeface="Lato Semibold" panose="020F0502020204030203" pitchFamily="34" charset="0"/>
              <a:cs typeface="Lato Semibold" panose="020F0502020204030203" pitchFamily="34" charset="0"/>
            </a:rPr>
            <a:t>miesiąc</a:t>
          </a:r>
          <a:endParaRPr lang="pl-PL" sz="1000" b="1">
            <a:solidFill>
              <a:srgbClr val="5F5F5F"/>
            </a:solidFill>
            <a:latin typeface="+mn-lt"/>
            <a:ea typeface="Lato Semibold" panose="020F0502020204030203" pitchFamily="34" charset="0"/>
            <a:cs typeface="Lato Semibold" panose="020F0502020204030203" pitchFamily="34" charset="0"/>
          </a:endParaRPr>
        </a:p>
      </cdr:txBody>
    </cdr:sp>
  </cdr:relSizeAnchor>
</c:userShapes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704849</xdr:colOff>
      <xdr:row>3</xdr:row>
      <xdr:rowOff>285750</xdr:rowOff>
    </xdr:from>
    <xdr:to>
      <xdr:col>13</xdr:col>
      <xdr:colOff>128549</xdr:colOff>
      <xdr:row>25</xdr:row>
      <xdr:rowOff>90900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0</xdr:col>
      <xdr:colOff>713294</xdr:colOff>
      <xdr:row>3</xdr:row>
      <xdr:rowOff>157317</xdr:rowOff>
    </xdr:to>
    <xdr:grpSp>
      <xdr:nvGrpSpPr>
        <xdr:cNvPr id="3" name="Grupa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GrpSpPr/>
      </xdr:nvGrpSpPr>
      <xdr:grpSpPr>
        <a:xfrm>
          <a:off x="0" y="0"/>
          <a:ext cx="713294" cy="1109817"/>
          <a:chOff x="0" y="0"/>
          <a:chExt cx="713294" cy="1100292"/>
        </a:xfrm>
      </xdr:grpSpPr>
      <xdr:pic>
        <xdr:nvPicPr>
          <xdr:cNvPr id="4" name="Obraz 3">
            <a:extLst>
              <a:ext uri="{FF2B5EF4-FFF2-40B4-BE49-F238E27FC236}">
                <a16:creationId xmlns:a16="http://schemas.microsoft.com/office/drawing/2014/main" id="{00000000-0008-0000-0200-00001B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0" y="0"/>
            <a:ext cx="713294" cy="524301"/>
          </a:xfrm>
          <a:prstGeom prst="rect">
            <a:avLst/>
          </a:prstGeom>
        </xdr:spPr>
      </xdr:pic>
      <xdr:pic>
        <xdr:nvPicPr>
          <xdr:cNvPr id="5" name="Obraz 4">
            <a:hlinkClick xmlns:r="http://schemas.openxmlformats.org/officeDocument/2006/relationships" r:id="rId3"/>
            <a:extLst>
              <a:ext uri="{FF2B5EF4-FFF2-40B4-BE49-F238E27FC236}">
                <a16:creationId xmlns:a16="http://schemas.microsoft.com/office/drawing/2014/main" id="{00000000-0008-0000-0200-00001C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200025" y="400050"/>
            <a:ext cx="317019" cy="341406"/>
          </a:xfrm>
          <a:prstGeom prst="rect">
            <a:avLst/>
          </a:prstGeom>
        </xdr:spPr>
      </xdr:pic>
      <xdr:grpSp>
        <xdr:nvGrpSpPr>
          <xdr:cNvPr id="6" name="Grupa 5">
            <a:extLst>
              <a:ext uri="{FF2B5EF4-FFF2-40B4-BE49-F238E27FC236}">
                <a16:creationId xmlns:a16="http://schemas.microsoft.com/office/drawing/2014/main" id="{00000000-0008-0000-0B00-000006000000}"/>
              </a:ext>
            </a:extLst>
          </xdr:cNvPr>
          <xdr:cNvGrpSpPr/>
        </xdr:nvGrpSpPr>
        <xdr:grpSpPr>
          <a:xfrm>
            <a:off x="0" y="800100"/>
            <a:ext cx="671173" cy="300192"/>
            <a:chOff x="0" y="794069"/>
            <a:chExt cx="671173" cy="302016"/>
          </a:xfrm>
        </xdr:grpSpPr>
        <xdr:sp macro="" textlink="">
          <xdr:nvSpPr>
            <xdr:cNvPr id="7" name="pole tekstowe 6">
              <a:extLst>
                <a:ext uri="{FF2B5EF4-FFF2-40B4-BE49-F238E27FC236}">
                  <a16:creationId xmlns:a16="http://schemas.microsoft.com/office/drawing/2014/main" id="{00000000-0008-0000-1400-000004000000}"/>
                </a:ext>
              </a:extLst>
            </xdr:cNvPr>
            <xdr:cNvSpPr txBox="1"/>
          </xdr:nvSpPr>
          <xdr:spPr>
            <a:xfrm>
              <a:off x="0" y="794223"/>
              <a:ext cx="397669" cy="301861"/>
            </a:xfrm>
            <a:prstGeom prst="rect">
              <a:avLst/>
            </a:prstGeom>
            <a:solidFill>
              <a:srgbClr val="FF552D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endParaRPr lang="pl-PL" sz="1100"/>
            </a:p>
          </xdr:txBody>
        </xdr:sp>
        <xdr:sp macro="" textlink="">
          <xdr:nvSpPr>
            <xdr:cNvPr id="8" name="Schemat blokowy: opóźnienie 7">
              <a:extLst>
                <a:ext uri="{FF2B5EF4-FFF2-40B4-BE49-F238E27FC236}">
                  <a16:creationId xmlns:a16="http://schemas.microsoft.com/office/drawing/2014/main" id="{C34A0F63-3541-42FC-892D-EC9C236DB99B}"/>
                </a:ext>
              </a:extLst>
            </xdr:cNvPr>
            <xdr:cNvSpPr/>
          </xdr:nvSpPr>
          <xdr:spPr>
            <a:xfrm>
              <a:off x="362302" y="794069"/>
              <a:ext cx="308871" cy="302016"/>
            </a:xfrm>
            <a:prstGeom prst="flowChartDelay">
              <a:avLst/>
            </a:prstGeom>
            <a:solidFill>
              <a:srgbClr val="FF552D"/>
            </a:solidFill>
            <a:ln w="63500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/>
            <a:p>
              <a:endParaRPr lang="pl-PL"/>
            </a:p>
          </xdr:txBody>
        </xdr:sp>
      </xdr:grpSp>
    </xdr:grp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713294</xdr:colOff>
      <xdr:row>3</xdr:row>
      <xdr:rowOff>157317</xdr:rowOff>
    </xdr:to>
    <xdr:grpSp>
      <xdr:nvGrpSpPr>
        <xdr:cNvPr id="4" name="Grupa 3">
          <a:extLst>
            <a:ext uri="{FF2B5EF4-FFF2-40B4-BE49-F238E27FC236}">
              <a16:creationId xmlns:a16="http://schemas.microsoft.com/office/drawing/2014/main" id="{B2A526AD-383E-48A5-ABCE-1F0EFDB0F029}"/>
            </a:ext>
          </a:extLst>
        </xdr:cNvPr>
        <xdr:cNvGrpSpPr/>
      </xdr:nvGrpSpPr>
      <xdr:grpSpPr>
        <a:xfrm>
          <a:off x="0" y="0"/>
          <a:ext cx="713294" cy="1109817"/>
          <a:chOff x="0" y="0"/>
          <a:chExt cx="713294" cy="1100292"/>
        </a:xfrm>
      </xdr:grpSpPr>
      <xdr:pic>
        <xdr:nvPicPr>
          <xdr:cNvPr id="5" name="Obraz 4">
            <a:extLst>
              <a:ext uri="{FF2B5EF4-FFF2-40B4-BE49-F238E27FC236}">
                <a16:creationId xmlns:a16="http://schemas.microsoft.com/office/drawing/2014/main" id="{B22C60F4-EB00-F20A-1BCC-F095FA31D91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0" y="0"/>
            <a:ext cx="713294" cy="524301"/>
          </a:xfrm>
          <a:prstGeom prst="rect">
            <a:avLst/>
          </a:prstGeom>
        </xdr:spPr>
      </xdr:pic>
      <xdr:pic>
        <xdr:nvPicPr>
          <xdr:cNvPr id="6" name="Obraz 5">
            <a:hlinkClick xmlns:r="http://schemas.openxmlformats.org/officeDocument/2006/relationships" r:id="rId2"/>
            <a:extLst>
              <a:ext uri="{FF2B5EF4-FFF2-40B4-BE49-F238E27FC236}">
                <a16:creationId xmlns:a16="http://schemas.microsoft.com/office/drawing/2014/main" id="{DBAE3C2F-3283-E856-61EA-9E38517BDAC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200025" y="400050"/>
            <a:ext cx="317019" cy="341406"/>
          </a:xfrm>
          <a:prstGeom prst="rect">
            <a:avLst/>
          </a:prstGeom>
        </xdr:spPr>
      </xdr:pic>
      <xdr:grpSp>
        <xdr:nvGrpSpPr>
          <xdr:cNvPr id="7" name="Grupa 6">
            <a:extLst>
              <a:ext uri="{FF2B5EF4-FFF2-40B4-BE49-F238E27FC236}">
                <a16:creationId xmlns:a16="http://schemas.microsoft.com/office/drawing/2014/main" id="{AE6D992B-3523-96F8-3517-1E1FACE1B45A}"/>
              </a:ext>
            </a:extLst>
          </xdr:cNvPr>
          <xdr:cNvGrpSpPr/>
        </xdr:nvGrpSpPr>
        <xdr:grpSpPr>
          <a:xfrm>
            <a:off x="0" y="800100"/>
            <a:ext cx="671173" cy="300192"/>
            <a:chOff x="0" y="794069"/>
            <a:chExt cx="671173" cy="302016"/>
          </a:xfrm>
        </xdr:grpSpPr>
        <xdr:sp macro="" textlink="">
          <xdr:nvSpPr>
            <xdr:cNvPr id="8" name="pole tekstowe 7">
              <a:extLst>
                <a:ext uri="{FF2B5EF4-FFF2-40B4-BE49-F238E27FC236}">
                  <a16:creationId xmlns:a16="http://schemas.microsoft.com/office/drawing/2014/main" id="{E63FBA7E-4CA6-C411-FF7C-81EFA590EAF2}"/>
                </a:ext>
              </a:extLst>
            </xdr:cNvPr>
            <xdr:cNvSpPr txBox="1"/>
          </xdr:nvSpPr>
          <xdr:spPr>
            <a:xfrm>
              <a:off x="0" y="794223"/>
              <a:ext cx="397669" cy="301861"/>
            </a:xfrm>
            <a:prstGeom prst="rect">
              <a:avLst/>
            </a:prstGeom>
            <a:solidFill>
              <a:srgbClr val="FF552D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endParaRPr lang="pl-PL" sz="1100"/>
            </a:p>
          </xdr:txBody>
        </xdr:sp>
        <xdr:sp macro="" textlink="">
          <xdr:nvSpPr>
            <xdr:cNvPr id="9" name="Schemat blokowy: opóźnienie 8">
              <a:extLst>
                <a:ext uri="{FF2B5EF4-FFF2-40B4-BE49-F238E27FC236}">
                  <a16:creationId xmlns:a16="http://schemas.microsoft.com/office/drawing/2014/main" id="{62539942-2C4E-2071-2007-E2990451BE8D}"/>
                </a:ext>
              </a:extLst>
            </xdr:cNvPr>
            <xdr:cNvSpPr/>
          </xdr:nvSpPr>
          <xdr:spPr>
            <a:xfrm>
              <a:off x="362302" y="794069"/>
              <a:ext cx="308871" cy="302016"/>
            </a:xfrm>
            <a:prstGeom prst="flowChartDelay">
              <a:avLst/>
            </a:prstGeom>
            <a:solidFill>
              <a:srgbClr val="FF552D"/>
            </a:solidFill>
            <a:ln w="63500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/>
            <a:p>
              <a:endParaRPr lang="pl-PL"/>
            </a:p>
          </xdr:txBody>
        </xdr:sp>
      </xdr:grpSp>
    </xdr:grp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713294</xdr:colOff>
      <xdr:row>3</xdr:row>
      <xdr:rowOff>157317</xdr:rowOff>
    </xdr:to>
    <xdr:grpSp>
      <xdr:nvGrpSpPr>
        <xdr:cNvPr id="2" name="Grupa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GrpSpPr/>
      </xdr:nvGrpSpPr>
      <xdr:grpSpPr>
        <a:xfrm>
          <a:off x="0" y="0"/>
          <a:ext cx="713294" cy="1109817"/>
          <a:chOff x="0" y="0"/>
          <a:chExt cx="713294" cy="1100292"/>
        </a:xfrm>
      </xdr:grpSpPr>
      <xdr:pic>
        <xdr:nvPicPr>
          <xdr:cNvPr id="3" name="Obraz 2">
            <a:extLst>
              <a:ext uri="{FF2B5EF4-FFF2-40B4-BE49-F238E27FC236}">
                <a16:creationId xmlns:a16="http://schemas.microsoft.com/office/drawing/2014/main" id="{00000000-0008-0000-0200-00001B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0" y="0"/>
            <a:ext cx="713294" cy="524301"/>
          </a:xfrm>
          <a:prstGeom prst="rect">
            <a:avLst/>
          </a:prstGeom>
        </xdr:spPr>
      </xdr:pic>
      <xdr:pic>
        <xdr:nvPicPr>
          <xdr:cNvPr id="4" name="Obraz 3">
            <a:hlinkClick xmlns:r="http://schemas.openxmlformats.org/officeDocument/2006/relationships" r:id="rId2"/>
            <a:extLst>
              <a:ext uri="{FF2B5EF4-FFF2-40B4-BE49-F238E27FC236}">
                <a16:creationId xmlns:a16="http://schemas.microsoft.com/office/drawing/2014/main" id="{00000000-0008-0000-0200-00001C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200025" y="400050"/>
            <a:ext cx="317019" cy="341406"/>
          </a:xfrm>
          <a:prstGeom prst="rect">
            <a:avLst/>
          </a:prstGeom>
        </xdr:spPr>
      </xdr:pic>
      <xdr:grpSp>
        <xdr:nvGrpSpPr>
          <xdr:cNvPr id="5" name="Grupa 4">
            <a:extLst>
              <a:ext uri="{FF2B5EF4-FFF2-40B4-BE49-F238E27FC236}">
                <a16:creationId xmlns:a16="http://schemas.microsoft.com/office/drawing/2014/main" id="{00000000-0008-0000-0E00-000005000000}"/>
              </a:ext>
            </a:extLst>
          </xdr:cNvPr>
          <xdr:cNvGrpSpPr/>
        </xdr:nvGrpSpPr>
        <xdr:grpSpPr>
          <a:xfrm>
            <a:off x="0" y="800100"/>
            <a:ext cx="671173" cy="300192"/>
            <a:chOff x="0" y="794069"/>
            <a:chExt cx="671173" cy="302016"/>
          </a:xfrm>
        </xdr:grpSpPr>
        <xdr:sp macro="" textlink="">
          <xdr:nvSpPr>
            <xdr:cNvPr id="6" name="pole tekstowe 5">
              <a:extLst>
                <a:ext uri="{FF2B5EF4-FFF2-40B4-BE49-F238E27FC236}">
                  <a16:creationId xmlns:a16="http://schemas.microsoft.com/office/drawing/2014/main" id="{00000000-0008-0000-1400-000004000000}"/>
                </a:ext>
              </a:extLst>
            </xdr:cNvPr>
            <xdr:cNvSpPr txBox="1"/>
          </xdr:nvSpPr>
          <xdr:spPr>
            <a:xfrm>
              <a:off x="0" y="794223"/>
              <a:ext cx="397669" cy="301861"/>
            </a:xfrm>
            <a:prstGeom prst="rect">
              <a:avLst/>
            </a:prstGeom>
            <a:solidFill>
              <a:srgbClr val="FF552D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endParaRPr lang="pl-PL" sz="1100"/>
            </a:p>
          </xdr:txBody>
        </xdr:sp>
        <xdr:sp macro="" textlink="">
          <xdr:nvSpPr>
            <xdr:cNvPr id="7" name="Schemat blokowy: opóźnienie 6">
              <a:extLst>
                <a:ext uri="{FF2B5EF4-FFF2-40B4-BE49-F238E27FC236}">
                  <a16:creationId xmlns:a16="http://schemas.microsoft.com/office/drawing/2014/main" id="{C34A0F63-3541-42FC-892D-EC9C236DB99B}"/>
                </a:ext>
              </a:extLst>
            </xdr:cNvPr>
            <xdr:cNvSpPr/>
          </xdr:nvSpPr>
          <xdr:spPr>
            <a:xfrm>
              <a:off x="362302" y="794069"/>
              <a:ext cx="308871" cy="302016"/>
            </a:xfrm>
            <a:prstGeom prst="flowChartDelay">
              <a:avLst/>
            </a:prstGeom>
            <a:solidFill>
              <a:srgbClr val="FF552D"/>
            </a:solidFill>
            <a:ln w="63500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/>
            <a:p>
              <a:endParaRPr lang="pl-PL"/>
            </a:p>
          </xdr:txBody>
        </xdr:sp>
      </xdr:grpSp>
    </xdr:grp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103694</xdr:colOff>
      <xdr:row>3</xdr:row>
      <xdr:rowOff>157317</xdr:rowOff>
    </xdr:to>
    <xdr:grpSp>
      <xdr:nvGrpSpPr>
        <xdr:cNvPr id="2" name="Grupa 1">
          <a:extLst>
            <a:ext uri="{FF2B5EF4-FFF2-40B4-BE49-F238E27FC236}">
              <a16:creationId xmlns:a16="http://schemas.microsoft.com/office/drawing/2014/main" id="{BC401495-C01F-408B-AAAF-919625D981B6}"/>
            </a:ext>
          </a:extLst>
        </xdr:cNvPr>
        <xdr:cNvGrpSpPr/>
      </xdr:nvGrpSpPr>
      <xdr:grpSpPr>
        <a:xfrm>
          <a:off x="0" y="0"/>
          <a:ext cx="745044" cy="1109817"/>
          <a:chOff x="0" y="0"/>
          <a:chExt cx="713294" cy="1100292"/>
        </a:xfrm>
      </xdr:grpSpPr>
      <xdr:pic>
        <xdr:nvPicPr>
          <xdr:cNvPr id="3" name="Obraz 2">
            <a:extLst>
              <a:ext uri="{FF2B5EF4-FFF2-40B4-BE49-F238E27FC236}">
                <a16:creationId xmlns:a16="http://schemas.microsoft.com/office/drawing/2014/main" id="{BFA5B330-CBD4-3D53-0254-492E446A021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0" y="0"/>
            <a:ext cx="713294" cy="524301"/>
          </a:xfrm>
          <a:prstGeom prst="rect">
            <a:avLst/>
          </a:prstGeom>
        </xdr:spPr>
      </xdr:pic>
      <xdr:pic>
        <xdr:nvPicPr>
          <xdr:cNvPr id="4" name="Obraz 3">
            <a:hlinkClick xmlns:r="http://schemas.openxmlformats.org/officeDocument/2006/relationships" r:id="rId2"/>
            <a:extLst>
              <a:ext uri="{FF2B5EF4-FFF2-40B4-BE49-F238E27FC236}">
                <a16:creationId xmlns:a16="http://schemas.microsoft.com/office/drawing/2014/main" id="{BEAF9007-8E06-42BC-B270-A883146C0D7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200025" y="400050"/>
            <a:ext cx="317019" cy="341406"/>
          </a:xfrm>
          <a:prstGeom prst="rect">
            <a:avLst/>
          </a:prstGeom>
        </xdr:spPr>
      </xdr:pic>
      <xdr:grpSp>
        <xdr:nvGrpSpPr>
          <xdr:cNvPr id="5" name="Grupa 4">
            <a:extLst>
              <a:ext uri="{FF2B5EF4-FFF2-40B4-BE49-F238E27FC236}">
                <a16:creationId xmlns:a16="http://schemas.microsoft.com/office/drawing/2014/main" id="{DD6E8C22-E235-A27C-EA7A-BE8D7E0B59B3}"/>
              </a:ext>
            </a:extLst>
          </xdr:cNvPr>
          <xdr:cNvGrpSpPr/>
        </xdr:nvGrpSpPr>
        <xdr:grpSpPr>
          <a:xfrm>
            <a:off x="0" y="800100"/>
            <a:ext cx="671173" cy="300192"/>
            <a:chOff x="0" y="794069"/>
            <a:chExt cx="671173" cy="302016"/>
          </a:xfrm>
        </xdr:grpSpPr>
        <xdr:sp macro="" textlink="">
          <xdr:nvSpPr>
            <xdr:cNvPr id="6" name="pole tekstowe 5">
              <a:extLst>
                <a:ext uri="{FF2B5EF4-FFF2-40B4-BE49-F238E27FC236}">
                  <a16:creationId xmlns:a16="http://schemas.microsoft.com/office/drawing/2014/main" id="{85551EB9-C833-454C-2E5A-E776D7723506}"/>
                </a:ext>
              </a:extLst>
            </xdr:cNvPr>
            <xdr:cNvSpPr txBox="1"/>
          </xdr:nvSpPr>
          <xdr:spPr>
            <a:xfrm>
              <a:off x="0" y="794223"/>
              <a:ext cx="397669" cy="301861"/>
            </a:xfrm>
            <a:prstGeom prst="rect">
              <a:avLst/>
            </a:prstGeom>
            <a:solidFill>
              <a:srgbClr val="FF552D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endParaRPr lang="pl-PL" sz="1100"/>
            </a:p>
          </xdr:txBody>
        </xdr:sp>
        <xdr:sp macro="" textlink="">
          <xdr:nvSpPr>
            <xdr:cNvPr id="7" name="Schemat blokowy: opóźnienie 6">
              <a:extLst>
                <a:ext uri="{FF2B5EF4-FFF2-40B4-BE49-F238E27FC236}">
                  <a16:creationId xmlns:a16="http://schemas.microsoft.com/office/drawing/2014/main" id="{67A15C84-E0E9-10A9-AF29-D907259BCA8B}"/>
                </a:ext>
              </a:extLst>
            </xdr:cNvPr>
            <xdr:cNvSpPr/>
          </xdr:nvSpPr>
          <xdr:spPr>
            <a:xfrm>
              <a:off x="362302" y="794069"/>
              <a:ext cx="308871" cy="302016"/>
            </a:xfrm>
            <a:prstGeom prst="flowChartDelay">
              <a:avLst/>
            </a:prstGeom>
            <a:solidFill>
              <a:srgbClr val="FF552D"/>
            </a:solidFill>
            <a:ln w="63500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/>
            <a:p>
              <a:endParaRPr lang="pl-PL"/>
            </a:p>
          </xdr:txBody>
        </xdr:sp>
      </xdr:grpSp>
    </xdr:grp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0</xdr:col>
      <xdr:colOff>579944</xdr:colOff>
      <xdr:row>4</xdr:row>
      <xdr:rowOff>147792</xdr:rowOff>
    </xdr:to>
    <xdr:grpSp>
      <xdr:nvGrpSpPr>
        <xdr:cNvPr id="2" name="Grupa 1">
          <a:extLst>
            <a:ext uri="{FF2B5EF4-FFF2-40B4-BE49-F238E27FC236}">
              <a16:creationId xmlns:a16="http://schemas.microsoft.com/office/drawing/2014/main" id="{E5942658-D523-41F2-8AFA-383AF58A90F2}"/>
            </a:ext>
          </a:extLst>
        </xdr:cNvPr>
        <xdr:cNvGrpSpPr/>
      </xdr:nvGrpSpPr>
      <xdr:grpSpPr>
        <a:xfrm>
          <a:off x="0" y="166688"/>
          <a:ext cx="579944" cy="1076479"/>
          <a:chOff x="0" y="0"/>
          <a:chExt cx="713294" cy="1100292"/>
        </a:xfrm>
      </xdr:grpSpPr>
      <xdr:pic>
        <xdr:nvPicPr>
          <xdr:cNvPr id="3" name="Obraz 2">
            <a:extLst>
              <a:ext uri="{FF2B5EF4-FFF2-40B4-BE49-F238E27FC236}">
                <a16:creationId xmlns:a16="http://schemas.microsoft.com/office/drawing/2014/main" id="{63E46B8C-9AD9-E5D9-8B6D-8423D671575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0" y="0"/>
            <a:ext cx="713294" cy="524301"/>
          </a:xfrm>
          <a:prstGeom prst="rect">
            <a:avLst/>
          </a:prstGeom>
        </xdr:spPr>
      </xdr:pic>
      <xdr:pic>
        <xdr:nvPicPr>
          <xdr:cNvPr id="4" name="Obraz 3">
            <a:hlinkClick xmlns:r="http://schemas.openxmlformats.org/officeDocument/2006/relationships" r:id="rId2"/>
            <a:extLst>
              <a:ext uri="{FF2B5EF4-FFF2-40B4-BE49-F238E27FC236}">
                <a16:creationId xmlns:a16="http://schemas.microsoft.com/office/drawing/2014/main" id="{A0880EF8-D09C-231F-D371-7C2FDCEED7F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200025" y="400050"/>
            <a:ext cx="317019" cy="341406"/>
          </a:xfrm>
          <a:prstGeom prst="rect">
            <a:avLst/>
          </a:prstGeom>
        </xdr:spPr>
      </xdr:pic>
      <xdr:grpSp>
        <xdr:nvGrpSpPr>
          <xdr:cNvPr id="5" name="Grupa 4">
            <a:extLst>
              <a:ext uri="{FF2B5EF4-FFF2-40B4-BE49-F238E27FC236}">
                <a16:creationId xmlns:a16="http://schemas.microsoft.com/office/drawing/2014/main" id="{4058859D-BC43-2CA5-77DF-F27EBCF3D388}"/>
              </a:ext>
            </a:extLst>
          </xdr:cNvPr>
          <xdr:cNvGrpSpPr/>
        </xdr:nvGrpSpPr>
        <xdr:grpSpPr>
          <a:xfrm>
            <a:off x="0" y="800100"/>
            <a:ext cx="671173" cy="300192"/>
            <a:chOff x="0" y="794069"/>
            <a:chExt cx="671173" cy="302016"/>
          </a:xfrm>
        </xdr:grpSpPr>
        <xdr:sp macro="" textlink="">
          <xdr:nvSpPr>
            <xdr:cNvPr id="6" name="pole tekstowe 5">
              <a:extLst>
                <a:ext uri="{FF2B5EF4-FFF2-40B4-BE49-F238E27FC236}">
                  <a16:creationId xmlns:a16="http://schemas.microsoft.com/office/drawing/2014/main" id="{8F4C8D9E-4C4C-8908-5C7C-7890AFFD63F3}"/>
                </a:ext>
              </a:extLst>
            </xdr:cNvPr>
            <xdr:cNvSpPr txBox="1"/>
          </xdr:nvSpPr>
          <xdr:spPr>
            <a:xfrm>
              <a:off x="0" y="794223"/>
              <a:ext cx="397669" cy="301861"/>
            </a:xfrm>
            <a:prstGeom prst="rect">
              <a:avLst/>
            </a:prstGeom>
            <a:solidFill>
              <a:srgbClr val="FF552D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endParaRPr lang="pl-PL" sz="1100"/>
            </a:p>
          </xdr:txBody>
        </xdr:sp>
        <xdr:sp macro="" textlink="">
          <xdr:nvSpPr>
            <xdr:cNvPr id="7" name="Schemat blokowy: opóźnienie 6">
              <a:extLst>
                <a:ext uri="{FF2B5EF4-FFF2-40B4-BE49-F238E27FC236}">
                  <a16:creationId xmlns:a16="http://schemas.microsoft.com/office/drawing/2014/main" id="{B4A2F0D4-245F-B6C4-0288-6060B1D0DC90}"/>
                </a:ext>
              </a:extLst>
            </xdr:cNvPr>
            <xdr:cNvSpPr/>
          </xdr:nvSpPr>
          <xdr:spPr>
            <a:xfrm>
              <a:off x="362302" y="794069"/>
              <a:ext cx="308871" cy="302016"/>
            </a:xfrm>
            <a:prstGeom prst="flowChartDelay">
              <a:avLst/>
            </a:prstGeom>
            <a:solidFill>
              <a:srgbClr val="FF552D"/>
            </a:solidFill>
            <a:ln w="63500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/>
            <a:p>
              <a:endParaRPr lang="pl-PL"/>
            </a:p>
          </xdr:txBody>
        </xdr:sp>
      </xdr:grpSp>
    </xdr:grp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713294</xdr:colOff>
      <xdr:row>3</xdr:row>
      <xdr:rowOff>147792</xdr:rowOff>
    </xdr:to>
    <xdr:grpSp>
      <xdr:nvGrpSpPr>
        <xdr:cNvPr id="2" name="Grupa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GrpSpPr/>
      </xdr:nvGrpSpPr>
      <xdr:grpSpPr>
        <a:xfrm>
          <a:off x="0" y="0"/>
          <a:ext cx="713294" cy="1089086"/>
          <a:chOff x="0" y="0"/>
          <a:chExt cx="713294" cy="1100292"/>
        </a:xfrm>
      </xdr:grpSpPr>
      <xdr:pic>
        <xdr:nvPicPr>
          <xdr:cNvPr id="3" name="Obraz 2">
            <a:extLst>
              <a:ext uri="{FF2B5EF4-FFF2-40B4-BE49-F238E27FC236}">
                <a16:creationId xmlns:a16="http://schemas.microsoft.com/office/drawing/2014/main" id="{00000000-0008-0000-0200-00001B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0" y="0"/>
            <a:ext cx="713294" cy="524301"/>
          </a:xfrm>
          <a:prstGeom prst="rect">
            <a:avLst/>
          </a:prstGeom>
        </xdr:spPr>
      </xdr:pic>
      <xdr:pic>
        <xdr:nvPicPr>
          <xdr:cNvPr id="4" name="Obraz 3">
            <a:hlinkClick xmlns:r="http://schemas.openxmlformats.org/officeDocument/2006/relationships" r:id="rId2"/>
            <a:extLst>
              <a:ext uri="{FF2B5EF4-FFF2-40B4-BE49-F238E27FC236}">
                <a16:creationId xmlns:a16="http://schemas.microsoft.com/office/drawing/2014/main" id="{00000000-0008-0000-0200-00001C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200025" y="400050"/>
            <a:ext cx="317019" cy="341406"/>
          </a:xfrm>
          <a:prstGeom prst="rect">
            <a:avLst/>
          </a:prstGeom>
        </xdr:spPr>
      </xdr:pic>
      <xdr:grpSp>
        <xdr:nvGrpSpPr>
          <xdr:cNvPr id="5" name="Grupa 4">
            <a:extLst>
              <a:ext uri="{FF2B5EF4-FFF2-40B4-BE49-F238E27FC236}">
                <a16:creationId xmlns:a16="http://schemas.microsoft.com/office/drawing/2014/main" id="{00000000-0008-0000-1100-000005000000}"/>
              </a:ext>
            </a:extLst>
          </xdr:cNvPr>
          <xdr:cNvGrpSpPr/>
        </xdr:nvGrpSpPr>
        <xdr:grpSpPr>
          <a:xfrm>
            <a:off x="0" y="800100"/>
            <a:ext cx="671173" cy="300192"/>
            <a:chOff x="0" y="794069"/>
            <a:chExt cx="671173" cy="302016"/>
          </a:xfrm>
        </xdr:grpSpPr>
        <xdr:sp macro="" textlink="">
          <xdr:nvSpPr>
            <xdr:cNvPr id="6" name="pole tekstowe 5">
              <a:extLst>
                <a:ext uri="{FF2B5EF4-FFF2-40B4-BE49-F238E27FC236}">
                  <a16:creationId xmlns:a16="http://schemas.microsoft.com/office/drawing/2014/main" id="{00000000-0008-0000-1400-000004000000}"/>
                </a:ext>
              </a:extLst>
            </xdr:cNvPr>
            <xdr:cNvSpPr txBox="1"/>
          </xdr:nvSpPr>
          <xdr:spPr>
            <a:xfrm>
              <a:off x="0" y="794223"/>
              <a:ext cx="397669" cy="301861"/>
            </a:xfrm>
            <a:prstGeom prst="rect">
              <a:avLst/>
            </a:prstGeom>
            <a:solidFill>
              <a:srgbClr val="FF552D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endParaRPr lang="pl-PL" sz="1100"/>
            </a:p>
          </xdr:txBody>
        </xdr:sp>
        <xdr:sp macro="" textlink="">
          <xdr:nvSpPr>
            <xdr:cNvPr id="7" name="Schemat blokowy: opóźnienie 6">
              <a:extLst>
                <a:ext uri="{FF2B5EF4-FFF2-40B4-BE49-F238E27FC236}">
                  <a16:creationId xmlns:a16="http://schemas.microsoft.com/office/drawing/2014/main" id="{C34A0F63-3541-42FC-892D-EC9C236DB99B}"/>
                </a:ext>
              </a:extLst>
            </xdr:cNvPr>
            <xdr:cNvSpPr/>
          </xdr:nvSpPr>
          <xdr:spPr>
            <a:xfrm>
              <a:off x="362302" y="794069"/>
              <a:ext cx="308871" cy="302016"/>
            </a:xfrm>
            <a:prstGeom prst="flowChartDelay">
              <a:avLst/>
            </a:prstGeom>
            <a:solidFill>
              <a:srgbClr val="FF552D"/>
            </a:solidFill>
            <a:ln w="63500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/>
            <a:p>
              <a:endParaRPr lang="pl-PL"/>
            </a:p>
          </xdr:txBody>
        </xdr:sp>
      </xdr:grpSp>
    </xdr:grp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10</xdr:row>
      <xdr:rowOff>0</xdr:rowOff>
    </xdr:from>
    <xdr:to>
      <xdr:col>4</xdr:col>
      <xdr:colOff>419100</xdr:colOff>
      <xdr:row>26</xdr:row>
      <xdr:rowOff>0</xdr:rowOff>
    </xdr:to>
    <xdr:sp macro="" textlink="">
      <xdr:nvSpPr>
        <xdr:cNvPr id="3" name="Strzałka w górę 2">
          <a:extLst>
            <a:ext uri="{FF2B5EF4-FFF2-40B4-BE49-F238E27FC236}">
              <a16:creationId xmlns:a16="http://schemas.microsoft.com/office/drawing/2014/main" id="{00000000-0008-0000-1700-000011000000}"/>
            </a:ext>
          </a:extLst>
        </xdr:cNvPr>
        <xdr:cNvSpPr/>
      </xdr:nvSpPr>
      <xdr:spPr>
        <a:xfrm>
          <a:off x="3641725" y="3048000"/>
          <a:ext cx="123825" cy="4064000"/>
        </a:xfrm>
        <a:prstGeom prst="upArrow">
          <a:avLst/>
        </a:prstGeom>
        <a:gradFill flip="none" rotWithShape="1">
          <a:gsLst>
            <a:gs pos="0">
              <a:srgbClr val="E6EEF6"/>
            </a:gs>
            <a:gs pos="74000">
              <a:srgbClr val="366092">
                <a:lumMod val="45000"/>
                <a:lumOff val="55000"/>
              </a:srgbClr>
            </a:gs>
            <a:gs pos="83000">
              <a:srgbClr val="366092">
                <a:lumMod val="45000"/>
                <a:lumOff val="55000"/>
              </a:srgbClr>
            </a:gs>
            <a:gs pos="100000">
              <a:srgbClr val="366092"/>
            </a:gs>
          </a:gsLst>
          <a:lin ang="16200000" scaled="1"/>
          <a:tileRect/>
        </a:gradFill>
        <a:ln w="12700" cap="flat" cmpd="sng" algn="ctr">
          <a:solidFill>
            <a:srgbClr val="EEECE1">
              <a:lumMod val="90000"/>
              <a:alpha val="4000"/>
            </a:srgbClr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pl-PL" sz="1100" b="0" i="0" u="none" strike="noStrike" kern="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twoCellAnchor>
    <xdr:from>
      <xdr:col>13</xdr:col>
      <xdr:colOff>285750</xdr:colOff>
      <xdr:row>9</xdr:row>
      <xdr:rowOff>200025</xdr:rowOff>
    </xdr:from>
    <xdr:to>
      <xdr:col>13</xdr:col>
      <xdr:colOff>409575</xdr:colOff>
      <xdr:row>25</xdr:row>
      <xdr:rowOff>200025</xdr:rowOff>
    </xdr:to>
    <xdr:sp macro="" textlink="">
      <xdr:nvSpPr>
        <xdr:cNvPr id="5" name="Strzałka w górę 16">
          <a:extLst>
            <a:ext uri="{FF2B5EF4-FFF2-40B4-BE49-F238E27FC236}">
              <a16:creationId xmlns:a16="http://schemas.microsoft.com/office/drawing/2014/main" id="{00000000-0008-0000-1700-000005000000}"/>
            </a:ext>
          </a:extLst>
        </xdr:cNvPr>
        <xdr:cNvSpPr/>
      </xdr:nvSpPr>
      <xdr:spPr>
        <a:xfrm>
          <a:off x="10375900" y="2994025"/>
          <a:ext cx="123825" cy="4064000"/>
        </a:xfrm>
        <a:prstGeom prst="upArrow">
          <a:avLst/>
        </a:prstGeom>
        <a:gradFill flip="none" rotWithShape="1">
          <a:gsLst>
            <a:gs pos="0">
              <a:srgbClr val="E6EEF6"/>
            </a:gs>
            <a:gs pos="74000">
              <a:srgbClr val="366092">
                <a:lumMod val="45000"/>
                <a:lumOff val="55000"/>
              </a:srgbClr>
            </a:gs>
            <a:gs pos="83000">
              <a:srgbClr val="366092">
                <a:lumMod val="45000"/>
                <a:lumOff val="55000"/>
              </a:srgbClr>
            </a:gs>
            <a:gs pos="100000">
              <a:srgbClr val="366092"/>
            </a:gs>
          </a:gsLst>
          <a:lin ang="16200000" scaled="1"/>
          <a:tileRect/>
        </a:gradFill>
        <a:ln w="12700" cap="flat" cmpd="sng" algn="ctr">
          <a:solidFill>
            <a:srgbClr val="EEECE1">
              <a:lumMod val="90000"/>
              <a:alpha val="4000"/>
            </a:srgbClr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pl-PL" sz="1100" b="0" i="0" u="none" strike="noStrike" kern="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twoCellAnchor editAs="oneCell">
    <xdr:from>
      <xdr:col>16</xdr:col>
      <xdr:colOff>0</xdr:colOff>
      <xdr:row>0</xdr:row>
      <xdr:rowOff>38100</xdr:rowOff>
    </xdr:from>
    <xdr:to>
      <xdr:col>17</xdr:col>
      <xdr:colOff>47691</xdr:colOff>
      <xdr:row>0</xdr:row>
      <xdr:rowOff>208803</xdr:rowOff>
    </xdr:to>
    <xdr:pic>
      <xdr:nvPicPr>
        <xdr:cNvPr id="16" name="Obraz 15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636500" y="38100"/>
          <a:ext cx="796991" cy="170703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0</xdr:col>
      <xdr:colOff>713294</xdr:colOff>
      <xdr:row>3</xdr:row>
      <xdr:rowOff>146111</xdr:rowOff>
    </xdr:to>
    <xdr:grpSp>
      <xdr:nvGrpSpPr>
        <xdr:cNvPr id="6" name="Grupa 5">
          <a:extLst>
            <a:ext uri="{FF2B5EF4-FFF2-40B4-BE49-F238E27FC236}">
              <a16:creationId xmlns:a16="http://schemas.microsoft.com/office/drawing/2014/main" id="{084F590E-7057-4042-B71C-FE62F730EA21}"/>
            </a:ext>
          </a:extLst>
        </xdr:cNvPr>
        <xdr:cNvGrpSpPr/>
      </xdr:nvGrpSpPr>
      <xdr:grpSpPr>
        <a:xfrm>
          <a:off x="0" y="0"/>
          <a:ext cx="713294" cy="1089086"/>
          <a:chOff x="0" y="0"/>
          <a:chExt cx="713294" cy="1100292"/>
        </a:xfrm>
      </xdr:grpSpPr>
      <xdr:pic>
        <xdr:nvPicPr>
          <xdr:cNvPr id="7" name="Obraz 6">
            <a:extLst>
              <a:ext uri="{FF2B5EF4-FFF2-40B4-BE49-F238E27FC236}">
                <a16:creationId xmlns:a16="http://schemas.microsoft.com/office/drawing/2014/main" id="{2F19549E-983F-5C4D-6DAB-9C35739CFA1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0" y="0"/>
            <a:ext cx="713294" cy="524301"/>
          </a:xfrm>
          <a:prstGeom prst="rect">
            <a:avLst/>
          </a:prstGeom>
        </xdr:spPr>
      </xdr:pic>
      <xdr:pic>
        <xdr:nvPicPr>
          <xdr:cNvPr id="8" name="Obraz 7">
            <a:hlinkClick xmlns:r="http://schemas.openxmlformats.org/officeDocument/2006/relationships" r:id="rId3"/>
            <a:extLst>
              <a:ext uri="{FF2B5EF4-FFF2-40B4-BE49-F238E27FC236}">
                <a16:creationId xmlns:a16="http://schemas.microsoft.com/office/drawing/2014/main" id="{B619BDFA-1DAA-3C46-BBA0-6813FD7AAF3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200025" y="400050"/>
            <a:ext cx="317019" cy="341406"/>
          </a:xfrm>
          <a:prstGeom prst="rect">
            <a:avLst/>
          </a:prstGeom>
        </xdr:spPr>
      </xdr:pic>
      <xdr:grpSp>
        <xdr:nvGrpSpPr>
          <xdr:cNvPr id="9" name="Grupa 8">
            <a:extLst>
              <a:ext uri="{FF2B5EF4-FFF2-40B4-BE49-F238E27FC236}">
                <a16:creationId xmlns:a16="http://schemas.microsoft.com/office/drawing/2014/main" id="{95D22F68-7D89-554D-18CF-2EC0569E0C8F}"/>
              </a:ext>
            </a:extLst>
          </xdr:cNvPr>
          <xdr:cNvGrpSpPr/>
        </xdr:nvGrpSpPr>
        <xdr:grpSpPr>
          <a:xfrm>
            <a:off x="0" y="800100"/>
            <a:ext cx="671173" cy="300192"/>
            <a:chOff x="0" y="794069"/>
            <a:chExt cx="671173" cy="302016"/>
          </a:xfrm>
        </xdr:grpSpPr>
        <xdr:sp macro="" textlink="">
          <xdr:nvSpPr>
            <xdr:cNvPr id="10" name="pole tekstowe 9">
              <a:extLst>
                <a:ext uri="{FF2B5EF4-FFF2-40B4-BE49-F238E27FC236}">
                  <a16:creationId xmlns:a16="http://schemas.microsoft.com/office/drawing/2014/main" id="{BA568346-5C22-7E53-20EE-F330FBAB2556}"/>
                </a:ext>
              </a:extLst>
            </xdr:cNvPr>
            <xdr:cNvSpPr txBox="1"/>
          </xdr:nvSpPr>
          <xdr:spPr>
            <a:xfrm>
              <a:off x="0" y="794223"/>
              <a:ext cx="397669" cy="301861"/>
            </a:xfrm>
            <a:prstGeom prst="rect">
              <a:avLst/>
            </a:prstGeom>
            <a:solidFill>
              <a:srgbClr val="FF552D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endParaRPr lang="pl-PL" sz="1100"/>
            </a:p>
          </xdr:txBody>
        </xdr:sp>
        <xdr:sp macro="" textlink="">
          <xdr:nvSpPr>
            <xdr:cNvPr id="11" name="Schemat blokowy: opóźnienie 10">
              <a:extLst>
                <a:ext uri="{FF2B5EF4-FFF2-40B4-BE49-F238E27FC236}">
                  <a16:creationId xmlns:a16="http://schemas.microsoft.com/office/drawing/2014/main" id="{C9CA8F5C-C10F-68A1-C57D-B6E4B03E7472}"/>
                </a:ext>
              </a:extLst>
            </xdr:cNvPr>
            <xdr:cNvSpPr/>
          </xdr:nvSpPr>
          <xdr:spPr>
            <a:xfrm>
              <a:off x="362302" y="794069"/>
              <a:ext cx="308871" cy="302016"/>
            </a:xfrm>
            <a:prstGeom prst="flowChartDelay">
              <a:avLst/>
            </a:prstGeom>
            <a:solidFill>
              <a:srgbClr val="FF552D"/>
            </a:solidFill>
            <a:ln w="63500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/>
            <a:p>
              <a:endParaRPr lang="pl-PL"/>
            </a:p>
          </xdr:txBody>
        </xdr:sp>
      </xdr:grpSp>
    </xdr:grpSp>
    <xdr:clientData/>
  </xdr:twoCellAnchor>
  <xdr:twoCellAnchor>
    <xdr:from>
      <xdr:col>4</xdr:col>
      <xdr:colOff>295275</xdr:colOff>
      <xdr:row>34</xdr:row>
      <xdr:rowOff>0</xdr:rowOff>
    </xdr:from>
    <xdr:to>
      <xdr:col>4</xdr:col>
      <xdr:colOff>419100</xdr:colOff>
      <xdr:row>50</xdr:row>
      <xdr:rowOff>0</xdr:rowOff>
    </xdr:to>
    <xdr:sp macro="" textlink="">
      <xdr:nvSpPr>
        <xdr:cNvPr id="14" name="Strzałka w górę 13">
          <a:extLst>
            <a:ext uri="{FF2B5EF4-FFF2-40B4-BE49-F238E27FC236}">
              <a16:creationId xmlns:a16="http://schemas.microsoft.com/office/drawing/2014/main" id="{00000000-0008-0000-1700-000011000000}"/>
            </a:ext>
          </a:extLst>
        </xdr:cNvPr>
        <xdr:cNvSpPr/>
      </xdr:nvSpPr>
      <xdr:spPr>
        <a:xfrm>
          <a:off x="3641725" y="3048000"/>
          <a:ext cx="123825" cy="4064000"/>
        </a:xfrm>
        <a:prstGeom prst="upArrow">
          <a:avLst/>
        </a:prstGeom>
        <a:gradFill flip="none" rotWithShape="1">
          <a:gsLst>
            <a:gs pos="0">
              <a:srgbClr val="E6EEF6"/>
            </a:gs>
            <a:gs pos="74000">
              <a:srgbClr val="366092">
                <a:lumMod val="45000"/>
                <a:lumOff val="55000"/>
              </a:srgbClr>
            </a:gs>
            <a:gs pos="83000">
              <a:srgbClr val="366092">
                <a:lumMod val="45000"/>
                <a:lumOff val="55000"/>
              </a:srgbClr>
            </a:gs>
            <a:gs pos="100000">
              <a:srgbClr val="366092"/>
            </a:gs>
          </a:gsLst>
          <a:lin ang="16200000" scaled="1"/>
          <a:tileRect/>
        </a:gradFill>
        <a:ln w="12700" cap="flat" cmpd="sng" algn="ctr">
          <a:solidFill>
            <a:srgbClr val="EEECE1">
              <a:lumMod val="90000"/>
              <a:alpha val="4000"/>
            </a:srgbClr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pl-PL" sz="1100" b="0" i="0" u="none" strike="noStrike" kern="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twoCellAnchor>
    <xdr:from>
      <xdr:col>13</xdr:col>
      <xdr:colOff>295275</xdr:colOff>
      <xdr:row>34</xdr:row>
      <xdr:rowOff>0</xdr:rowOff>
    </xdr:from>
    <xdr:to>
      <xdr:col>13</xdr:col>
      <xdr:colOff>419100</xdr:colOff>
      <xdr:row>50</xdr:row>
      <xdr:rowOff>0</xdr:rowOff>
    </xdr:to>
    <xdr:sp macro="" textlink="">
      <xdr:nvSpPr>
        <xdr:cNvPr id="17" name="Strzałka w górę 16">
          <a:extLst>
            <a:ext uri="{FF2B5EF4-FFF2-40B4-BE49-F238E27FC236}">
              <a16:creationId xmlns:a16="http://schemas.microsoft.com/office/drawing/2014/main" id="{00000000-0008-0000-1700-000011000000}"/>
            </a:ext>
          </a:extLst>
        </xdr:cNvPr>
        <xdr:cNvSpPr/>
      </xdr:nvSpPr>
      <xdr:spPr>
        <a:xfrm>
          <a:off x="3641725" y="8991600"/>
          <a:ext cx="123825" cy="2946400"/>
        </a:xfrm>
        <a:prstGeom prst="upArrow">
          <a:avLst/>
        </a:prstGeom>
        <a:gradFill flip="none" rotWithShape="1">
          <a:gsLst>
            <a:gs pos="0">
              <a:srgbClr val="E6EEF6"/>
            </a:gs>
            <a:gs pos="74000">
              <a:srgbClr val="366092">
                <a:lumMod val="45000"/>
                <a:lumOff val="55000"/>
              </a:srgbClr>
            </a:gs>
            <a:gs pos="83000">
              <a:srgbClr val="366092">
                <a:lumMod val="45000"/>
                <a:lumOff val="55000"/>
              </a:srgbClr>
            </a:gs>
            <a:gs pos="100000">
              <a:srgbClr val="366092"/>
            </a:gs>
          </a:gsLst>
          <a:lin ang="16200000" scaled="1"/>
          <a:tileRect/>
        </a:gradFill>
        <a:ln w="12700" cap="flat" cmpd="sng" algn="ctr">
          <a:solidFill>
            <a:srgbClr val="EEECE1">
              <a:lumMod val="90000"/>
              <a:alpha val="4000"/>
            </a:srgbClr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pl-PL" sz="1100" b="0" i="0" u="none" strike="noStrike" kern="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10</xdr:row>
      <xdr:rowOff>0</xdr:rowOff>
    </xdr:from>
    <xdr:to>
      <xdr:col>4</xdr:col>
      <xdr:colOff>419100</xdr:colOff>
      <xdr:row>26</xdr:row>
      <xdr:rowOff>0</xdr:rowOff>
    </xdr:to>
    <xdr:sp macro="" textlink="">
      <xdr:nvSpPr>
        <xdr:cNvPr id="3" name="Strzałka w górę 2">
          <a:extLst>
            <a:ext uri="{FF2B5EF4-FFF2-40B4-BE49-F238E27FC236}">
              <a16:creationId xmlns:a16="http://schemas.microsoft.com/office/drawing/2014/main" id="{00000000-0008-0000-1700-000011000000}"/>
            </a:ext>
          </a:extLst>
        </xdr:cNvPr>
        <xdr:cNvSpPr/>
      </xdr:nvSpPr>
      <xdr:spPr>
        <a:xfrm>
          <a:off x="3641725" y="3048000"/>
          <a:ext cx="123825" cy="4064000"/>
        </a:xfrm>
        <a:prstGeom prst="upArrow">
          <a:avLst/>
        </a:prstGeom>
        <a:gradFill flip="none" rotWithShape="1">
          <a:gsLst>
            <a:gs pos="0">
              <a:srgbClr val="E6EEF6"/>
            </a:gs>
            <a:gs pos="74000">
              <a:srgbClr val="366092">
                <a:lumMod val="45000"/>
                <a:lumOff val="55000"/>
              </a:srgbClr>
            </a:gs>
            <a:gs pos="83000">
              <a:srgbClr val="366092">
                <a:lumMod val="45000"/>
                <a:lumOff val="55000"/>
              </a:srgbClr>
            </a:gs>
            <a:gs pos="100000">
              <a:srgbClr val="366092"/>
            </a:gs>
          </a:gsLst>
          <a:lin ang="16200000" scaled="1"/>
          <a:tileRect/>
        </a:gradFill>
        <a:ln w="12700" cap="flat" cmpd="sng" algn="ctr">
          <a:solidFill>
            <a:srgbClr val="EEECE1">
              <a:lumMod val="90000"/>
              <a:alpha val="4000"/>
            </a:srgbClr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pl-PL" sz="1100" b="0" i="0" u="none" strike="noStrike" kern="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twoCellAnchor>
    <xdr:from>
      <xdr:col>13</xdr:col>
      <xdr:colOff>285750</xdr:colOff>
      <xdr:row>9</xdr:row>
      <xdr:rowOff>200025</xdr:rowOff>
    </xdr:from>
    <xdr:to>
      <xdr:col>13</xdr:col>
      <xdr:colOff>409575</xdr:colOff>
      <xdr:row>25</xdr:row>
      <xdr:rowOff>200025</xdr:rowOff>
    </xdr:to>
    <xdr:sp macro="" textlink="">
      <xdr:nvSpPr>
        <xdr:cNvPr id="5" name="Strzałka w górę 16">
          <a:extLst>
            <a:ext uri="{FF2B5EF4-FFF2-40B4-BE49-F238E27FC236}">
              <a16:creationId xmlns:a16="http://schemas.microsoft.com/office/drawing/2014/main" id="{00000000-0008-0000-1700-000005000000}"/>
            </a:ext>
          </a:extLst>
        </xdr:cNvPr>
        <xdr:cNvSpPr/>
      </xdr:nvSpPr>
      <xdr:spPr>
        <a:xfrm>
          <a:off x="10375900" y="2994025"/>
          <a:ext cx="123825" cy="4064000"/>
        </a:xfrm>
        <a:prstGeom prst="upArrow">
          <a:avLst/>
        </a:prstGeom>
        <a:gradFill flip="none" rotWithShape="1">
          <a:gsLst>
            <a:gs pos="0">
              <a:srgbClr val="E6EEF6"/>
            </a:gs>
            <a:gs pos="74000">
              <a:srgbClr val="366092">
                <a:lumMod val="45000"/>
                <a:lumOff val="55000"/>
              </a:srgbClr>
            </a:gs>
            <a:gs pos="83000">
              <a:srgbClr val="366092">
                <a:lumMod val="45000"/>
                <a:lumOff val="55000"/>
              </a:srgbClr>
            </a:gs>
            <a:gs pos="100000">
              <a:srgbClr val="366092"/>
            </a:gs>
          </a:gsLst>
          <a:lin ang="16200000" scaled="1"/>
          <a:tileRect/>
        </a:gradFill>
        <a:ln w="12700" cap="flat" cmpd="sng" algn="ctr">
          <a:solidFill>
            <a:srgbClr val="EEECE1">
              <a:lumMod val="90000"/>
              <a:alpha val="4000"/>
            </a:srgbClr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pl-PL" sz="1100" b="0" i="0" u="none" strike="noStrike" kern="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twoCellAnchor editAs="oneCell">
    <xdr:from>
      <xdr:col>16</xdr:col>
      <xdr:colOff>0</xdr:colOff>
      <xdr:row>0</xdr:row>
      <xdr:rowOff>38100</xdr:rowOff>
    </xdr:from>
    <xdr:to>
      <xdr:col>17</xdr:col>
      <xdr:colOff>47691</xdr:colOff>
      <xdr:row>0</xdr:row>
      <xdr:rowOff>208803</xdr:rowOff>
    </xdr:to>
    <xdr:pic>
      <xdr:nvPicPr>
        <xdr:cNvPr id="6" name="Obraz 5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636500" y="38100"/>
          <a:ext cx="796991" cy="170703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0</xdr:col>
      <xdr:colOff>713294</xdr:colOff>
      <xdr:row>3</xdr:row>
      <xdr:rowOff>146111</xdr:rowOff>
    </xdr:to>
    <xdr:grpSp>
      <xdr:nvGrpSpPr>
        <xdr:cNvPr id="8" name="Grupa 7">
          <a:extLst>
            <a:ext uri="{FF2B5EF4-FFF2-40B4-BE49-F238E27FC236}">
              <a16:creationId xmlns:a16="http://schemas.microsoft.com/office/drawing/2014/main" id="{FC3A4297-745D-4517-97D4-2D05F59CA511}"/>
            </a:ext>
          </a:extLst>
        </xdr:cNvPr>
        <xdr:cNvGrpSpPr/>
      </xdr:nvGrpSpPr>
      <xdr:grpSpPr>
        <a:xfrm>
          <a:off x="0" y="0"/>
          <a:ext cx="713294" cy="1089086"/>
          <a:chOff x="0" y="0"/>
          <a:chExt cx="713294" cy="1100292"/>
        </a:xfrm>
      </xdr:grpSpPr>
      <xdr:pic>
        <xdr:nvPicPr>
          <xdr:cNvPr id="9" name="Obraz 8">
            <a:extLst>
              <a:ext uri="{FF2B5EF4-FFF2-40B4-BE49-F238E27FC236}">
                <a16:creationId xmlns:a16="http://schemas.microsoft.com/office/drawing/2014/main" id="{D1BD96DF-E350-F62E-EAD5-B8714D504F5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0" y="0"/>
            <a:ext cx="713294" cy="524301"/>
          </a:xfrm>
          <a:prstGeom prst="rect">
            <a:avLst/>
          </a:prstGeom>
        </xdr:spPr>
      </xdr:pic>
      <xdr:pic>
        <xdr:nvPicPr>
          <xdr:cNvPr id="10" name="Obraz 9">
            <a:hlinkClick xmlns:r="http://schemas.openxmlformats.org/officeDocument/2006/relationships" r:id="rId3"/>
            <a:extLst>
              <a:ext uri="{FF2B5EF4-FFF2-40B4-BE49-F238E27FC236}">
                <a16:creationId xmlns:a16="http://schemas.microsoft.com/office/drawing/2014/main" id="{85D93C6C-E92E-6BF6-732E-532F04D9F47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200025" y="400050"/>
            <a:ext cx="317019" cy="341406"/>
          </a:xfrm>
          <a:prstGeom prst="rect">
            <a:avLst/>
          </a:prstGeom>
        </xdr:spPr>
      </xdr:pic>
      <xdr:grpSp>
        <xdr:nvGrpSpPr>
          <xdr:cNvPr id="11" name="Grupa 10">
            <a:extLst>
              <a:ext uri="{FF2B5EF4-FFF2-40B4-BE49-F238E27FC236}">
                <a16:creationId xmlns:a16="http://schemas.microsoft.com/office/drawing/2014/main" id="{3BC25B5E-7C55-9710-BEFB-805F13DEEF50}"/>
              </a:ext>
            </a:extLst>
          </xdr:cNvPr>
          <xdr:cNvGrpSpPr/>
        </xdr:nvGrpSpPr>
        <xdr:grpSpPr>
          <a:xfrm>
            <a:off x="0" y="800100"/>
            <a:ext cx="671173" cy="300192"/>
            <a:chOff x="0" y="794069"/>
            <a:chExt cx="671173" cy="302016"/>
          </a:xfrm>
        </xdr:grpSpPr>
        <xdr:sp macro="" textlink="">
          <xdr:nvSpPr>
            <xdr:cNvPr id="12" name="pole tekstowe 11">
              <a:extLst>
                <a:ext uri="{FF2B5EF4-FFF2-40B4-BE49-F238E27FC236}">
                  <a16:creationId xmlns:a16="http://schemas.microsoft.com/office/drawing/2014/main" id="{7A0C0366-E892-D40A-57B5-D64386F4F79E}"/>
                </a:ext>
              </a:extLst>
            </xdr:cNvPr>
            <xdr:cNvSpPr txBox="1"/>
          </xdr:nvSpPr>
          <xdr:spPr>
            <a:xfrm>
              <a:off x="0" y="794223"/>
              <a:ext cx="397669" cy="301861"/>
            </a:xfrm>
            <a:prstGeom prst="rect">
              <a:avLst/>
            </a:prstGeom>
            <a:solidFill>
              <a:srgbClr val="FF552D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endParaRPr lang="pl-PL" sz="1100"/>
            </a:p>
          </xdr:txBody>
        </xdr:sp>
        <xdr:sp macro="" textlink="">
          <xdr:nvSpPr>
            <xdr:cNvPr id="13" name="Schemat blokowy: opóźnienie 12">
              <a:extLst>
                <a:ext uri="{FF2B5EF4-FFF2-40B4-BE49-F238E27FC236}">
                  <a16:creationId xmlns:a16="http://schemas.microsoft.com/office/drawing/2014/main" id="{D079A7A9-CAF9-0969-49D8-77F10820BBD1}"/>
                </a:ext>
              </a:extLst>
            </xdr:cNvPr>
            <xdr:cNvSpPr/>
          </xdr:nvSpPr>
          <xdr:spPr>
            <a:xfrm>
              <a:off x="362302" y="794069"/>
              <a:ext cx="308871" cy="302016"/>
            </a:xfrm>
            <a:prstGeom prst="flowChartDelay">
              <a:avLst/>
            </a:prstGeom>
            <a:solidFill>
              <a:srgbClr val="FF552D"/>
            </a:solidFill>
            <a:ln w="63500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/>
            <a:p>
              <a:endParaRPr lang="pl-PL"/>
            </a:p>
          </xdr:txBody>
        </xdr:sp>
      </xdr:grpSp>
    </xdr:grpSp>
    <xdr:clientData/>
  </xdr:twoCellAnchor>
  <xdr:twoCellAnchor>
    <xdr:from>
      <xdr:col>4</xdr:col>
      <xdr:colOff>295275</xdr:colOff>
      <xdr:row>35</xdr:row>
      <xdr:rowOff>0</xdr:rowOff>
    </xdr:from>
    <xdr:to>
      <xdr:col>4</xdr:col>
      <xdr:colOff>419100</xdr:colOff>
      <xdr:row>51</xdr:row>
      <xdr:rowOff>0</xdr:rowOff>
    </xdr:to>
    <xdr:sp macro="" textlink="">
      <xdr:nvSpPr>
        <xdr:cNvPr id="17" name="Strzałka w górę 16">
          <a:extLst>
            <a:ext uri="{FF2B5EF4-FFF2-40B4-BE49-F238E27FC236}">
              <a16:creationId xmlns:a16="http://schemas.microsoft.com/office/drawing/2014/main" id="{00000000-0008-0000-1700-000011000000}"/>
            </a:ext>
          </a:extLst>
        </xdr:cNvPr>
        <xdr:cNvSpPr/>
      </xdr:nvSpPr>
      <xdr:spPr>
        <a:xfrm>
          <a:off x="3641725" y="3048000"/>
          <a:ext cx="123825" cy="4064000"/>
        </a:xfrm>
        <a:prstGeom prst="upArrow">
          <a:avLst/>
        </a:prstGeom>
        <a:gradFill flip="none" rotWithShape="1">
          <a:gsLst>
            <a:gs pos="0">
              <a:srgbClr val="E6EEF6"/>
            </a:gs>
            <a:gs pos="74000">
              <a:srgbClr val="366092">
                <a:lumMod val="45000"/>
                <a:lumOff val="55000"/>
              </a:srgbClr>
            </a:gs>
            <a:gs pos="83000">
              <a:srgbClr val="366092">
                <a:lumMod val="45000"/>
                <a:lumOff val="55000"/>
              </a:srgbClr>
            </a:gs>
            <a:gs pos="100000">
              <a:srgbClr val="366092"/>
            </a:gs>
          </a:gsLst>
          <a:lin ang="16200000" scaled="1"/>
          <a:tileRect/>
        </a:gradFill>
        <a:ln w="12700" cap="flat" cmpd="sng" algn="ctr">
          <a:solidFill>
            <a:srgbClr val="EEECE1">
              <a:lumMod val="90000"/>
              <a:alpha val="4000"/>
            </a:srgbClr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pl-PL" sz="1100" b="0" i="0" u="none" strike="noStrike" kern="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180975</xdr:rowOff>
    </xdr:from>
    <xdr:to>
      <xdr:col>0</xdr:col>
      <xdr:colOff>390525</xdr:colOff>
      <xdr:row>3</xdr:row>
      <xdr:rowOff>152400</xdr:rowOff>
    </xdr:to>
    <xdr:pic>
      <xdr:nvPicPr>
        <xdr:cNvPr id="2" name="Obraz 1">
          <a:extLst>
            <a:ext uri="{FF2B5EF4-FFF2-40B4-BE49-F238E27FC236}">
              <a16:creationId xmlns:a16="http://schemas.microsoft.com/office/drawing/2014/main" id="{00000000-0008-0000-19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15975"/>
          <a:ext cx="390525" cy="288925"/>
        </a:xfrm>
        <a:prstGeom prst="rect">
          <a:avLst/>
        </a:prstGeom>
      </xdr:spPr>
    </xdr:pic>
    <xdr:clientData/>
  </xdr:twoCellAnchor>
  <xdr:twoCellAnchor>
    <xdr:from>
      <xdr:col>0</xdr:col>
      <xdr:colOff>223817</xdr:colOff>
      <xdr:row>1</xdr:row>
      <xdr:rowOff>64656</xdr:rowOff>
    </xdr:from>
    <xdr:to>
      <xdr:col>0</xdr:col>
      <xdr:colOff>459455</xdr:colOff>
      <xdr:row>2</xdr:row>
      <xdr:rowOff>81554</xdr:rowOff>
    </xdr:to>
    <xdr:sp macro="" textlink="">
      <xdr:nvSpPr>
        <xdr:cNvPr id="3" name="Strzałka zakrzywiona w prawo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1900-000004000000}"/>
            </a:ext>
          </a:extLst>
        </xdr:cNvPr>
        <xdr:cNvSpPr>
          <a:spLocks noChangeAspect="1"/>
        </xdr:cNvSpPr>
      </xdr:nvSpPr>
      <xdr:spPr>
        <a:xfrm rot="8249306">
          <a:off x="223817" y="382156"/>
          <a:ext cx="235638" cy="334398"/>
        </a:xfrm>
        <a:prstGeom prst="curvedRightArrow">
          <a:avLst/>
        </a:prstGeom>
        <a:solidFill>
          <a:srgbClr val="006E22"/>
        </a:solidFill>
        <a:ln w="19050" cap="flat" cmpd="sng" algn="ctr">
          <a:solidFill>
            <a:srgbClr val="9BBB59">
              <a:lumMod val="75000"/>
            </a:srgbClr>
          </a:solidFill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pl-PL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twoCellAnchor editAs="oneCell">
    <xdr:from>
      <xdr:col>12</xdr:col>
      <xdr:colOff>0</xdr:colOff>
      <xdr:row>0</xdr:row>
      <xdr:rowOff>38100</xdr:rowOff>
    </xdr:from>
    <xdr:to>
      <xdr:col>13</xdr:col>
      <xdr:colOff>152279</xdr:colOff>
      <xdr:row>0</xdr:row>
      <xdr:rowOff>214899</xdr:rowOff>
    </xdr:to>
    <xdr:pic>
      <xdr:nvPicPr>
        <xdr:cNvPr id="4" name="Obraz 3">
          <a:extLst>
            <a:ext uri="{FF2B5EF4-FFF2-40B4-BE49-F238E27FC236}">
              <a16:creationId xmlns:a16="http://schemas.microsoft.com/office/drawing/2014/main" id="{00000000-0008-0000-19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690100" y="38100"/>
          <a:ext cx="793629" cy="176799"/>
        </a:xfrm>
        <a:prstGeom prst="rect">
          <a:avLst/>
        </a:prstGeom>
      </xdr:spPr>
    </xdr:pic>
    <xdr:clientData/>
  </xdr:twoCellAnchor>
  <xdr:twoCellAnchor editAs="oneCell">
    <xdr:from>
      <xdr:col>0</xdr:col>
      <xdr:colOff>390525</xdr:colOff>
      <xdr:row>2</xdr:row>
      <xdr:rowOff>180975</xdr:rowOff>
    </xdr:from>
    <xdr:to>
      <xdr:col>0</xdr:col>
      <xdr:colOff>678525</xdr:colOff>
      <xdr:row>3</xdr:row>
      <xdr:rowOff>152400</xdr:rowOff>
    </xdr:to>
    <xdr:pic>
      <xdr:nvPicPr>
        <xdr:cNvPr id="5" name="Obraz 4">
          <a:extLst>
            <a:ext uri="{FF2B5EF4-FFF2-40B4-BE49-F238E27FC236}">
              <a16:creationId xmlns:a16="http://schemas.microsoft.com/office/drawing/2014/main" id="{00000000-0008-0000-19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10800000">
          <a:off x="390525" y="815975"/>
          <a:ext cx="288000" cy="288925"/>
        </a:xfrm>
        <a:prstGeom prst="rect">
          <a:avLst/>
        </a:prstGeom>
      </xdr:spPr>
    </xdr:pic>
    <xdr:clientData/>
  </xdr:twoCellAnchor>
  <xdr:twoCellAnchor>
    <xdr:from>
      <xdr:col>5</xdr:col>
      <xdr:colOff>276225</xdr:colOff>
      <xdr:row>10</xdr:row>
      <xdr:rowOff>38100</xdr:rowOff>
    </xdr:from>
    <xdr:to>
      <xdr:col>5</xdr:col>
      <xdr:colOff>419100</xdr:colOff>
      <xdr:row>28</xdr:row>
      <xdr:rowOff>215900</xdr:rowOff>
    </xdr:to>
    <xdr:sp macro="" textlink="">
      <xdr:nvSpPr>
        <xdr:cNvPr id="6" name="Strzałka w górę 5">
          <a:extLst>
            <a:ext uri="{FF2B5EF4-FFF2-40B4-BE49-F238E27FC236}">
              <a16:creationId xmlns:a16="http://schemas.microsoft.com/office/drawing/2014/main" id="{00000000-0008-0000-1900-000011000000}"/>
            </a:ext>
          </a:extLst>
        </xdr:cNvPr>
        <xdr:cNvSpPr/>
      </xdr:nvSpPr>
      <xdr:spPr>
        <a:xfrm>
          <a:off x="4721225" y="3340100"/>
          <a:ext cx="142875" cy="4749800"/>
        </a:xfrm>
        <a:prstGeom prst="upArrow">
          <a:avLst/>
        </a:prstGeom>
        <a:gradFill flip="none" rotWithShape="1">
          <a:gsLst>
            <a:gs pos="0">
              <a:srgbClr val="E6EEF6"/>
            </a:gs>
            <a:gs pos="55000">
              <a:srgbClr val="366092">
                <a:lumMod val="45000"/>
                <a:lumOff val="55000"/>
              </a:srgbClr>
            </a:gs>
            <a:gs pos="80000">
              <a:srgbClr val="366092">
                <a:lumMod val="45000"/>
                <a:lumOff val="55000"/>
              </a:srgbClr>
            </a:gs>
            <a:gs pos="100000">
              <a:srgbClr val="366092"/>
            </a:gs>
          </a:gsLst>
          <a:lin ang="16200000" scaled="1"/>
          <a:tileRect/>
        </a:gradFill>
        <a:ln w="12700" cap="flat" cmpd="sng" algn="ctr">
          <a:solidFill>
            <a:srgbClr val="EEECE1">
              <a:lumMod val="90000"/>
              <a:alpha val="4000"/>
            </a:srgbClr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pl-PL" sz="1100" b="0" i="0" u="none" strike="noStrike" kern="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1</xdr:col>
      <xdr:colOff>3</xdr:colOff>
      <xdr:row>1</xdr:row>
      <xdr:rowOff>209546</xdr:rowOff>
    </xdr:to>
    <xdr:sp macro="" textlink="">
      <xdr:nvSpPr>
        <xdr:cNvPr id="7" name="pole tekstowe 6">
          <a:extLst>
            <a:ext uri="{FF2B5EF4-FFF2-40B4-BE49-F238E27FC236}">
              <a16:creationId xmlns:a16="http://schemas.microsoft.com/office/drawing/2014/main" id="{00000000-0008-0000-1900-000017000000}"/>
            </a:ext>
          </a:extLst>
        </xdr:cNvPr>
        <xdr:cNvSpPr txBox="1"/>
      </xdr:nvSpPr>
      <xdr:spPr>
        <a:xfrm rot="5400000">
          <a:off x="111129" y="-111129"/>
          <a:ext cx="527046" cy="749303"/>
        </a:xfrm>
        <a:prstGeom prst="rect">
          <a:avLst/>
        </a:prstGeom>
        <a:noFill/>
        <a:ln w="9525" cmpd="sng">
          <a:noFill/>
        </a:ln>
        <a:effectLst/>
      </xdr:spPr>
      <xdr:txBody>
        <a:bodyPr vertOverflow="clip" horzOverflow="clip" vert="vert270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l-PL" sz="900" b="0" i="0" u="none" strike="noStrike" kern="0" cap="none" spc="0" normalizeH="0" baseline="0" noProof="0">
              <a:ln>
                <a:noFill/>
              </a:ln>
              <a:solidFill>
                <a:srgbClr val="0066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SPIS     TREŚCI</a:t>
          </a:r>
        </a:p>
      </xdr:txBody>
    </xdr: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180975</xdr:rowOff>
    </xdr:from>
    <xdr:to>
      <xdr:col>0</xdr:col>
      <xdr:colOff>390525</xdr:colOff>
      <xdr:row>3</xdr:row>
      <xdr:rowOff>152400</xdr:rowOff>
    </xdr:to>
    <xdr:pic>
      <xdr:nvPicPr>
        <xdr:cNvPr id="2" name="Obraz 1">
          <a:extLst>
            <a:ext uri="{FF2B5EF4-FFF2-40B4-BE49-F238E27FC236}">
              <a16:creationId xmlns:a16="http://schemas.microsoft.com/office/drawing/2014/main" id="{00000000-0008-0000-1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15975"/>
          <a:ext cx="390525" cy="288925"/>
        </a:xfrm>
        <a:prstGeom prst="rect">
          <a:avLst/>
        </a:prstGeom>
      </xdr:spPr>
    </xdr:pic>
    <xdr:clientData/>
  </xdr:twoCellAnchor>
  <xdr:twoCellAnchor>
    <xdr:from>
      <xdr:col>0</xdr:col>
      <xdr:colOff>223817</xdr:colOff>
      <xdr:row>1</xdr:row>
      <xdr:rowOff>64656</xdr:rowOff>
    </xdr:from>
    <xdr:to>
      <xdr:col>0</xdr:col>
      <xdr:colOff>459455</xdr:colOff>
      <xdr:row>2</xdr:row>
      <xdr:rowOff>81554</xdr:rowOff>
    </xdr:to>
    <xdr:sp macro="" textlink="">
      <xdr:nvSpPr>
        <xdr:cNvPr id="3" name="Strzałka zakrzywiona w prawo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1A00-000003000000}"/>
            </a:ext>
          </a:extLst>
        </xdr:cNvPr>
        <xdr:cNvSpPr>
          <a:spLocks noChangeAspect="1"/>
        </xdr:cNvSpPr>
      </xdr:nvSpPr>
      <xdr:spPr>
        <a:xfrm rot="8249306">
          <a:off x="223817" y="382156"/>
          <a:ext cx="235638" cy="334398"/>
        </a:xfrm>
        <a:prstGeom prst="curvedRightArrow">
          <a:avLst/>
        </a:prstGeom>
        <a:solidFill>
          <a:srgbClr val="006E22"/>
        </a:solidFill>
        <a:ln w="19050" cap="flat" cmpd="sng" algn="ctr">
          <a:solidFill>
            <a:srgbClr val="9BBB59">
              <a:lumMod val="75000"/>
            </a:srgbClr>
          </a:solidFill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pl-PL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twoCellAnchor editAs="oneCell">
    <xdr:from>
      <xdr:col>12</xdr:col>
      <xdr:colOff>0</xdr:colOff>
      <xdr:row>0</xdr:row>
      <xdr:rowOff>38100</xdr:rowOff>
    </xdr:from>
    <xdr:to>
      <xdr:col>13</xdr:col>
      <xdr:colOff>152279</xdr:colOff>
      <xdr:row>0</xdr:row>
      <xdr:rowOff>214899</xdr:rowOff>
    </xdr:to>
    <xdr:pic>
      <xdr:nvPicPr>
        <xdr:cNvPr id="4" name="Obraz 3">
          <a:extLst>
            <a:ext uri="{FF2B5EF4-FFF2-40B4-BE49-F238E27FC236}">
              <a16:creationId xmlns:a16="http://schemas.microsoft.com/office/drawing/2014/main" id="{00000000-0008-0000-1A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690100" y="38100"/>
          <a:ext cx="793629" cy="176799"/>
        </a:xfrm>
        <a:prstGeom prst="rect">
          <a:avLst/>
        </a:prstGeom>
      </xdr:spPr>
    </xdr:pic>
    <xdr:clientData/>
  </xdr:twoCellAnchor>
  <xdr:twoCellAnchor editAs="oneCell">
    <xdr:from>
      <xdr:col>0</xdr:col>
      <xdr:colOff>390525</xdr:colOff>
      <xdr:row>2</xdr:row>
      <xdr:rowOff>180975</xdr:rowOff>
    </xdr:from>
    <xdr:to>
      <xdr:col>0</xdr:col>
      <xdr:colOff>678525</xdr:colOff>
      <xdr:row>3</xdr:row>
      <xdr:rowOff>152400</xdr:rowOff>
    </xdr:to>
    <xdr:pic>
      <xdr:nvPicPr>
        <xdr:cNvPr id="5" name="Obraz 4">
          <a:extLst>
            <a:ext uri="{FF2B5EF4-FFF2-40B4-BE49-F238E27FC236}">
              <a16:creationId xmlns:a16="http://schemas.microsoft.com/office/drawing/2014/main" id="{00000000-0008-0000-1A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10800000">
          <a:off x="390525" y="815975"/>
          <a:ext cx="288000" cy="288925"/>
        </a:xfrm>
        <a:prstGeom prst="rect">
          <a:avLst/>
        </a:prstGeom>
      </xdr:spPr>
    </xdr:pic>
    <xdr:clientData/>
  </xdr:twoCellAnchor>
  <xdr:twoCellAnchor>
    <xdr:from>
      <xdr:col>5</xdr:col>
      <xdr:colOff>295275</xdr:colOff>
      <xdr:row>10</xdr:row>
      <xdr:rowOff>0</xdr:rowOff>
    </xdr:from>
    <xdr:to>
      <xdr:col>5</xdr:col>
      <xdr:colOff>419100</xdr:colOff>
      <xdr:row>29</xdr:row>
      <xdr:rowOff>0</xdr:rowOff>
    </xdr:to>
    <xdr:sp macro="" textlink="">
      <xdr:nvSpPr>
        <xdr:cNvPr id="6" name="Strzałka w górę 5">
          <a:extLst>
            <a:ext uri="{FF2B5EF4-FFF2-40B4-BE49-F238E27FC236}">
              <a16:creationId xmlns:a16="http://schemas.microsoft.com/office/drawing/2014/main" id="{00000000-0008-0000-1A00-00000B000000}"/>
            </a:ext>
          </a:extLst>
        </xdr:cNvPr>
        <xdr:cNvSpPr/>
      </xdr:nvSpPr>
      <xdr:spPr>
        <a:xfrm>
          <a:off x="4740275" y="3295650"/>
          <a:ext cx="123825" cy="4826000"/>
        </a:xfrm>
        <a:prstGeom prst="upArrow">
          <a:avLst/>
        </a:prstGeom>
        <a:gradFill flip="none" rotWithShape="1">
          <a:gsLst>
            <a:gs pos="0">
              <a:srgbClr val="E6EEF6"/>
            </a:gs>
            <a:gs pos="55000">
              <a:srgbClr val="366092">
                <a:lumMod val="45000"/>
                <a:lumOff val="55000"/>
              </a:srgbClr>
            </a:gs>
            <a:gs pos="80000">
              <a:srgbClr val="366092">
                <a:lumMod val="45000"/>
                <a:lumOff val="55000"/>
              </a:srgbClr>
            </a:gs>
            <a:gs pos="100000">
              <a:srgbClr val="366092"/>
            </a:gs>
          </a:gsLst>
          <a:lin ang="16200000" scaled="1"/>
          <a:tileRect/>
        </a:gradFill>
        <a:ln w="12700" cap="flat" cmpd="sng" algn="ctr">
          <a:solidFill>
            <a:srgbClr val="EEECE1">
              <a:lumMod val="90000"/>
              <a:alpha val="4000"/>
            </a:srgbClr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pl-PL" sz="1100" b="0" i="0" u="none" strike="noStrike" kern="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1</xdr:col>
      <xdr:colOff>3</xdr:colOff>
      <xdr:row>1</xdr:row>
      <xdr:rowOff>209546</xdr:rowOff>
    </xdr:to>
    <xdr:sp macro="" textlink="">
      <xdr:nvSpPr>
        <xdr:cNvPr id="7" name="pole tekstowe 6">
          <a:extLst>
            <a:ext uri="{FF2B5EF4-FFF2-40B4-BE49-F238E27FC236}">
              <a16:creationId xmlns:a16="http://schemas.microsoft.com/office/drawing/2014/main" id="{00000000-0008-0000-1A00-00000D000000}"/>
            </a:ext>
          </a:extLst>
        </xdr:cNvPr>
        <xdr:cNvSpPr txBox="1"/>
      </xdr:nvSpPr>
      <xdr:spPr>
        <a:xfrm rot="5400000">
          <a:off x="111129" y="-111129"/>
          <a:ext cx="527046" cy="749303"/>
        </a:xfrm>
        <a:prstGeom prst="rect">
          <a:avLst/>
        </a:prstGeom>
        <a:noFill/>
        <a:ln w="9525" cmpd="sng">
          <a:noFill/>
        </a:ln>
        <a:effectLst/>
      </xdr:spPr>
      <xdr:txBody>
        <a:bodyPr vertOverflow="clip" horzOverflow="clip" vert="vert270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l-PL" sz="900" b="0" i="0" u="none" strike="noStrike" kern="0" cap="none" spc="0" normalizeH="0" baseline="0" noProof="0">
              <a:ln>
                <a:noFill/>
              </a:ln>
              <a:solidFill>
                <a:srgbClr val="0066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SPIS     TREŚCI</a:t>
          </a:r>
        </a:p>
      </xdr:txBody>
    </xdr: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180975</xdr:rowOff>
    </xdr:from>
    <xdr:to>
      <xdr:col>0</xdr:col>
      <xdr:colOff>384810</xdr:colOff>
      <xdr:row>3</xdr:row>
      <xdr:rowOff>152400</xdr:rowOff>
    </xdr:to>
    <xdr:pic>
      <xdr:nvPicPr>
        <xdr:cNvPr id="2" name="Obraz 1">
          <a:extLst>
            <a:ext uri="{FF2B5EF4-FFF2-40B4-BE49-F238E27FC236}">
              <a16:creationId xmlns:a16="http://schemas.microsoft.com/office/drawing/2014/main" id="{00000000-0008-0000-1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15975"/>
          <a:ext cx="384810" cy="288925"/>
        </a:xfrm>
        <a:prstGeom prst="rect">
          <a:avLst/>
        </a:prstGeom>
      </xdr:spPr>
    </xdr:pic>
    <xdr:clientData/>
  </xdr:twoCellAnchor>
  <xdr:twoCellAnchor>
    <xdr:from>
      <xdr:col>0</xdr:col>
      <xdr:colOff>223817</xdr:colOff>
      <xdr:row>1</xdr:row>
      <xdr:rowOff>64656</xdr:rowOff>
    </xdr:from>
    <xdr:to>
      <xdr:col>0</xdr:col>
      <xdr:colOff>459455</xdr:colOff>
      <xdr:row>2</xdr:row>
      <xdr:rowOff>81554</xdr:rowOff>
    </xdr:to>
    <xdr:sp macro="" textlink="">
      <xdr:nvSpPr>
        <xdr:cNvPr id="3" name="Strzałka zakrzywiona w prawo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1B00-000003000000}"/>
            </a:ext>
          </a:extLst>
        </xdr:cNvPr>
        <xdr:cNvSpPr>
          <a:spLocks noChangeAspect="1"/>
        </xdr:cNvSpPr>
      </xdr:nvSpPr>
      <xdr:spPr>
        <a:xfrm rot="8249306">
          <a:off x="223817" y="382156"/>
          <a:ext cx="235638" cy="334398"/>
        </a:xfrm>
        <a:prstGeom prst="curvedRightArrow">
          <a:avLst/>
        </a:prstGeom>
        <a:solidFill>
          <a:srgbClr val="006E22"/>
        </a:solidFill>
        <a:ln w="19050" cap="flat" cmpd="sng" algn="ctr">
          <a:solidFill>
            <a:srgbClr val="9BBB59">
              <a:lumMod val="75000"/>
            </a:srgbClr>
          </a:solidFill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pl-PL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twoCellAnchor editAs="oneCell">
    <xdr:from>
      <xdr:col>14</xdr:col>
      <xdr:colOff>628650</xdr:colOff>
      <xdr:row>0</xdr:row>
      <xdr:rowOff>57150</xdr:rowOff>
    </xdr:from>
    <xdr:to>
      <xdr:col>15</xdr:col>
      <xdr:colOff>682056</xdr:colOff>
      <xdr:row>0</xdr:row>
      <xdr:rowOff>232044</xdr:rowOff>
    </xdr:to>
    <xdr:pic>
      <xdr:nvPicPr>
        <xdr:cNvPr id="4" name="Obraz 3">
          <a:extLst>
            <a:ext uri="{FF2B5EF4-FFF2-40B4-BE49-F238E27FC236}">
              <a16:creationId xmlns:a16="http://schemas.microsoft.com/office/drawing/2014/main" id="{00000000-0008-0000-1B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817350" y="57150"/>
          <a:ext cx="802706" cy="174894"/>
        </a:xfrm>
        <a:prstGeom prst="rect">
          <a:avLst/>
        </a:prstGeom>
      </xdr:spPr>
    </xdr:pic>
    <xdr:clientData/>
  </xdr:twoCellAnchor>
  <xdr:twoCellAnchor editAs="oneCell">
    <xdr:from>
      <xdr:col>0</xdr:col>
      <xdr:colOff>377825</xdr:colOff>
      <xdr:row>2</xdr:row>
      <xdr:rowOff>180975</xdr:rowOff>
    </xdr:from>
    <xdr:to>
      <xdr:col>0</xdr:col>
      <xdr:colOff>669635</xdr:colOff>
      <xdr:row>3</xdr:row>
      <xdr:rowOff>152400</xdr:rowOff>
    </xdr:to>
    <xdr:pic>
      <xdr:nvPicPr>
        <xdr:cNvPr id="5" name="Obraz 4">
          <a:extLst>
            <a:ext uri="{FF2B5EF4-FFF2-40B4-BE49-F238E27FC236}">
              <a16:creationId xmlns:a16="http://schemas.microsoft.com/office/drawing/2014/main" id="{00000000-0008-0000-1B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10800000">
          <a:off x="377825" y="815975"/>
          <a:ext cx="291810" cy="288925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</xdr:col>
      <xdr:colOff>0</xdr:colOff>
      <xdr:row>1</xdr:row>
      <xdr:rowOff>209546</xdr:rowOff>
    </xdr:to>
    <xdr:sp macro="" textlink="">
      <xdr:nvSpPr>
        <xdr:cNvPr id="6" name="pole tekstowe 5">
          <a:extLst>
            <a:ext uri="{FF2B5EF4-FFF2-40B4-BE49-F238E27FC236}">
              <a16:creationId xmlns:a16="http://schemas.microsoft.com/office/drawing/2014/main" id="{00000000-0008-0000-1B00-00000A000000}"/>
            </a:ext>
          </a:extLst>
        </xdr:cNvPr>
        <xdr:cNvSpPr txBox="1"/>
      </xdr:nvSpPr>
      <xdr:spPr>
        <a:xfrm rot="5400000">
          <a:off x="111127" y="-111127"/>
          <a:ext cx="527046" cy="749300"/>
        </a:xfrm>
        <a:prstGeom prst="rect">
          <a:avLst/>
        </a:prstGeom>
        <a:noFill/>
        <a:ln w="9525" cmpd="sng">
          <a:noFill/>
        </a:ln>
        <a:effectLst/>
      </xdr:spPr>
      <xdr:txBody>
        <a:bodyPr vertOverflow="clip" horzOverflow="clip" vert="vert270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l-PL" sz="900" b="0" i="0" u="none" strike="noStrike" kern="0" cap="none" spc="0" normalizeH="0" baseline="0" noProof="0">
              <a:ln>
                <a:noFill/>
              </a:ln>
              <a:solidFill>
                <a:srgbClr val="0066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SPIS     TREŚCI</a:t>
          </a:r>
        </a:p>
      </xdr:txBody>
    </xdr: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713294</xdr:colOff>
      <xdr:row>3</xdr:row>
      <xdr:rowOff>146111</xdr:rowOff>
    </xdr:to>
    <xdr:grpSp>
      <xdr:nvGrpSpPr>
        <xdr:cNvPr id="2" name="Grupa 1">
          <a:extLst>
            <a:ext uri="{FF2B5EF4-FFF2-40B4-BE49-F238E27FC236}">
              <a16:creationId xmlns:a16="http://schemas.microsoft.com/office/drawing/2014/main" id="{6E5D9C3C-E615-4FE9-BF19-560842232EB1}"/>
            </a:ext>
          </a:extLst>
        </xdr:cNvPr>
        <xdr:cNvGrpSpPr/>
      </xdr:nvGrpSpPr>
      <xdr:grpSpPr>
        <a:xfrm>
          <a:off x="0" y="0"/>
          <a:ext cx="713294" cy="1089086"/>
          <a:chOff x="0" y="0"/>
          <a:chExt cx="713294" cy="1100292"/>
        </a:xfrm>
      </xdr:grpSpPr>
      <xdr:pic>
        <xdr:nvPicPr>
          <xdr:cNvPr id="3" name="Obraz 2">
            <a:extLst>
              <a:ext uri="{FF2B5EF4-FFF2-40B4-BE49-F238E27FC236}">
                <a16:creationId xmlns:a16="http://schemas.microsoft.com/office/drawing/2014/main" id="{D6D1B8DB-054E-618D-C750-F82CC6FA8FB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0" y="0"/>
            <a:ext cx="713294" cy="524301"/>
          </a:xfrm>
          <a:prstGeom prst="rect">
            <a:avLst/>
          </a:prstGeom>
        </xdr:spPr>
      </xdr:pic>
      <xdr:pic>
        <xdr:nvPicPr>
          <xdr:cNvPr id="4" name="Obraz 3">
            <a:hlinkClick xmlns:r="http://schemas.openxmlformats.org/officeDocument/2006/relationships" r:id="rId2"/>
            <a:extLst>
              <a:ext uri="{FF2B5EF4-FFF2-40B4-BE49-F238E27FC236}">
                <a16:creationId xmlns:a16="http://schemas.microsoft.com/office/drawing/2014/main" id="{C6F5B1B2-4B05-0F36-D020-01F51FE3356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200025" y="400050"/>
            <a:ext cx="317019" cy="341406"/>
          </a:xfrm>
          <a:prstGeom prst="rect">
            <a:avLst/>
          </a:prstGeom>
        </xdr:spPr>
      </xdr:pic>
      <xdr:grpSp>
        <xdr:nvGrpSpPr>
          <xdr:cNvPr id="5" name="Grupa 4">
            <a:extLst>
              <a:ext uri="{FF2B5EF4-FFF2-40B4-BE49-F238E27FC236}">
                <a16:creationId xmlns:a16="http://schemas.microsoft.com/office/drawing/2014/main" id="{FE61B113-93CB-B1DD-3081-C0A6FF2239B4}"/>
              </a:ext>
            </a:extLst>
          </xdr:cNvPr>
          <xdr:cNvGrpSpPr/>
        </xdr:nvGrpSpPr>
        <xdr:grpSpPr>
          <a:xfrm>
            <a:off x="0" y="800100"/>
            <a:ext cx="671173" cy="300192"/>
            <a:chOff x="0" y="794069"/>
            <a:chExt cx="671173" cy="302016"/>
          </a:xfrm>
        </xdr:grpSpPr>
        <xdr:sp macro="" textlink="">
          <xdr:nvSpPr>
            <xdr:cNvPr id="6" name="pole tekstowe 5">
              <a:extLst>
                <a:ext uri="{FF2B5EF4-FFF2-40B4-BE49-F238E27FC236}">
                  <a16:creationId xmlns:a16="http://schemas.microsoft.com/office/drawing/2014/main" id="{5087A7FD-CB66-7540-AA70-30A16A5DC9AB}"/>
                </a:ext>
              </a:extLst>
            </xdr:cNvPr>
            <xdr:cNvSpPr txBox="1"/>
          </xdr:nvSpPr>
          <xdr:spPr>
            <a:xfrm>
              <a:off x="0" y="794223"/>
              <a:ext cx="397669" cy="301861"/>
            </a:xfrm>
            <a:prstGeom prst="rect">
              <a:avLst/>
            </a:prstGeom>
            <a:solidFill>
              <a:srgbClr val="FF552D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endParaRPr lang="pl-PL" sz="1100"/>
            </a:p>
          </xdr:txBody>
        </xdr:sp>
        <xdr:sp macro="" textlink="">
          <xdr:nvSpPr>
            <xdr:cNvPr id="7" name="Schemat blokowy: opóźnienie 6">
              <a:extLst>
                <a:ext uri="{FF2B5EF4-FFF2-40B4-BE49-F238E27FC236}">
                  <a16:creationId xmlns:a16="http://schemas.microsoft.com/office/drawing/2014/main" id="{5C838C02-2C28-A81A-510B-CC685D4E74FD}"/>
                </a:ext>
              </a:extLst>
            </xdr:cNvPr>
            <xdr:cNvSpPr/>
          </xdr:nvSpPr>
          <xdr:spPr>
            <a:xfrm>
              <a:off x="362302" y="794069"/>
              <a:ext cx="308871" cy="302016"/>
            </a:xfrm>
            <a:prstGeom prst="flowChartDelay">
              <a:avLst/>
            </a:prstGeom>
            <a:solidFill>
              <a:srgbClr val="FF552D"/>
            </a:solidFill>
            <a:ln w="63500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/>
            <a:p>
              <a:endParaRPr lang="pl-PL"/>
            </a:p>
          </xdr:txBody>
        </xdr:sp>
      </xdr:grpSp>
    </xdr:grp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593663</xdr:colOff>
      <xdr:row>0</xdr:row>
      <xdr:rowOff>19050</xdr:rowOff>
    </xdr:from>
    <xdr:to>
      <xdr:col>15</xdr:col>
      <xdr:colOff>672619</xdr:colOff>
      <xdr:row>0</xdr:row>
      <xdr:rowOff>199050</xdr:rowOff>
    </xdr:to>
    <xdr:pic>
      <xdr:nvPicPr>
        <xdr:cNvPr id="2" name="Obraz 1">
          <a:extLst>
            <a:ext uri="{FF2B5EF4-FFF2-40B4-BE49-F238E27FC236}">
              <a16:creationId xmlns:a16="http://schemas.microsoft.com/office/drawing/2014/main" id="{00000000-0008-0000-1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594913" y="19050"/>
          <a:ext cx="793331" cy="18000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0</xdr:col>
      <xdr:colOff>713294</xdr:colOff>
      <xdr:row>3</xdr:row>
      <xdr:rowOff>146111</xdr:rowOff>
    </xdr:to>
    <xdr:grpSp>
      <xdr:nvGrpSpPr>
        <xdr:cNvPr id="15" name="Grupa 14">
          <a:extLst>
            <a:ext uri="{FF2B5EF4-FFF2-40B4-BE49-F238E27FC236}">
              <a16:creationId xmlns:a16="http://schemas.microsoft.com/office/drawing/2014/main" id="{D722A36D-5DA1-4EDD-BAA3-C96D86413621}"/>
            </a:ext>
          </a:extLst>
        </xdr:cNvPr>
        <xdr:cNvGrpSpPr/>
      </xdr:nvGrpSpPr>
      <xdr:grpSpPr>
        <a:xfrm>
          <a:off x="0" y="0"/>
          <a:ext cx="713294" cy="1098611"/>
          <a:chOff x="0" y="0"/>
          <a:chExt cx="713294" cy="1100292"/>
        </a:xfrm>
      </xdr:grpSpPr>
      <xdr:pic>
        <xdr:nvPicPr>
          <xdr:cNvPr id="16" name="Obraz 15">
            <a:extLst>
              <a:ext uri="{FF2B5EF4-FFF2-40B4-BE49-F238E27FC236}">
                <a16:creationId xmlns:a16="http://schemas.microsoft.com/office/drawing/2014/main" id="{23A111FE-4805-351E-9059-A03F119FCE2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0" y="0"/>
            <a:ext cx="713294" cy="524301"/>
          </a:xfrm>
          <a:prstGeom prst="rect">
            <a:avLst/>
          </a:prstGeom>
        </xdr:spPr>
      </xdr:pic>
      <xdr:pic>
        <xdr:nvPicPr>
          <xdr:cNvPr id="17" name="Obraz 16">
            <a:hlinkClick xmlns:r="http://schemas.openxmlformats.org/officeDocument/2006/relationships" r:id="rId3"/>
            <a:extLst>
              <a:ext uri="{FF2B5EF4-FFF2-40B4-BE49-F238E27FC236}">
                <a16:creationId xmlns:a16="http://schemas.microsoft.com/office/drawing/2014/main" id="{37C356B3-4132-D741-9637-612686C0705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200025" y="400050"/>
            <a:ext cx="317019" cy="341406"/>
          </a:xfrm>
          <a:prstGeom prst="rect">
            <a:avLst/>
          </a:prstGeom>
        </xdr:spPr>
      </xdr:pic>
      <xdr:grpSp>
        <xdr:nvGrpSpPr>
          <xdr:cNvPr id="18" name="Grupa 17">
            <a:extLst>
              <a:ext uri="{FF2B5EF4-FFF2-40B4-BE49-F238E27FC236}">
                <a16:creationId xmlns:a16="http://schemas.microsoft.com/office/drawing/2014/main" id="{9143D150-BC89-FC2F-99CC-EC4F492B71EB}"/>
              </a:ext>
            </a:extLst>
          </xdr:cNvPr>
          <xdr:cNvGrpSpPr/>
        </xdr:nvGrpSpPr>
        <xdr:grpSpPr>
          <a:xfrm>
            <a:off x="0" y="800100"/>
            <a:ext cx="671173" cy="300192"/>
            <a:chOff x="0" y="794069"/>
            <a:chExt cx="671173" cy="302016"/>
          </a:xfrm>
        </xdr:grpSpPr>
        <xdr:sp macro="" textlink="">
          <xdr:nvSpPr>
            <xdr:cNvPr id="19" name="pole tekstowe 18">
              <a:extLst>
                <a:ext uri="{FF2B5EF4-FFF2-40B4-BE49-F238E27FC236}">
                  <a16:creationId xmlns:a16="http://schemas.microsoft.com/office/drawing/2014/main" id="{EFBD1712-7F26-17C8-74AA-BCE286C9F55A}"/>
                </a:ext>
              </a:extLst>
            </xdr:cNvPr>
            <xdr:cNvSpPr txBox="1"/>
          </xdr:nvSpPr>
          <xdr:spPr>
            <a:xfrm>
              <a:off x="0" y="794223"/>
              <a:ext cx="397669" cy="301861"/>
            </a:xfrm>
            <a:prstGeom prst="rect">
              <a:avLst/>
            </a:prstGeom>
            <a:solidFill>
              <a:srgbClr val="FF552D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endParaRPr lang="pl-PL" sz="1100"/>
            </a:p>
          </xdr:txBody>
        </xdr:sp>
        <xdr:sp macro="" textlink="">
          <xdr:nvSpPr>
            <xdr:cNvPr id="20" name="Schemat blokowy: opóźnienie 19">
              <a:extLst>
                <a:ext uri="{FF2B5EF4-FFF2-40B4-BE49-F238E27FC236}">
                  <a16:creationId xmlns:a16="http://schemas.microsoft.com/office/drawing/2014/main" id="{C8F2F8EA-0842-D890-26FB-C4F75C1C85F1}"/>
                </a:ext>
              </a:extLst>
            </xdr:cNvPr>
            <xdr:cNvSpPr/>
          </xdr:nvSpPr>
          <xdr:spPr>
            <a:xfrm>
              <a:off x="362302" y="794069"/>
              <a:ext cx="308871" cy="302016"/>
            </a:xfrm>
            <a:prstGeom prst="flowChartDelay">
              <a:avLst/>
            </a:prstGeom>
            <a:solidFill>
              <a:srgbClr val="FF552D"/>
            </a:solidFill>
            <a:ln w="63500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/>
            <a:p>
              <a:endParaRPr lang="pl-PL"/>
            </a:p>
          </xdr:txBody>
        </xdr:sp>
      </xdr:grpSp>
    </xdr:grp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rianna\moje%20dokumen\Moje%20dokumenty\Moje%20dokumenty\BiuletynInf\BiuletynInf\Charakterystyka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MINROLDATA\Wydzia&#322;%20Informacji%20Rynkowej%20i%20Statystyki%20Rolnej$\Users\apater.ADMINROL\Documents\Kopia%20pig-price-europa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MINROLDATA\Wydzia&#322;%20Informacji%20Rynkowej%20i%20Statystyki%20Rolnej$\!!!%20WYMIANA\19%20ROBOTYZACJA\NOWY%20BIULETYN\wieprzowina%20x_2026.xlsm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!!!%20WYMIANA/8%20Owoce%20i%20Warzywa/BiuletynInf/Wykresy_detal_jab&#322;ka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!!!%20WYMIANA/1%20Wieprzowina/1%20BIULETYN/wieprzowina%2025_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wyn1"/>
      <sheetName val="Zestawienie2"/>
      <sheetName val="MINMAX"/>
      <sheetName val="SPRAWDZANIE (2)"/>
      <sheetName val="tabelaWARZ"/>
      <sheetName val="WK"/>
      <sheetName val="tabelaOW"/>
      <sheetName val="OK"/>
      <sheetName val="do danych"/>
      <sheetName val="dane"/>
      <sheetName val="WersjaAng"/>
      <sheetName val="Moduł1"/>
      <sheetName val="Moduł2"/>
      <sheetName val="Moduł3"/>
      <sheetName val="Moduł4"/>
      <sheetName val="Moduł5"/>
      <sheetName val="Moduł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mis Exchange rate"/>
      <sheetName val="COVER"/>
      <sheetName val="Prices"/>
      <sheetName val="Weekly Piglet prices"/>
      <sheetName val="Class S"/>
      <sheetName val="Class E"/>
      <sheetName val="Class R"/>
      <sheetName val="Graphs Prices"/>
      <sheetName val="Monthly piglet prices"/>
      <sheetName val="Monthly pig prices-Classe S "/>
      <sheetName val="Monthly pig prices-Classe E"/>
      <sheetName val="Monthly pig prices-Class R"/>
      <sheetName val="Annual pig price-Class E"/>
      <sheetName val="Annual piglet price"/>
    </sheetNames>
    <sheetDataSet>
      <sheetData sheetId="0">
        <row r="2">
          <cell r="D2">
            <v>41426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O"/>
      <sheetName val="SPIS"/>
      <sheetName val="DODATKOWE INFO"/>
      <sheetName val="ZAKUP EUROP"/>
      <sheetName val="ZAKUP ŻYWIEC"/>
      <sheetName val="ZAKUP ŻYWIEC WYKRES TYG"/>
      <sheetName val="ZAKUP KL. E WYKRES TYG"/>
      <sheetName val="STRUKTURA EUROP"/>
      <sheetName val="ZAKUP MIN_MAX"/>
      <sheetName val="ZAKUP EUROP MCE"/>
      <sheetName val="ZAKUP ŻYWIEC MSC"/>
      <sheetName val="ZAKUP ŻYWIEC WYKRES MSC"/>
      <sheetName val="SPRZEDAŻ PÓŁTUSZ"/>
      <sheetName val="SPRZEDAŻ PÓŁTUSZ WYKRES TYG"/>
      <sheetName val="SPRZEDAŻ PÓŁTUSZ WYKRES MSC"/>
      <sheetName val="SPRZEDAŻ ELEMENTY"/>
      <sheetName val="SPRZEDAŻ WYBRANE ELEMENTY MSC"/>
      <sheetName val="ZAKUP DETAL"/>
      <sheetName val="Ceny_miesieczneUE_IV_2021"/>
      <sheetName val="UE (KRAJE) - KL. E"/>
      <sheetName val="UE (KRAJE) - KL. E WYKRES TYG"/>
      <sheetName val="PL, DE, UE - KL. E WYKRES"/>
      <sheetName val="UE (KRAJE) - KL. E MSC"/>
      <sheetName val="UE (KRAJE) - KL. E WYKRES MSC"/>
      <sheetName val="SALDO I-XI 2025"/>
      <sheetName val="EXP-IMP KRAJE I-XI 2025"/>
      <sheetName val="EXP-IMP KRAJE 23_24"/>
      <sheetName val="KRAJE ZMIANY CN 0203"/>
      <sheetName val="KRAJE ZMIANY CN 0103"/>
      <sheetName val="UBOJE GUS"/>
      <sheetName val="POMOC"/>
    </sheetNames>
    <sheetDataSet>
      <sheetData sheetId="0"/>
      <sheetData sheetId="1"/>
      <sheetData sheetId="2"/>
      <sheetData sheetId="3"/>
      <sheetData sheetId="4"/>
      <sheetData sheetId="5"/>
      <sheetData sheetId="6">
        <row r="25">
          <cell r="C25">
            <v>2021</v>
          </cell>
          <cell r="D25"/>
        </row>
        <row r="27">
          <cell r="B27">
            <v>1</v>
          </cell>
          <cell r="D27">
            <v>5051.33</v>
          </cell>
        </row>
        <row r="28">
          <cell r="B28">
            <v>2</v>
          </cell>
          <cell r="D28">
            <v>5133.78</v>
          </cell>
        </row>
        <row r="29">
          <cell r="B29">
            <v>3</v>
          </cell>
          <cell r="D29">
            <v>5154.1899999999996</v>
          </cell>
        </row>
        <row r="30">
          <cell r="B30">
            <v>4</v>
          </cell>
          <cell r="D30">
            <v>5191.0200000000004</v>
          </cell>
        </row>
        <row r="31">
          <cell r="B31">
            <v>5</v>
          </cell>
          <cell r="D31">
            <v>5300.09</v>
          </cell>
        </row>
        <row r="32">
          <cell r="B32">
            <v>6</v>
          </cell>
          <cell r="D32">
            <v>5458.35</v>
          </cell>
        </row>
        <row r="33">
          <cell r="B33">
            <v>7</v>
          </cell>
          <cell r="D33">
            <v>5677.76</v>
          </cell>
        </row>
        <row r="34">
          <cell r="B34">
            <v>8</v>
          </cell>
          <cell r="D34">
            <v>6142.38</v>
          </cell>
        </row>
        <row r="35">
          <cell r="B35">
            <v>9</v>
          </cell>
          <cell r="D35">
            <v>6583.41</v>
          </cell>
        </row>
        <row r="36">
          <cell r="B36">
            <v>10</v>
          </cell>
          <cell r="D36">
            <v>6902.64</v>
          </cell>
        </row>
        <row r="37">
          <cell r="B37">
            <v>11</v>
          </cell>
          <cell r="D37">
            <v>7127.55</v>
          </cell>
        </row>
        <row r="38">
          <cell r="B38">
            <v>12</v>
          </cell>
          <cell r="D38">
            <v>7034.41</v>
          </cell>
        </row>
        <row r="39">
          <cell r="B39">
            <v>13</v>
          </cell>
          <cell r="D39">
            <v>6946.15</v>
          </cell>
        </row>
        <row r="40">
          <cell r="B40">
            <v>14</v>
          </cell>
          <cell r="D40">
            <v>6939.59</v>
          </cell>
        </row>
        <row r="41">
          <cell r="B41">
            <v>15</v>
          </cell>
          <cell r="D41">
            <v>6937.16</v>
          </cell>
        </row>
        <row r="42">
          <cell r="B42">
            <v>16</v>
          </cell>
          <cell r="D42">
            <v>6831.71</v>
          </cell>
        </row>
        <row r="43">
          <cell r="B43">
            <v>17</v>
          </cell>
          <cell r="D43">
            <v>6609.45</v>
          </cell>
        </row>
        <row r="44">
          <cell r="B44">
            <v>18</v>
          </cell>
          <cell r="D44">
            <v>6586.37</v>
          </cell>
        </row>
        <row r="45">
          <cell r="B45">
            <v>19</v>
          </cell>
          <cell r="D45">
            <v>6681.8</v>
          </cell>
        </row>
        <row r="46">
          <cell r="B46">
            <v>20</v>
          </cell>
          <cell r="D46">
            <v>7235.33</v>
          </cell>
        </row>
        <row r="47">
          <cell r="B47">
            <v>21</v>
          </cell>
          <cell r="D47">
            <v>7437.18</v>
          </cell>
        </row>
        <row r="48">
          <cell r="B48">
            <v>22</v>
          </cell>
          <cell r="D48">
            <v>7277.45</v>
          </cell>
        </row>
        <row r="49">
          <cell r="B49">
            <v>23</v>
          </cell>
          <cell r="D49">
            <v>7247.88</v>
          </cell>
        </row>
        <row r="50">
          <cell r="B50">
            <v>24</v>
          </cell>
          <cell r="D50">
            <v>7058.71</v>
          </cell>
        </row>
        <row r="51">
          <cell r="B51">
            <v>25</v>
          </cell>
          <cell r="D51">
            <v>6739.52</v>
          </cell>
        </row>
        <row r="52">
          <cell r="B52">
            <v>26</v>
          </cell>
          <cell r="D52">
            <v>6575.19</v>
          </cell>
        </row>
        <row r="53">
          <cell r="B53">
            <v>27</v>
          </cell>
          <cell r="D53">
            <v>6584.84</v>
          </cell>
        </row>
        <row r="54">
          <cell r="B54">
            <v>28</v>
          </cell>
          <cell r="D54">
            <v>6515.92</v>
          </cell>
        </row>
        <row r="55">
          <cell r="B55">
            <v>29</v>
          </cell>
          <cell r="D55">
            <v>6398.02</v>
          </cell>
        </row>
        <row r="56">
          <cell r="B56">
            <v>30</v>
          </cell>
          <cell r="D56">
            <v>6634.27</v>
          </cell>
        </row>
        <row r="57">
          <cell r="B57">
            <v>31</v>
          </cell>
          <cell r="D57">
            <v>6725.34</v>
          </cell>
        </row>
        <row r="58">
          <cell r="B58">
            <v>32</v>
          </cell>
          <cell r="D58">
            <v>6606.7</v>
          </cell>
        </row>
        <row r="59">
          <cell r="B59">
            <v>33</v>
          </cell>
          <cell r="D59">
            <v>6651.31</v>
          </cell>
        </row>
        <row r="60">
          <cell r="B60">
            <v>34</v>
          </cell>
          <cell r="D60">
            <v>6423.77</v>
          </cell>
        </row>
        <row r="61">
          <cell r="B61">
            <v>35</v>
          </cell>
          <cell r="D61">
            <v>6117.29</v>
          </cell>
        </row>
        <row r="62">
          <cell r="B62">
            <v>36</v>
          </cell>
          <cell r="D62">
            <v>5883.29</v>
          </cell>
        </row>
        <row r="63">
          <cell r="B63">
            <v>37</v>
          </cell>
          <cell r="D63">
            <v>5701.26</v>
          </cell>
        </row>
        <row r="64">
          <cell r="B64">
            <v>38</v>
          </cell>
          <cell r="D64">
            <v>5660.83</v>
          </cell>
        </row>
        <row r="65">
          <cell r="B65">
            <v>39</v>
          </cell>
          <cell r="D65">
            <v>5598.65</v>
          </cell>
        </row>
        <row r="66">
          <cell r="B66">
            <v>40</v>
          </cell>
          <cell r="D66">
            <v>5557.99</v>
          </cell>
        </row>
        <row r="67">
          <cell r="B67">
            <v>41</v>
          </cell>
          <cell r="D67">
            <v>5398.01</v>
          </cell>
        </row>
        <row r="68">
          <cell r="B68">
            <v>42</v>
          </cell>
          <cell r="D68">
            <v>5390.47</v>
          </cell>
        </row>
        <row r="69">
          <cell r="B69">
            <v>43</v>
          </cell>
          <cell r="D69">
            <v>5370.37</v>
          </cell>
        </row>
        <row r="70">
          <cell r="B70">
            <v>44</v>
          </cell>
          <cell r="D70">
            <v>5435.2</v>
          </cell>
        </row>
        <row r="71">
          <cell r="B71">
            <v>45</v>
          </cell>
          <cell r="D71">
            <v>5482.13</v>
          </cell>
        </row>
        <row r="72">
          <cell r="B72">
            <v>46</v>
          </cell>
          <cell r="D72">
            <v>5490.34</v>
          </cell>
        </row>
        <row r="73">
          <cell r="B73">
            <v>47</v>
          </cell>
          <cell r="D73">
            <v>5538.97</v>
          </cell>
        </row>
        <row r="74">
          <cell r="B74">
            <v>48</v>
          </cell>
          <cell r="D74">
            <v>5615.87</v>
          </cell>
        </row>
        <row r="75">
          <cell r="B75">
            <v>49</v>
          </cell>
          <cell r="D75">
            <v>5890.51</v>
          </cell>
        </row>
        <row r="76">
          <cell r="B76">
            <v>50</v>
          </cell>
          <cell r="D76">
            <v>6067.82</v>
          </cell>
        </row>
        <row r="77">
          <cell r="B77">
            <v>51</v>
          </cell>
          <cell r="D77">
            <v>5927.55</v>
          </cell>
        </row>
        <row r="78">
          <cell r="B78">
            <v>52</v>
          </cell>
          <cell r="D78">
            <v>5857.07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>
        <row r="5">
          <cell r="B5" t="str">
            <v>Notowania 12 - 18.01.2026 / Tydzień 3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YKRES JAPKA"/>
    </sheetNames>
    <sheetDataSet>
      <sheetData sheetId="0">
        <row r="25">
          <cell r="E25" t="str">
            <v>Gala</v>
          </cell>
          <cell r="F25"/>
          <cell r="G25" t="str">
            <v>Golden</v>
          </cell>
          <cell r="H25"/>
          <cell r="I25" t="str">
            <v>Jonagold</v>
          </cell>
          <cell r="J25"/>
          <cell r="K25" t="str">
            <v>Ligol</v>
          </cell>
          <cell r="L25"/>
          <cell r="M25" t="str">
            <v>Szampion</v>
          </cell>
          <cell r="N25"/>
        </row>
        <row r="27">
          <cell r="B27">
            <v>1</v>
          </cell>
          <cell r="F27">
            <v>3.5213000000000001</v>
          </cell>
          <cell r="H27">
            <v>3.3759999999999999</v>
          </cell>
          <cell r="J27">
            <v>2.8826999999999998</v>
          </cell>
          <cell r="L27">
            <v>3.113</v>
          </cell>
          <cell r="N27">
            <v>2.7725</v>
          </cell>
        </row>
        <row r="28">
          <cell r="B28">
            <v>2</v>
          </cell>
          <cell r="F28">
            <v>3.5</v>
          </cell>
          <cell r="H28">
            <v>3.3536999999999999</v>
          </cell>
          <cell r="J28">
            <v>2.7440000000000002</v>
          </cell>
          <cell r="L28">
            <v>3.1619000000000002</v>
          </cell>
          <cell r="N28">
            <v>2.9426000000000001</v>
          </cell>
        </row>
        <row r="29">
          <cell r="B29">
            <v>3</v>
          </cell>
          <cell r="F29">
            <v>3.4409999999999998</v>
          </cell>
          <cell r="H29">
            <v>3.3</v>
          </cell>
          <cell r="J29">
            <v>2.7898000000000001</v>
          </cell>
          <cell r="L29">
            <v>3.09</v>
          </cell>
          <cell r="N29">
            <v>3.04</v>
          </cell>
        </row>
        <row r="30">
          <cell r="B30">
            <v>4</v>
          </cell>
          <cell r="F30">
            <v>3.49</v>
          </cell>
          <cell r="H30">
            <v>3.29</v>
          </cell>
          <cell r="J30">
            <v>2.7948</v>
          </cell>
          <cell r="L30">
            <v>3.1854</v>
          </cell>
          <cell r="N30">
            <v>2.94</v>
          </cell>
        </row>
        <row r="31">
          <cell r="B31">
            <v>5</v>
          </cell>
          <cell r="F31">
            <v>3.4611000000000001</v>
          </cell>
          <cell r="H31">
            <v>3.2454999999999998</v>
          </cell>
          <cell r="J31">
            <v>2.89</v>
          </cell>
          <cell r="L31">
            <v>3.14</v>
          </cell>
          <cell r="N31">
            <v>2.8281000000000001</v>
          </cell>
        </row>
        <row r="32">
          <cell r="B32">
            <v>6</v>
          </cell>
          <cell r="F32">
            <v>3.32</v>
          </cell>
          <cell r="H32">
            <v>3.2389999999999999</v>
          </cell>
          <cell r="J32">
            <v>2.6</v>
          </cell>
          <cell r="L32">
            <v>3.07</v>
          </cell>
          <cell r="N32">
            <v>2.9943</v>
          </cell>
        </row>
        <row r="33">
          <cell r="B33">
            <v>7</v>
          </cell>
          <cell r="F33">
            <v>3.2433000000000001</v>
          </cell>
          <cell r="H33">
            <v>3.1158999999999999</v>
          </cell>
          <cell r="J33">
            <v>2.63</v>
          </cell>
          <cell r="L33">
            <v>2.96</v>
          </cell>
          <cell r="N33">
            <v>2.7351000000000001</v>
          </cell>
        </row>
        <row r="34">
          <cell r="B34">
            <v>8</v>
          </cell>
          <cell r="F34">
            <v>3.2433000000000001</v>
          </cell>
          <cell r="H34">
            <v>3.1158999999999999</v>
          </cell>
          <cell r="J34">
            <v>2.6315</v>
          </cell>
          <cell r="L34">
            <v>2.96</v>
          </cell>
          <cell r="N34">
            <v>2.7351000000000001</v>
          </cell>
        </row>
        <row r="35">
          <cell r="B35">
            <v>9</v>
          </cell>
          <cell r="F35">
            <v>3.3834</v>
          </cell>
          <cell r="H35">
            <v>3.2290000000000001</v>
          </cell>
          <cell r="J35">
            <v>2.5609999999999999</v>
          </cell>
          <cell r="L35">
            <v>3.3279999999999998</v>
          </cell>
          <cell r="N35">
            <v>2.9116</v>
          </cell>
        </row>
        <row r="36">
          <cell r="B36">
            <v>10</v>
          </cell>
          <cell r="F36">
            <v>3.4159000000000002</v>
          </cell>
          <cell r="H36">
            <v>3.2921999999999998</v>
          </cell>
          <cell r="J36">
            <v>2.625</v>
          </cell>
          <cell r="L36">
            <v>3.11</v>
          </cell>
          <cell r="N36">
            <v>2.9224999999999999</v>
          </cell>
        </row>
        <row r="37">
          <cell r="B37">
            <v>11</v>
          </cell>
          <cell r="F37">
            <v>3.4468000000000001</v>
          </cell>
          <cell r="H37">
            <v>3.1718999999999999</v>
          </cell>
          <cell r="J37">
            <v>2.5804999999999998</v>
          </cell>
          <cell r="L37">
            <v>3.0244</v>
          </cell>
          <cell r="N37">
            <v>2.8206000000000002</v>
          </cell>
        </row>
        <row r="38">
          <cell r="B38">
            <v>12</v>
          </cell>
          <cell r="F38">
            <v>3.2669999999999999</v>
          </cell>
          <cell r="H38">
            <v>3.2115999999999998</v>
          </cell>
          <cell r="J38">
            <v>2.5539999999999998</v>
          </cell>
          <cell r="L38">
            <v>3.0729000000000002</v>
          </cell>
          <cell r="N38">
            <v>2.6899000000000002</v>
          </cell>
        </row>
        <row r="39">
          <cell r="B39">
            <v>13</v>
          </cell>
          <cell r="F39">
            <v>3.43</v>
          </cell>
          <cell r="H39">
            <v>3.2</v>
          </cell>
          <cell r="J39">
            <v>2.62</v>
          </cell>
          <cell r="L39">
            <v>2.9188999999999998</v>
          </cell>
          <cell r="N39">
            <v>2.7490000000000001</v>
          </cell>
        </row>
        <row r="40">
          <cell r="B40">
            <v>14</v>
          </cell>
          <cell r="F40">
            <v>3.4769999999999999</v>
          </cell>
          <cell r="H40">
            <v>2.1949000000000001</v>
          </cell>
          <cell r="J40">
            <v>2.6680999999999999</v>
          </cell>
          <cell r="L40">
            <v>3.02</v>
          </cell>
          <cell r="N40">
            <v>2.71</v>
          </cell>
        </row>
        <row r="41">
          <cell r="B41">
            <v>15</v>
          </cell>
          <cell r="F41">
            <v>3.4769999999999999</v>
          </cell>
          <cell r="H41">
            <v>2.1949000000000001</v>
          </cell>
          <cell r="J41">
            <v>2.7</v>
          </cell>
          <cell r="L41">
            <v>3</v>
          </cell>
          <cell r="N41">
            <v>2.7</v>
          </cell>
        </row>
        <row r="42">
          <cell r="B42">
            <v>16</v>
          </cell>
          <cell r="F42">
            <v>3.58</v>
          </cell>
          <cell r="H42">
            <v>3.2498999999999998</v>
          </cell>
          <cell r="J42">
            <v>2.6118000000000001</v>
          </cell>
          <cell r="L42">
            <v>3.1</v>
          </cell>
          <cell r="N42">
            <v>2.9338000000000002</v>
          </cell>
        </row>
        <row r="43">
          <cell r="B43">
            <v>17</v>
          </cell>
          <cell r="F43">
            <v>3.66</v>
          </cell>
          <cell r="H43">
            <v>3.26</v>
          </cell>
          <cell r="J43">
            <v>2.62</v>
          </cell>
          <cell r="L43">
            <v>3.13</v>
          </cell>
          <cell r="N43">
            <v>2.7892999999999999</v>
          </cell>
        </row>
        <row r="44">
          <cell r="B44">
            <v>18</v>
          </cell>
          <cell r="F44">
            <v>3.63</v>
          </cell>
          <cell r="H44">
            <v>3.3170000000000002</v>
          </cell>
          <cell r="J44">
            <v>2.6257999999999999</v>
          </cell>
          <cell r="L44">
            <v>3.1684000000000001</v>
          </cell>
          <cell r="N44">
            <v>2.9571999999999998</v>
          </cell>
        </row>
        <row r="45">
          <cell r="B45">
            <v>19</v>
          </cell>
          <cell r="F45">
            <v>3.657</v>
          </cell>
          <cell r="H45">
            <v>3.2989999999999999</v>
          </cell>
          <cell r="J45">
            <v>2.831</v>
          </cell>
          <cell r="L45">
            <v>3.1</v>
          </cell>
          <cell r="N45">
            <v>2.7924000000000002</v>
          </cell>
        </row>
        <row r="46">
          <cell r="B46">
            <v>20</v>
          </cell>
          <cell r="F46">
            <v>3.5640000000000001</v>
          </cell>
          <cell r="H46">
            <v>3.2538999999999998</v>
          </cell>
          <cell r="J46">
            <v>2.7296</v>
          </cell>
          <cell r="L46">
            <v>3.0880000000000001</v>
          </cell>
          <cell r="N46">
            <v>2.9447000000000001</v>
          </cell>
        </row>
        <row r="47">
          <cell r="B47">
            <v>21</v>
          </cell>
          <cell r="F47">
            <v>3.5640000000000001</v>
          </cell>
          <cell r="H47">
            <v>3.26</v>
          </cell>
          <cell r="J47">
            <v>2.72</v>
          </cell>
          <cell r="L47">
            <v>3.1</v>
          </cell>
          <cell r="N47">
            <v>2.9447000000000001</v>
          </cell>
        </row>
        <row r="48">
          <cell r="B48">
            <v>22</v>
          </cell>
          <cell r="F48">
            <v>3.657</v>
          </cell>
          <cell r="H48">
            <v>3.2989999999999999</v>
          </cell>
          <cell r="J48">
            <v>2.831</v>
          </cell>
          <cell r="L48">
            <v>3.1</v>
          </cell>
          <cell r="N48">
            <v>2.7924000000000002</v>
          </cell>
        </row>
        <row r="49">
          <cell r="B49">
            <v>23</v>
          </cell>
          <cell r="F49">
            <v>3.76</v>
          </cell>
          <cell r="H49">
            <v>3.34</v>
          </cell>
          <cell r="J49">
            <v>2.91</v>
          </cell>
          <cell r="L49">
            <v>3.18</v>
          </cell>
          <cell r="N49">
            <v>3.0760000000000001</v>
          </cell>
        </row>
        <row r="50">
          <cell r="B50">
            <v>24</v>
          </cell>
          <cell r="F50">
            <v>3.66</v>
          </cell>
          <cell r="H50">
            <v>3.34</v>
          </cell>
          <cell r="J50">
            <v>2.75</v>
          </cell>
          <cell r="L50">
            <v>3.18</v>
          </cell>
          <cell r="N50">
            <v>3.06</v>
          </cell>
        </row>
        <row r="51">
          <cell r="B51">
            <v>25</v>
          </cell>
          <cell r="F51">
            <v>3.6673</v>
          </cell>
          <cell r="H51">
            <v>3.3367300000000002</v>
          </cell>
          <cell r="J51">
            <v>2.88</v>
          </cell>
          <cell r="L51">
            <v>3.18</v>
          </cell>
          <cell r="N51">
            <v>3.09</v>
          </cell>
        </row>
        <row r="52">
          <cell r="B52">
            <v>26</v>
          </cell>
          <cell r="F52">
            <v>3.65</v>
          </cell>
          <cell r="H52">
            <v>3.33</v>
          </cell>
          <cell r="J52">
            <v>2.81</v>
          </cell>
          <cell r="L52">
            <v>3.1949999999999998</v>
          </cell>
          <cell r="N52">
            <v>3.0379999999999998</v>
          </cell>
        </row>
        <row r="53">
          <cell r="B53">
            <v>27</v>
          </cell>
          <cell r="F53">
            <v>3.62</v>
          </cell>
          <cell r="H53">
            <v>3.34</v>
          </cell>
          <cell r="J53">
            <v>2.79</v>
          </cell>
          <cell r="L53">
            <v>3.18</v>
          </cell>
          <cell r="N53">
            <v>3</v>
          </cell>
        </row>
        <row r="54">
          <cell r="B54">
            <v>28</v>
          </cell>
          <cell r="F54">
            <v>3.59</v>
          </cell>
          <cell r="H54">
            <v>3.37</v>
          </cell>
          <cell r="J54">
            <v>2.83</v>
          </cell>
          <cell r="L54">
            <v>3.16</v>
          </cell>
          <cell r="N54">
            <v>3.06</v>
          </cell>
        </row>
        <row r="55">
          <cell r="B55">
            <v>29</v>
          </cell>
          <cell r="F55">
            <v>3.61</v>
          </cell>
          <cell r="H55">
            <v>3.3184999999999998</v>
          </cell>
          <cell r="J55">
            <v>2.83</v>
          </cell>
          <cell r="L55">
            <v>3.27</v>
          </cell>
          <cell r="N55">
            <v>3.01</v>
          </cell>
        </row>
        <row r="56">
          <cell r="B56">
            <v>30</v>
          </cell>
          <cell r="F56">
            <v>3.63</v>
          </cell>
          <cell r="H56">
            <v>3.34</v>
          </cell>
          <cell r="J56">
            <v>2.84</v>
          </cell>
          <cell r="L56">
            <v>3.13</v>
          </cell>
          <cell r="N56">
            <v>2.99</v>
          </cell>
        </row>
        <row r="57">
          <cell r="B57">
            <v>31</v>
          </cell>
          <cell r="F57">
            <v>3.72</v>
          </cell>
          <cell r="H57">
            <v>3.36</v>
          </cell>
          <cell r="J57">
            <v>2.88</v>
          </cell>
          <cell r="L57">
            <v>3.21</v>
          </cell>
          <cell r="N57">
            <v>3.0373999999999999</v>
          </cell>
        </row>
        <row r="58">
          <cell r="B58">
            <v>32</v>
          </cell>
          <cell r="F58"/>
          <cell r="H58"/>
          <cell r="J58"/>
          <cell r="L58"/>
          <cell r="N58"/>
        </row>
        <row r="59">
          <cell r="B59">
            <v>33</v>
          </cell>
          <cell r="F59"/>
          <cell r="H59"/>
          <cell r="J59"/>
          <cell r="L59"/>
          <cell r="N59"/>
        </row>
        <row r="60">
          <cell r="B60">
            <v>34</v>
          </cell>
          <cell r="F60"/>
          <cell r="H60"/>
          <cell r="J60"/>
          <cell r="L60"/>
          <cell r="N60"/>
        </row>
        <row r="61">
          <cell r="B61">
            <v>35</v>
          </cell>
          <cell r="F61"/>
          <cell r="H61"/>
          <cell r="J61"/>
          <cell r="L61"/>
          <cell r="N61"/>
        </row>
        <row r="62">
          <cell r="B62">
            <v>36</v>
          </cell>
          <cell r="F62"/>
          <cell r="H62"/>
          <cell r="J62"/>
          <cell r="L62"/>
          <cell r="N62"/>
        </row>
        <row r="63">
          <cell r="B63">
            <v>37</v>
          </cell>
          <cell r="F63"/>
          <cell r="H63"/>
          <cell r="J63"/>
          <cell r="L63"/>
          <cell r="N63"/>
        </row>
        <row r="64">
          <cell r="B64">
            <v>38</v>
          </cell>
          <cell r="F64"/>
          <cell r="H64"/>
          <cell r="J64"/>
          <cell r="L64"/>
          <cell r="N64"/>
        </row>
        <row r="65">
          <cell r="B65">
            <v>39</v>
          </cell>
          <cell r="F65"/>
          <cell r="H65"/>
          <cell r="J65"/>
          <cell r="L65"/>
          <cell r="N65"/>
        </row>
        <row r="66">
          <cell r="B66">
            <v>40</v>
          </cell>
          <cell r="F66"/>
          <cell r="H66"/>
          <cell r="J66"/>
          <cell r="L66"/>
          <cell r="N66"/>
        </row>
        <row r="67">
          <cell r="B67">
            <v>41</v>
          </cell>
          <cell r="F67"/>
          <cell r="H67"/>
          <cell r="J67"/>
          <cell r="L67"/>
          <cell r="N67"/>
        </row>
        <row r="68">
          <cell r="B68">
            <v>42</v>
          </cell>
          <cell r="F68"/>
          <cell r="H68"/>
          <cell r="J68"/>
          <cell r="L68"/>
          <cell r="N68"/>
        </row>
        <row r="69">
          <cell r="B69">
            <v>43</v>
          </cell>
          <cell r="F69"/>
          <cell r="H69"/>
          <cell r="J69"/>
          <cell r="L69"/>
          <cell r="N69"/>
        </row>
        <row r="70">
          <cell r="B70">
            <v>44</v>
          </cell>
          <cell r="F70"/>
          <cell r="H70"/>
          <cell r="J70"/>
          <cell r="L70"/>
          <cell r="N70"/>
        </row>
        <row r="71">
          <cell r="B71">
            <v>45</v>
          </cell>
          <cell r="F71"/>
          <cell r="H71"/>
          <cell r="J71"/>
          <cell r="L71"/>
          <cell r="N71"/>
        </row>
        <row r="72">
          <cell r="B72">
            <v>46</v>
          </cell>
          <cell r="F72"/>
          <cell r="H72"/>
          <cell r="J72"/>
          <cell r="L72"/>
          <cell r="N72"/>
        </row>
        <row r="73">
          <cell r="B73">
            <v>47</v>
          </cell>
          <cell r="F73"/>
          <cell r="H73"/>
          <cell r="J73"/>
          <cell r="L73"/>
          <cell r="N73"/>
        </row>
        <row r="74">
          <cell r="B74">
            <v>48</v>
          </cell>
          <cell r="F74"/>
          <cell r="H74"/>
          <cell r="J74"/>
          <cell r="L74"/>
          <cell r="N74"/>
        </row>
        <row r="75">
          <cell r="B75">
            <v>49</v>
          </cell>
          <cell r="F75"/>
          <cell r="H75"/>
          <cell r="J75"/>
          <cell r="L75"/>
          <cell r="N75"/>
        </row>
        <row r="76">
          <cell r="B76">
            <v>50</v>
          </cell>
          <cell r="F76"/>
          <cell r="H76"/>
          <cell r="J76"/>
          <cell r="L76"/>
          <cell r="N76"/>
        </row>
        <row r="77">
          <cell r="B77">
            <v>51</v>
          </cell>
          <cell r="F77"/>
          <cell r="H77"/>
          <cell r="J77"/>
          <cell r="L77"/>
          <cell r="N77"/>
        </row>
        <row r="78">
          <cell r="B78">
            <v>52</v>
          </cell>
          <cell r="F78"/>
          <cell r="H78"/>
          <cell r="J78"/>
          <cell r="L78"/>
          <cell r="N78"/>
        </row>
        <row r="79">
          <cell r="L79"/>
          <cell r="N79"/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O"/>
      <sheetName val="SPIS"/>
      <sheetName val="DODATKOWE INFO"/>
      <sheetName val="ZAKUP EUROP"/>
      <sheetName val="ZAKUP ŻYWIEC"/>
      <sheetName val="ZAKUP ŻYWIEC WYKRES TYG"/>
      <sheetName val="ZAKUP KL. E WYKRES TYG"/>
      <sheetName val="STRUKTURA EUROP"/>
      <sheetName val="ZAKUP MIN_MAX"/>
      <sheetName val="ZAKUP EUROP MCE"/>
      <sheetName val="ZAKUP ŻYWIEC MSC"/>
      <sheetName val="ZAKUP ŻYWIEC WYKRES MSC"/>
      <sheetName val="SPRZEDAŻ PÓŁTUSZ"/>
      <sheetName val="SPRZEDAŻ PÓŁTUSZ WYKRES TYG"/>
      <sheetName val="SPRZEDAŻ PÓŁTUSZ WYKRES MSC"/>
      <sheetName val="SPRZEDAŻ ELEMENTY"/>
      <sheetName val="SPRZEDAŻ WYBRANE ELEMENTY MSC"/>
      <sheetName val="ZAKUP DETAL"/>
      <sheetName val="Ceny_miesieczneUE_IV_2021"/>
      <sheetName val="UE (KRAJE) - KL. E"/>
      <sheetName val="UE (KRAJE) - KL. E WYKRES TYG"/>
      <sheetName val="PL, DE, UE - KL. E WYKRES"/>
      <sheetName val="UE (KRAJE) - KL. E MSC"/>
      <sheetName val="UE (KRAJE) - KL. E. MSC"/>
      <sheetName val="UE (KRAJE) - KL. E WYKRES MSC"/>
      <sheetName val="SALDO"/>
      <sheetName val="EXP-IMP KRAJE"/>
      <sheetName val="EXP-IMP KRAJE LATA"/>
      <sheetName val="KRAJE ZMIANY CN 0203"/>
      <sheetName val="UBOJE GUS"/>
      <sheetName val="POMO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>
        <row r="6">
          <cell r="B6" t="str">
            <v>Notowania 15 - 21.06.2026 / Tydzień 25</v>
          </cell>
        </row>
      </sheetData>
    </sheetDataSet>
  </externalBook>
</externalLink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3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5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6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7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8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9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20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21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2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1">
    <tabColor rgb="FF008000"/>
    <pageSetUpPr fitToPage="1"/>
  </sheetPr>
  <dimension ref="A1:AI50"/>
  <sheetViews>
    <sheetView showGridLines="0" tabSelected="1" topLeftCell="A13" zoomScaleNormal="100" workbookViewId="0">
      <selection activeCell="M16" sqref="M16"/>
    </sheetView>
  </sheetViews>
  <sheetFormatPr defaultRowHeight="12.5" x14ac:dyDescent="0.25"/>
  <cols>
    <col min="1" max="13" width="10.7265625" customWidth="1"/>
    <col min="14" max="15" width="10.7265625" style="151" customWidth="1"/>
    <col min="16" max="26" width="10.7265625" customWidth="1"/>
  </cols>
  <sheetData>
    <row r="1" spans="1:35" ht="25" customHeight="1" x14ac:dyDescent="0.3">
      <c r="L1" s="132"/>
      <c r="M1" s="132"/>
      <c r="N1" s="17"/>
      <c r="O1" s="17"/>
      <c r="P1" s="10"/>
      <c r="Q1" s="10"/>
      <c r="R1" s="10"/>
      <c r="S1" s="10"/>
      <c r="AH1" s="133"/>
      <c r="AI1" s="133"/>
    </row>
    <row r="2" spans="1:35" ht="25" customHeight="1" x14ac:dyDescent="0.3">
      <c r="L2" s="132"/>
      <c r="N2" s="17"/>
      <c r="O2" s="17"/>
      <c r="Q2" s="10"/>
      <c r="R2" s="10"/>
      <c r="S2" s="10"/>
      <c r="AH2" s="133"/>
      <c r="AI2" s="133"/>
    </row>
    <row r="3" spans="1:35" ht="25" customHeight="1" x14ac:dyDescent="0.3">
      <c r="L3" s="132"/>
      <c r="N3" s="17"/>
      <c r="O3" s="17"/>
      <c r="P3" s="10"/>
      <c r="Q3" s="10"/>
      <c r="R3" s="10"/>
      <c r="S3" s="10"/>
      <c r="AH3" s="133"/>
      <c r="AI3" s="133"/>
    </row>
    <row r="4" spans="1:35" ht="25" customHeight="1" x14ac:dyDescent="0.3">
      <c r="A4" s="15"/>
      <c r="C4" s="10"/>
      <c r="D4" s="10"/>
      <c r="E4" s="10"/>
      <c r="F4" s="10"/>
      <c r="G4" s="16"/>
      <c r="H4" s="10"/>
      <c r="I4" s="10"/>
      <c r="J4" s="10"/>
      <c r="K4" s="10"/>
      <c r="L4" s="10"/>
      <c r="M4" s="10"/>
      <c r="N4" s="17"/>
      <c r="O4" s="17"/>
      <c r="P4" s="10"/>
      <c r="Q4" s="10"/>
      <c r="R4" s="10"/>
      <c r="S4" s="10"/>
    </row>
    <row r="5" spans="1:35" ht="20.149999999999999" customHeight="1" x14ac:dyDescent="0.35">
      <c r="B5" s="134" t="s">
        <v>303</v>
      </c>
      <c r="C5" s="135"/>
      <c r="D5" s="135"/>
      <c r="E5" s="135"/>
      <c r="F5" s="135"/>
      <c r="G5" s="135"/>
      <c r="H5" s="135"/>
      <c r="I5" s="135"/>
      <c r="J5" s="135"/>
      <c r="K5" s="135"/>
      <c r="L5" s="135"/>
      <c r="M5" s="135"/>
      <c r="N5" s="136"/>
      <c r="O5" s="17"/>
      <c r="P5" s="10"/>
      <c r="Q5" s="10"/>
      <c r="R5" s="10"/>
      <c r="S5" s="10"/>
    </row>
    <row r="6" spans="1:35" ht="20.149999999999999" customHeight="1" x14ac:dyDescent="0.45">
      <c r="A6" s="137"/>
      <c r="B6" s="13"/>
      <c r="C6" s="13"/>
      <c r="D6" s="10"/>
      <c r="E6" s="10"/>
      <c r="F6" s="10"/>
      <c r="G6" s="10"/>
      <c r="H6" s="10"/>
      <c r="I6" s="10"/>
      <c r="J6" s="10"/>
      <c r="K6" s="10"/>
      <c r="L6" s="10"/>
      <c r="M6" s="10"/>
      <c r="N6" s="17"/>
      <c r="O6" s="17"/>
      <c r="P6" s="10"/>
      <c r="Q6" s="10"/>
      <c r="R6" s="10"/>
      <c r="S6" s="10"/>
    </row>
    <row r="7" spans="1:35" ht="20.149999999999999" customHeight="1" x14ac:dyDescent="0.45">
      <c r="A7" s="137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7"/>
      <c r="O7" s="17"/>
      <c r="P7" s="10"/>
      <c r="Q7" s="10"/>
      <c r="R7" s="10"/>
      <c r="S7" s="10"/>
    </row>
    <row r="8" spans="1:35" ht="20.149999999999999" customHeight="1" x14ac:dyDescent="0.45">
      <c r="A8" s="137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7"/>
      <c r="O8" s="17"/>
      <c r="P8" s="10"/>
      <c r="Q8" s="10"/>
      <c r="R8" s="10"/>
      <c r="S8" s="10"/>
    </row>
    <row r="9" spans="1:35" ht="20.149999999999999" customHeight="1" x14ac:dyDescent="0.3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7"/>
      <c r="O9" s="17"/>
      <c r="P9" s="10"/>
      <c r="Q9" s="10"/>
      <c r="R9" s="10"/>
      <c r="S9" s="10"/>
    </row>
    <row r="10" spans="1:35" ht="49" x14ac:dyDescent="0.9">
      <c r="A10" s="138"/>
      <c r="B10" s="139" t="s">
        <v>304</v>
      </c>
      <c r="C10" s="140"/>
      <c r="D10" s="140"/>
      <c r="E10" s="140"/>
      <c r="F10" s="140"/>
      <c r="G10" s="140"/>
      <c r="H10" s="140"/>
      <c r="I10" s="140"/>
      <c r="J10" s="10"/>
      <c r="K10" s="10"/>
      <c r="L10" s="10"/>
      <c r="N10" s="17"/>
      <c r="O10" s="17"/>
      <c r="P10" s="10"/>
      <c r="Q10" s="10"/>
      <c r="R10" s="10"/>
      <c r="S10" s="10"/>
    </row>
    <row r="11" spans="1:35" ht="49" x14ac:dyDescent="0.9">
      <c r="A11" s="138"/>
      <c r="B11" s="141" t="s">
        <v>306</v>
      </c>
      <c r="C11" s="140"/>
      <c r="D11" s="140"/>
      <c r="E11" s="140"/>
      <c r="F11" s="140"/>
      <c r="G11" s="140"/>
      <c r="H11" s="140"/>
      <c r="I11" s="140"/>
      <c r="J11" s="10"/>
      <c r="K11" s="10"/>
      <c r="L11" s="10"/>
      <c r="N11" s="17"/>
      <c r="O11" s="17"/>
      <c r="P11" s="10"/>
      <c r="Q11" s="10"/>
      <c r="R11" s="10"/>
      <c r="S11" s="10"/>
    </row>
    <row r="12" spans="1:35" ht="49" x14ac:dyDescent="0.9">
      <c r="A12" s="138"/>
      <c r="B12" s="141"/>
      <c r="C12" s="140"/>
      <c r="D12" s="140"/>
      <c r="E12" s="140"/>
      <c r="F12" s="140"/>
      <c r="G12" s="140"/>
      <c r="H12" s="140"/>
      <c r="I12" s="140"/>
      <c r="J12" s="10"/>
      <c r="K12" s="10"/>
      <c r="L12" s="10"/>
      <c r="N12" s="17"/>
      <c r="O12" s="17"/>
      <c r="P12" s="10"/>
      <c r="Q12" s="10"/>
      <c r="R12" s="10"/>
      <c r="S12" s="10"/>
    </row>
    <row r="13" spans="1:35" ht="51" x14ac:dyDescent="1.1000000000000001">
      <c r="A13" s="138"/>
      <c r="B13" s="142"/>
      <c r="C13" s="140"/>
      <c r="D13" s="140"/>
      <c r="E13" s="140"/>
      <c r="F13" s="140"/>
      <c r="G13" s="140"/>
      <c r="H13" s="140"/>
      <c r="I13" s="140"/>
      <c r="J13" s="10"/>
      <c r="K13" s="10"/>
      <c r="N13" s="17"/>
      <c r="O13" s="17"/>
      <c r="P13" s="10"/>
      <c r="Q13" s="10"/>
      <c r="R13" s="10"/>
      <c r="S13" s="10"/>
    </row>
    <row r="14" spans="1:35" ht="20.149999999999999" customHeight="1" x14ac:dyDescent="0.45">
      <c r="A14" s="138"/>
      <c r="B14" s="143" t="s">
        <v>569</v>
      </c>
      <c r="C14" s="140"/>
      <c r="D14" s="140"/>
      <c r="E14" s="140"/>
      <c r="F14" s="140"/>
      <c r="G14" s="140"/>
      <c r="H14" s="140"/>
      <c r="L14" s="10"/>
      <c r="M14" s="144"/>
      <c r="N14" s="17"/>
      <c r="O14" s="17"/>
      <c r="P14" s="10"/>
      <c r="Q14" s="10"/>
      <c r="R14" s="10"/>
      <c r="S14" s="10"/>
    </row>
    <row r="15" spans="1:35" ht="20.149999999999999" customHeight="1" x14ac:dyDescent="0.45">
      <c r="A15" s="138"/>
      <c r="B15" s="145"/>
      <c r="C15" s="140"/>
      <c r="D15" s="140"/>
      <c r="E15" s="140"/>
      <c r="F15" s="140"/>
      <c r="G15" s="140"/>
      <c r="H15" s="140"/>
      <c r="I15" s="140"/>
      <c r="J15" s="10"/>
      <c r="M15" s="144"/>
      <c r="N15" s="17"/>
      <c r="O15" s="17"/>
      <c r="P15" s="10"/>
      <c r="Q15" s="10"/>
      <c r="R15" s="10"/>
      <c r="S15" s="10"/>
    </row>
    <row r="16" spans="1:35" ht="20.149999999999999" customHeight="1" x14ac:dyDescent="0.35">
      <c r="A16" s="146"/>
      <c r="B16" s="147"/>
      <c r="C16" s="22"/>
      <c r="D16" s="22"/>
      <c r="E16" s="22"/>
      <c r="F16" s="10"/>
      <c r="G16" s="10"/>
      <c r="H16" s="10"/>
      <c r="K16" s="10"/>
      <c r="L16" s="10"/>
      <c r="M16" s="148" t="s">
        <v>834</v>
      </c>
      <c r="N16" s="17"/>
      <c r="O16" s="17"/>
      <c r="P16" s="10"/>
      <c r="Q16" s="10"/>
      <c r="R16" s="10"/>
      <c r="S16" s="10"/>
    </row>
    <row r="17" spans="1:19" ht="20.149999999999999" customHeight="1" x14ac:dyDescent="0.35">
      <c r="A17" s="146"/>
      <c r="B17" s="22"/>
      <c r="C17" s="22"/>
      <c r="D17" s="22"/>
      <c r="E17" s="22"/>
      <c r="F17" s="10"/>
      <c r="G17" s="10"/>
      <c r="H17" s="10"/>
      <c r="I17" s="10"/>
      <c r="J17" s="10"/>
      <c r="K17" s="10"/>
      <c r="L17" s="10"/>
      <c r="N17" s="17"/>
      <c r="O17" s="17"/>
      <c r="P17" s="10"/>
      <c r="Q17" s="10"/>
      <c r="R17" s="10"/>
      <c r="S17" s="10"/>
    </row>
    <row r="18" spans="1:19" ht="20.149999999999999" customHeight="1" x14ac:dyDescent="0.35">
      <c r="A18" s="149"/>
      <c r="B18" s="22"/>
      <c r="C18" s="22"/>
      <c r="D18" s="22"/>
      <c r="E18" s="22"/>
      <c r="F18" s="10"/>
      <c r="G18" s="10"/>
      <c r="H18" s="10"/>
      <c r="I18" s="10"/>
      <c r="J18" s="10"/>
      <c r="K18" s="10"/>
      <c r="L18" s="10"/>
      <c r="M18" s="10"/>
      <c r="N18" s="17"/>
      <c r="O18" s="17"/>
      <c r="P18" s="10"/>
      <c r="Q18" s="10"/>
      <c r="R18" s="10"/>
      <c r="S18" s="10"/>
    </row>
    <row r="19" spans="1:19" ht="20.149999999999999" customHeight="1" x14ac:dyDescent="0.35">
      <c r="D19" s="150" t="s">
        <v>305</v>
      </c>
      <c r="E19" s="22"/>
      <c r="P19" s="10"/>
      <c r="Q19" s="10"/>
      <c r="R19" s="10"/>
      <c r="S19" s="10"/>
    </row>
    <row r="20" spans="1:19" ht="20.149999999999999" customHeight="1" x14ac:dyDescent="0.3">
      <c r="P20" s="10"/>
      <c r="Q20" s="10"/>
      <c r="R20" s="10"/>
      <c r="S20" s="10"/>
    </row>
    <row r="21" spans="1:19" ht="20.149999999999999" customHeight="1" x14ac:dyDescent="0.3">
      <c r="P21" s="10"/>
      <c r="Q21" s="10"/>
      <c r="R21" s="10"/>
      <c r="S21" s="10"/>
    </row>
    <row r="22" spans="1:19" ht="20.149999999999999" customHeight="1" x14ac:dyDescent="0.35">
      <c r="A22" s="22" t="s">
        <v>385</v>
      </c>
      <c r="P22" s="10"/>
      <c r="Q22" s="10"/>
      <c r="R22" s="10"/>
      <c r="S22" s="10"/>
    </row>
    <row r="23" spans="1:19" ht="20.149999999999999" customHeight="1" x14ac:dyDescent="0.35">
      <c r="A23" s="22" t="s">
        <v>384</v>
      </c>
      <c r="P23" s="10"/>
      <c r="Q23" s="10"/>
      <c r="R23" s="10"/>
      <c r="S23" s="10"/>
    </row>
    <row r="24" spans="1:19" ht="20.149999999999999" customHeight="1" x14ac:dyDescent="0.3">
      <c r="P24" s="10"/>
      <c r="Q24" s="10"/>
      <c r="R24" s="10"/>
      <c r="S24" s="10"/>
    </row>
    <row r="25" spans="1:19" ht="20.149999999999999" customHeight="1" x14ac:dyDescent="0.3">
      <c r="O25" s="17"/>
      <c r="P25" s="10"/>
      <c r="Q25" s="10"/>
      <c r="R25" s="10"/>
      <c r="S25" s="10"/>
    </row>
    <row r="26" spans="1:19" ht="20.149999999999999" customHeight="1" x14ac:dyDescent="0.3">
      <c r="O26" s="17"/>
      <c r="P26" s="10"/>
      <c r="Q26" s="10"/>
      <c r="R26" s="10"/>
      <c r="S26" s="10"/>
    </row>
    <row r="27" spans="1:19" ht="20.149999999999999" customHeight="1" x14ac:dyDescent="0.3">
      <c r="O27" s="17"/>
      <c r="P27" s="10"/>
      <c r="Q27" s="10"/>
      <c r="R27" s="10"/>
      <c r="S27" s="10"/>
    </row>
    <row r="28" spans="1:19" ht="20.149999999999999" customHeight="1" x14ac:dyDescent="0.3">
      <c r="O28" s="17"/>
      <c r="P28" s="10"/>
      <c r="Q28" s="10"/>
      <c r="R28" s="10"/>
      <c r="S28" s="10"/>
    </row>
    <row r="29" spans="1:19" ht="20.149999999999999" customHeight="1" x14ac:dyDescent="0.3">
      <c r="M29" s="10"/>
      <c r="N29" s="17"/>
      <c r="O29" s="17"/>
      <c r="P29" s="10"/>
      <c r="Q29" s="10"/>
      <c r="R29" s="10"/>
      <c r="S29" s="10"/>
    </row>
    <row r="30" spans="1:19" ht="20.149999999999999" customHeight="1" x14ac:dyDescent="0.3">
      <c r="M30" s="10"/>
      <c r="N30" s="17"/>
      <c r="O30" s="17"/>
      <c r="P30" s="10"/>
      <c r="Q30" s="10"/>
      <c r="R30" s="10"/>
      <c r="S30" s="10"/>
    </row>
    <row r="31" spans="1:19" ht="20.149999999999999" customHeight="1" x14ac:dyDescent="0.3">
      <c r="M31" s="10"/>
      <c r="N31" s="17"/>
      <c r="O31" s="17"/>
      <c r="P31" s="10"/>
      <c r="Q31" s="10"/>
      <c r="R31" s="10"/>
      <c r="S31" s="10"/>
    </row>
    <row r="32" spans="1:19" ht="20.149999999999999" customHeight="1" x14ac:dyDescent="0.3">
      <c r="M32" s="10"/>
      <c r="N32" s="17"/>
      <c r="O32" s="17"/>
      <c r="P32" s="10"/>
      <c r="Q32" s="10"/>
      <c r="R32" s="10"/>
      <c r="S32" s="10"/>
    </row>
    <row r="33" spans="1:19" ht="20.149999999999999" customHeight="1" x14ac:dyDescent="0.3">
      <c r="M33" s="10"/>
      <c r="N33" s="17"/>
      <c r="O33" s="17"/>
      <c r="P33" s="10"/>
      <c r="Q33" s="10"/>
      <c r="R33" s="10"/>
      <c r="S33" s="10"/>
    </row>
    <row r="34" spans="1:19" ht="20.149999999999999" customHeight="1" x14ac:dyDescent="0.3">
      <c r="M34" s="10"/>
      <c r="N34" s="17"/>
      <c r="O34" s="17"/>
      <c r="P34" s="10"/>
      <c r="Q34" s="10"/>
      <c r="R34" s="10"/>
      <c r="S34" s="10"/>
    </row>
    <row r="35" spans="1:19" ht="20.149999999999999" customHeight="1" x14ac:dyDescent="0.3">
      <c r="M35" s="10"/>
      <c r="N35" s="17"/>
      <c r="O35" s="17"/>
      <c r="P35" s="10"/>
      <c r="Q35" s="10"/>
      <c r="R35" s="10"/>
      <c r="S35" s="10"/>
    </row>
    <row r="36" spans="1:19" ht="20.149999999999999" customHeight="1" x14ac:dyDescent="0.3">
      <c r="M36" s="10"/>
      <c r="N36" s="17"/>
      <c r="O36" s="17"/>
      <c r="P36" s="10"/>
      <c r="Q36" s="10"/>
      <c r="R36" s="10"/>
      <c r="S36" s="10"/>
    </row>
    <row r="37" spans="1:19" ht="20.149999999999999" customHeight="1" x14ac:dyDescent="0.3">
      <c r="M37" s="10"/>
      <c r="N37" s="17"/>
      <c r="O37" s="17"/>
      <c r="P37" s="10"/>
      <c r="Q37" s="10"/>
      <c r="R37" s="10"/>
      <c r="S37" s="10"/>
    </row>
    <row r="38" spans="1:19" ht="20.149999999999999" customHeight="1" x14ac:dyDescent="0.3">
      <c r="M38" s="10"/>
      <c r="N38" s="17"/>
      <c r="O38" s="17"/>
      <c r="P38" s="10"/>
      <c r="Q38" s="10"/>
      <c r="R38" s="10"/>
      <c r="S38" s="10"/>
    </row>
    <row r="39" spans="1:19" ht="20.149999999999999" customHeight="1" x14ac:dyDescent="0.35">
      <c r="B39" s="152"/>
      <c r="C39" s="152"/>
      <c r="D39" s="152"/>
      <c r="E39" s="152"/>
      <c r="F39" s="153"/>
      <c r="G39" s="153"/>
      <c r="H39" s="153"/>
      <c r="I39" s="153"/>
      <c r="J39" s="10"/>
      <c r="K39" s="10"/>
      <c r="L39" s="10"/>
      <c r="M39" s="10"/>
      <c r="N39" s="17"/>
      <c r="O39" s="17"/>
      <c r="P39" s="10"/>
      <c r="Q39" s="10"/>
      <c r="R39" s="10"/>
      <c r="S39" s="10"/>
    </row>
    <row r="40" spans="1:19" ht="20.149999999999999" customHeight="1" x14ac:dyDescent="0.3">
      <c r="K40" s="10"/>
      <c r="L40" s="10"/>
      <c r="M40" s="154"/>
      <c r="N40" s="17"/>
      <c r="O40" s="17"/>
      <c r="P40" s="10"/>
      <c r="Q40" s="10"/>
      <c r="R40" s="10"/>
      <c r="S40" s="10"/>
    </row>
    <row r="41" spans="1:19" ht="20.149999999999999" customHeight="1" x14ac:dyDescent="0.35">
      <c r="A41" s="22"/>
      <c r="B41" s="22"/>
      <c r="C41" s="22"/>
      <c r="D41" s="22"/>
      <c r="E41" s="22"/>
      <c r="F41" s="10"/>
      <c r="G41" s="10"/>
      <c r="H41" s="10"/>
      <c r="I41" s="10"/>
      <c r="J41" s="10"/>
      <c r="K41" s="10"/>
      <c r="L41" s="10"/>
      <c r="M41" s="154"/>
      <c r="N41" s="17"/>
      <c r="O41" s="17"/>
      <c r="P41" s="10"/>
      <c r="Q41" s="10"/>
      <c r="R41" s="10"/>
      <c r="S41" s="10"/>
    </row>
    <row r="42" spans="1:19" ht="15.5" x14ac:dyDescent="0.3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54"/>
      <c r="N42" s="17"/>
      <c r="O42" s="17"/>
      <c r="P42" s="10"/>
      <c r="Q42" s="10"/>
      <c r="R42" s="10"/>
      <c r="S42" s="10"/>
    </row>
    <row r="43" spans="1:19" ht="15.5" x14ac:dyDescent="0.3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54"/>
      <c r="N43" s="17"/>
      <c r="O43" s="17"/>
      <c r="P43" s="10"/>
      <c r="Q43" s="10"/>
      <c r="R43" s="10"/>
      <c r="S43" s="10"/>
    </row>
    <row r="44" spans="1:19" ht="15.5" x14ac:dyDescent="0.25">
      <c r="A44" s="155"/>
      <c r="B44" s="155"/>
      <c r="C44" s="155"/>
      <c r="D44" s="155"/>
      <c r="E44" s="155"/>
      <c r="F44" s="155"/>
      <c r="G44" s="155"/>
      <c r="H44" s="155"/>
      <c r="I44" s="155"/>
      <c r="J44" s="155"/>
      <c r="M44" s="156"/>
    </row>
    <row r="45" spans="1:19" ht="15.5" x14ac:dyDescent="0.25">
      <c r="A45" s="155"/>
      <c r="B45" s="155"/>
      <c r="C45" s="155"/>
      <c r="D45" s="155"/>
      <c r="E45" s="155"/>
      <c r="F45" s="155"/>
      <c r="G45" s="155"/>
      <c r="H45" s="155"/>
      <c r="I45" s="155"/>
      <c r="J45" s="155"/>
      <c r="M45" s="156"/>
    </row>
    <row r="46" spans="1:19" x14ac:dyDescent="0.25">
      <c r="A46" s="155"/>
      <c r="B46" s="155"/>
      <c r="C46" s="155"/>
      <c r="D46" s="155"/>
      <c r="E46" s="155"/>
      <c r="F46" s="155"/>
      <c r="G46" s="155"/>
      <c r="H46" s="155"/>
      <c r="I46" s="155"/>
      <c r="J46" s="155"/>
    </row>
    <row r="47" spans="1:19" x14ac:dyDescent="0.25">
      <c r="A47" s="155"/>
      <c r="B47" s="155"/>
      <c r="C47" s="155"/>
      <c r="D47" s="155"/>
      <c r="E47" s="155"/>
      <c r="F47" s="155"/>
      <c r="G47" s="155"/>
      <c r="H47" s="155"/>
      <c r="I47" s="155"/>
      <c r="J47" s="155"/>
    </row>
    <row r="48" spans="1:19" x14ac:dyDescent="0.25">
      <c r="A48" s="155"/>
      <c r="B48" s="155"/>
      <c r="C48" s="155"/>
      <c r="D48" s="155"/>
      <c r="E48" s="155"/>
      <c r="F48" s="155"/>
      <c r="G48" s="155"/>
      <c r="H48" s="155"/>
      <c r="I48" s="155"/>
      <c r="J48" s="155"/>
    </row>
    <row r="49" spans="1:10" x14ac:dyDescent="0.25">
      <c r="A49" s="155"/>
      <c r="B49" s="155"/>
      <c r="C49" s="155"/>
      <c r="D49" s="155"/>
      <c r="E49" s="155"/>
      <c r="F49" s="155"/>
      <c r="G49" s="155"/>
      <c r="H49" s="155"/>
      <c r="I49" s="155"/>
      <c r="J49" s="155"/>
    </row>
    <row r="50" spans="1:10" x14ac:dyDescent="0.25">
      <c r="A50" s="155"/>
      <c r="B50" s="155"/>
      <c r="C50" s="155"/>
      <c r="D50" s="155"/>
      <c r="E50" s="155"/>
      <c r="F50" s="155"/>
      <c r="G50" s="155"/>
      <c r="H50" s="155"/>
      <c r="I50" s="155"/>
      <c r="J50" s="155"/>
    </row>
  </sheetData>
  <pageMargins left="0.70866141732283472" right="0.70866141732283472" top="0.74803149606299213" bottom="0.74803149606299213" header="0.31496062992125984" footer="0.31496062992125984"/>
  <pageSetup paperSize="9" scale="78" orientation="landscape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0000"/>
  </sheetPr>
  <dimension ref="A1:P101"/>
  <sheetViews>
    <sheetView showGridLines="0" zoomScaleNormal="100" workbookViewId="0"/>
  </sheetViews>
  <sheetFormatPr defaultRowHeight="12.5" x14ac:dyDescent="0.25"/>
  <cols>
    <col min="1" max="26" width="10.7265625" customWidth="1"/>
  </cols>
  <sheetData>
    <row r="1" spans="1:16" s="33" customFormat="1" ht="25" customHeight="1" x14ac:dyDescent="0.25">
      <c r="C1" s="157"/>
      <c r="F1" s="34"/>
      <c r="L1" s="35"/>
      <c r="M1" s="36"/>
    </row>
    <row r="2" spans="1:16" ht="25" customHeight="1" x14ac:dyDescent="0.25">
      <c r="A2" s="37"/>
      <c r="B2" s="38" t="s">
        <v>307</v>
      </c>
      <c r="C2" s="158"/>
      <c r="D2" s="39"/>
      <c r="E2" s="39"/>
      <c r="F2" s="39"/>
      <c r="G2" s="39"/>
      <c r="H2" s="39"/>
      <c r="I2" s="39"/>
      <c r="J2" s="39"/>
      <c r="K2" s="39"/>
      <c r="L2" s="40"/>
      <c r="M2" s="40"/>
      <c r="N2" s="40"/>
      <c r="O2" s="40"/>
      <c r="P2" s="40"/>
    </row>
    <row r="3" spans="1:16" ht="25" customHeight="1" thickBot="1" x14ac:dyDescent="0.3">
      <c r="B3" s="41"/>
      <c r="C3" s="43"/>
      <c r="D3" s="42"/>
      <c r="E3" s="43"/>
      <c r="F3" s="44"/>
      <c r="G3" s="45"/>
      <c r="H3" s="46"/>
      <c r="I3" s="46"/>
      <c r="J3" s="47"/>
      <c r="K3" s="48"/>
      <c r="L3" s="49"/>
      <c r="M3" s="49"/>
      <c r="N3" s="49"/>
      <c r="O3" s="49"/>
      <c r="P3" s="49"/>
    </row>
    <row r="4" spans="1:16" ht="25" customHeight="1" thickTop="1" x14ac:dyDescent="0.3">
      <c r="B4" s="159"/>
      <c r="D4" s="51"/>
      <c r="E4" s="52"/>
      <c r="F4" s="52"/>
      <c r="G4" s="53"/>
      <c r="H4" s="160"/>
      <c r="I4" s="54"/>
      <c r="J4" s="54"/>
      <c r="K4" s="54"/>
      <c r="L4" s="54"/>
      <c r="M4" s="161"/>
      <c r="N4" s="33"/>
      <c r="P4" s="161"/>
    </row>
    <row r="5" spans="1:16" ht="20.149999999999999" customHeight="1" x14ac:dyDescent="0.35">
      <c r="C5" s="12"/>
      <c r="D5" s="12"/>
    </row>
    <row r="6" spans="1:16" ht="20.149999999999999" customHeight="1" x14ac:dyDescent="0.35">
      <c r="C6" s="12" t="s">
        <v>308</v>
      </c>
      <c r="D6" s="12"/>
    </row>
    <row r="7" spans="1:16" ht="20.149999999999999" customHeight="1" x14ac:dyDescent="0.35">
      <c r="C7" s="12" t="s">
        <v>309</v>
      </c>
      <c r="D7" s="12"/>
    </row>
    <row r="8" spans="1:16" ht="20.149999999999999" customHeight="1" x14ac:dyDescent="0.35">
      <c r="C8" s="12" t="s">
        <v>310</v>
      </c>
      <c r="D8" s="12"/>
    </row>
    <row r="9" spans="1:16" ht="20.149999999999999" customHeight="1" x14ac:dyDescent="0.35">
      <c r="C9" s="12" t="s">
        <v>311</v>
      </c>
      <c r="D9" s="12"/>
    </row>
    <row r="10" spans="1:16" ht="20.149999999999999" customHeight="1" x14ac:dyDescent="0.35">
      <c r="C10" s="12" t="s">
        <v>312</v>
      </c>
      <c r="D10" s="12"/>
    </row>
    <row r="11" spans="1:16" ht="20.149999999999999" customHeight="1" x14ac:dyDescent="0.35">
      <c r="C11" s="12" t="s">
        <v>313</v>
      </c>
      <c r="D11" s="12"/>
    </row>
    <row r="12" spans="1:16" ht="20.149999999999999" customHeight="1" x14ac:dyDescent="0.35">
      <c r="B12" s="12"/>
      <c r="C12" s="12" t="s">
        <v>314</v>
      </c>
    </row>
    <row r="13" spans="1:16" ht="20.149999999999999" customHeight="1" x14ac:dyDescent="0.35">
      <c r="B13" s="12"/>
      <c r="C13" s="12" t="s">
        <v>315</v>
      </c>
    </row>
    <row r="14" spans="1:16" ht="20.149999999999999" customHeight="1" x14ac:dyDescent="0.35">
      <c r="B14" s="12"/>
      <c r="C14" s="12" t="s">
        <v>316</v>
      </c>
    </row>
    <row r="15" spans="1:16" ht="20.149999999999999" customHeight="1" x14ac:dyDescent="0.35">
      <c r="B15" s="12"/>
      <c r="C15" s="12" t="s">
        <v>317</v>
      </c>
    </row>
    <row r="16" spans="1:16" ht="20.149999999999999" customHeight="1" x14ac:dyDescent="0.35">
      <c r="B16" s="12"/>
      <c r="C16" s="12" t="s">
        <v>318</v>
      </c>
    </row>
    <row r="17" spans="2:3" ht="20.149999999999999" customHeight="1" x14ac:dyDescent="0.35">
      <c r="B17" s="12"/>
      <c r="C17" s="12" t="s">
        <v>319</v>
      </c>
    </row>
    <row r="18" spans="2:3" ht="20.149999999999999" customHeight="1" x14ac:dyDescent="0.35">
      <c r="B18" s="12"/>
      <c r="C18" s="12" t="s">
        <v>320</v>
      </c>
    </row>
    <row r="19" spans="2:3" ht="20.149999999999999" customHeight="1" x14ac:dyDescent="0.35">
      <c r="B19" s="12"/>
      <c r="C19" s="12" t="s">
        <v>321</v>
      </c>
    </row>
    <row r="20" spans="2:3" ht="20.149999999999999" customHeight="1" x14ac:dyDescent="0.35">
      <c r="B20" s="12"/>
      <c r="C20" s="12" t="s">
        <v>322</v>
      </c>
    </row>
    <row r="21" spans="2:3" ht="20.149999999999999" customHeight="1" x14ac:dyDescent="0.35">
      <c r="B21" s="12"/>
      <c r="C21" s="12"/>
    </row>
    <row r="22" spans="2:3" ht="20.149999999999999" customHeight="1" x14ac:dyDescent="0.35">
      <c r="B22" s="12"/>
      <c r="C22" s="12"/>
    </row>
    <row r="23" spans="2:3" ht="20.149999999999999" customHeight="1" x14ac:dyDescent="0.35">
      <c r="B23" s="12"/>
      <c r="C23" s="12"/>
    </row>
    <row r="24" spans="2:3" ht="20.149999999999999" customHeight="1" x14ac:dyDescent="0.35">
      <c r="B24" s="12"/>
      <c r="C24" s="12"/>
    </row>
    <row r="25" spans="2:3" ht="20.149999999999999" customHeight="1" x14ac:dyDescent="0.35">
      <c r="B25" s="12"/>
      <c r="C25" s="12"/>
    </row>
    <row r="26" spans="2:3" ht="20.149999999999999" customHeight="1" x14ac:dyDescent="0.35">
      <c r="B26" s="12"/>
      <c r="C26" s="12"/>
    </row>
    <row r="27" spans="2:3" ht="20.149999999999999" customHeight="1" x14ac:dyDescent="0.35">
      <c r="B27" s="12"/>
      <c r="C27" s="12"/>
    </row>
    <row r="28" spans="2:3" ht="20.149999999999999" customHeight="1" x14ac:dyDescent="0.35">
      <c r="B28" s="12"/>
      <c r="C28" s="12"/>
    </row>
    <row r="29" spans="2:3" ht="20.149999999999999" customHeight="1" x14ac:dyDescent="0.35">
      <c r="B29" s="12"/>
      <c r="C29" s="12"/>
    </row>
    <row r="30" spans="2:3" ht="20.149999999999999" customHeight="1" x14ac:dyDescent="0.35">
      <c r="B30" s="12"/>
      <c r="C30" s="12"/>
    </row>
    <row r="31" spans="2:3" ht="20.149999999999999" customHeight="1" x14ac:dyDescent="0.35">
      <c r="B31" s="12"/>
      <c r="C31" s="12"/>
    </row>
    <row r="32" spans="2:3" ht="20.149999999999999" customHeight="1" x14ac:dyDescent="0.35">
      <c r="B32" s="12"/>
      <c r="C32" s="12"/>
    </row>
    <row r="33" spans="2:3" ht="20.149999999999999" customHeight="1" x14ac:dyDescent="0.35">
      <c r="B33" s="12"/>
      <c r="C33" s="12"/>
    </row>
    <row r="34" spans="2:3" ht="20.149999999999999" customHeight="1" x14ac:dyDescent="0.35">
      <c r="B34" s="12"/>
      <c r="C34" s="12"/>
    </row>
    <row r="35" spans="2:3" ht="20.149999999999999" customHeight="1" x14ac:dyDescent="0.25"/>
    <row r="36" spans="2:3" ht="20.149999999999999" customHeight="1" x14ac:dyDescent="0.25"/>
    <row r="37" spans="2:3" ht="20.149999999999999" customHeight="1" x14ac:dyDescent="0.25"/>
    <row r="38" spans="2:3" ht="20.149999999999999" customHeight="1" x14ac:dyDescent="0.25"/>
    <row r="39" spans="2:3" ht="20.149999999999999" customHeight="1" x14ac:dyDescent="0.25"/>
    <row r="40" spans="2:3" ht="20.149999999999999" customHeight="1" x14ac:dyDescent="0.25"/>
    <row r="41" spans="2:3" ht="20.149999999999999" customHeight="1" x14ac:dyDescent="0.25"/>
    <row r="42" spans="2:3" ht="20.149999999999999" customHeight="1" x14ac:dyDescent="0.25"/>
    <row r="43" spans="2:3" ht="20.149999999999999" customHeight="1" x14ac:dyDescent="0.25"/>
    <row r="44" spans="2:3" ht="20.149999999999999" customHeight="1" x14ac:dyDescent="0.25"/>
    <row r="45" spans="2:3" ht="20.149999999999999" customHeight="1" x14ac:dyDescent="0.25"/>
    <row r="46" spans="2:3" ht="20.149999999999999" customHeight="1" x14ac:dyDescent="0.25"/>
    <row r="47" spans="2:3" ht="20.149999999999999" customHeight="1" x14ac:dyDescent="0.25"/>
    <row r="48" spans="2:3" ht="20.149999999999999" customHeight="1" x14ac:dyDescent="0.25"/>
    <row r="49" ht="20.149999999999999" customHeight="1" x14ac:dyDescent="0.25"/>
    <row r="50" ht="20.149999999999999" customHeight="1" x14ac:dyDescent="0.25"/>
    <row r="51" ht="20.149999999999999" customHeight="1" x14ac:dyDescent="0.25"/>
    <row r="52" ht="20.149999999999999" customHeight="1" x14ac:dyDescent="0.25"/>
    <row r="53" ht="20.149999999999999" customHeight="1" x14ac:dyDescent="0.25"/>
    <row r="54" ht="20.149999999999999" customHeight="1" x14ac:dyDescent="0.25"/>
    <row r="55" ht="20.149999999999999" customHeight="1" x14ac:dyDescent="0.25"/>
    <row r="56" ht="20.149999999999999" customHeight="1" x14ac:dyDescent="0.25"/>
    <row r="57" ht="20.149999999999999" customHeight="1" x14ac:dyDescent="0.25"/>
    <row r="58" ht="20.149999999999999" customHeight="1" x14ac:dyDescent="0.25"/>
    <row r="59" ht="20.149999999999999" customHeight="1" x14ac:dyDescent="0.25"/>
    <row r="60" ht="20.149999999999999" customHeight="1" x14ac:dyDescent="0.25"/>
    <row r="61" ht="20.149999999999999" customHeight="1" x14ac:dyDescent="0.25"/>
    <row r="62" ht="20.149999999999999" customHeight="1" x14ac:dyDescent="0.25"/>
    <row r="63" ht="20.149999999999999" customHeight="1" x14ac:dyDescent="0.25"/>
    <row r="64" ht="20.149999999999999" customHeight="1" x14ac:dyDescent="0.25"/>
    <row r="65" ht="20.149999999999999" customHeight="1" x14ac:dyDescent="0.25"/>
    <row r="66" ht="20.149999999999999" customHeight="1" x14ac:dyDescent="0.25"/>
    <row r="67" ht="20.149999999999999" customHeight="1" x14ac:dyDescent="0.25"/>
    <row r="68" ht="20.149999999999999" customHeight="1" x14ac:dyDescent="0.25"/>
    <row r="69" ht="20.149999999999999" customHeight="1" x14ac:dyDescent="0.25"/>
    <row r="70" ht="20.149999999999999" customHeight="1" x14ac:dyDescent="0.25"/>
    <row r="71" ht="20.149999999999999" customHeight="1" x14ac:dyDescent="0.25"/>
    <row r="72" ht="20.149999999999999" customHeight="1" x14ac:dyDescent="0.25"/>
    <row r="73" ht="20.149999999999999" customHeight="1" x14ac:dyDescent="0.25"/>
    <row r="74" ht="20.149999999999999" customHeight="1" x14ac:dyDescent="0.25"/>
    <row r="75" ht="20.149999999999999" customHeight="1" x14ac:dyDescent="0.25"/>
    <row r="76" ht="20.149999999999999" customHeight="1" x14ac:dyDescent="0.25"/>
    <row r="77" ht="20.149999999999999" customHeight="1" x14ac:dyDescent="0.25"/>
    <row r="78" ht="20.149999999999999" customHeight="1" x14ac:dyDescent="0.25"/>
    <row r="79" ht="20.149999999999999" customHeight="1" x14ac:dyDescent="0.25"/>
    <row r="80" ht="20.149999999999999" customHeight="1" x14ac:dyDescent="0.25"/>
    <row r="81" ht="20.149999999999999" customHeight="1" x14ac:dyDescent="0.25"/>
    <row r="82" ht="20.149999999999999" customHeight="1" x14ac:dyDescent="0.25"/>
    <row r="83" ht="20.149999999999999" customHeight="1" x14ac:dyDescent="0.25"/>
    <row r="84" ht="20.149999999999999" customHeight="1" x14ac:dyDescent="0.25"/>
    <row r="85" ht="20.149999999999999" customHeight="1" x14ac:dyDescent="0.25"/>
    <row r="86" ht="20.149999999999999" customHeight="1" x14ac:dyDescent="0.25"/>
    <row r="87" ht="20.149999999999999" customHeight="1" x14ac:dyDescent="0.25"/>
    <row r="88" ht="20.149999999999999" customHeight="1" x14ac:dyDescent="0.25"/>
    <row r="89" ht="20.149999999999999" customHeight="1" x14ac:dyDescent="0.25"/>
    <row r="90" ht="20.149999999999999" customHeight="1" x14ac:dyDescent="0.25"/>
    <row r="91" ht="20.149999999999999" customHeight="1" x14ac:dyDescent="0.25"/>
    <row r="92" ht="20.149999999999999" customHeight="1" x14ac:dyDescent="0.25"/>
    <row r="93" ht="20.149999999999999" customHeight="1" x14ac:dyDescent="0.25"/>
    <row r="94" ht="20.149999999999999" customHeight="1" x14ac:dyDescent="0.25"/>
    <row r="95" ht="20.149999999999999" customHeight="1" x14ac:dyDescent="0.25"/>
    <row r="96" ht="20.149999999999999" customHeight="1" x14ac:dyDescent="0.25"/>
    <row r="97" ht="20.149999999999999" customHeight="1" x14ac:dyDescent="0.25"/>
    <row r="98" ht="20.149999999999999" customHeight="1" x14ac:dyDescent="0.25"/>
    <row r="99" ht="20.149999999999999" customHeight="1" x14ac:dyDescent="0.25"/>
    <row r="100" ht="20.149999999999999" customHeight="1" x14ac:dyDescent="0.25"/>
    <row r="101" ht="20.149999999999999" customHeight="1" x14ac:dyDescent="0.25"/>
  </sheetData>
  <hyperlinks>
    <hyperlink ref="C7" location="'HURT WARZ'!B1" display="CENY HURTOWE WARZYW"/>
    <hyperlink ref="C6" location="'ZMIANY HURT'!B1" display="ZMIANY CEN HURTOWYCH"/>
  </hyperlinks>
  <pageMargins left="0.7" right="0.7" top="0.75" bottom="0.75" header="0.3" footer="0.3"/>
  <pageSetup paperSize="9" orientation="landscape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2">
    <tabColor theme="9" tint="0.59999389629810485"/>
    <pageSetUpPr autoPageBreaks="0" fitToPage="1"/>
  </sheetPr>
  <dimension ref="A1:S77"/>
  <sheetViews>
    <sheetView showGridLines="0" topLeftCell="A4" zoomScaleNormal="100" workbookViewId="0">
      <selection activeCell="B69" sqref="B69"/>
    </sheetView>
  </sheetViews>
  <sheetFormatPr defaultColWidth="9.1796875" defaultRowHeight="21" x14ac:dyDescent="0.5"/>
  <cols>
    <col min="1" max="1" width="10.7265625" style="14" customWidth="1"/>
    <col min="2" max="2" width="23.26953125" style="12" customWidth="1"/>
    <col min="3" max="3" width="10.7265625" style="14" customWidth="1"/>
    <col min="4" max="6" width="10.1796875" style="14" bestFit="1" customWidth="1"/>
    <col min="7" max="7" width="11.453125" style="14" customWidth="1"/>
    <col min="8" max="8" width="10.1796875" style="14" customWidth="1"/>
    <col min="9" max="9" width="10.54296875" style="14" customWidth="1"/>
    <col min="10" max="10" width="12.1796875" style="14" customWidth="1"/>
    <col min="11" max="11" width="11.1796875" style="14" customWidth="1"/>
    <col min="12" max="12" width="11.7265625" style="14" customWidth="1"/>
    <col min="13" max="13" width="10.26953125" style="14" customWidth="1"/>
    <col min="14" max="14" width="10.7265625" style="14" customWidth="1"/>
    <col min="15" max="15" width="10" style="14" customWidth="1"/>
    <col min="16" max="22" width="9.1796875" style="14"/>
    <col min="23" max="23" width="10.7265625" style="14" bestFit="1" customWidth="1"/>
    <col min="24" max="16384" width="9.1796875" style="14"/>
  </cols>
  <sheetData>
    <row r="1" spans="1:18" s="33" customFormat="1" ht="25" customHeight="1" x14ac:dyDescent="0.35">
      <c r="B1" s="57"/>
      <c r="E1" s="34"/>
      <c r="J1" s="35"/>
      <c r="K1" s="36"/>
    </row>
    <row r="2" spans="1:18" customFormat="1" ht="25" customHeight="1" x14ac:dyDescent="0.25">
      <c r="A2" s="37"/>
      <c r="B2" s="38" t="s">
        <v>300</v>
      </c>
      <c r="C2" s="39"/>
      <c r="D2" s="39"/>
      <c r="E2" s="39"/>
      <c r="F2" s="39"/>
      <c r="G2" s="39"/>
      <c r="H2" s="39"/>
      <c r="I2" s="39"/>
      <c r="J2" s="40"/>
      <c r="K2" s="40"/>
      <c r="L2" s="40"/>
      <c r="M2" s="33"/>
      <c r="N2" s="40"/>
    </row>
    <row r="3" spans="1:18" customFormat="1" ht="25" customHeight="1" thickBot="1" x14ac:dyDescent="0.3">
      <c r="B3" s="58"/>
      <c r="C3" s="42"/>
      <c r="D3" s="43"/>
      <c r="E3" s="44"/>
      <c r="F3" s="45"/>
      <c r="G3" s="46"/>
      <c r="H3" s="47"/>
      <c r="I3" s="48"/>
      <c r="J3" s="49"/>
      <c r="K3" s="49"/>
      <c r="L3" s="49"/>
      <c r="M3" s="49"/>
      <c r="N3" s="49"/>
      <c r="O3" s="49"/>
      <c r="R3" s="33"/>
    </row>
    <row r="4" spans="1:18" customFormat="1" ht="25" customHeight="1" thickTop="1" x14ac:dyDescent="0.3">
      <c r="B4" s="323"/>
      <c r="C4" s="51"/>
      <c r="D4" s="52"/>
      <c r="E4" s="52"/>
      <c r="F4" s="53"/>
      <c r="G4" s="54"/>
      <c r="H4" s="54"/>
      <c r="I4" s="54"/>
      <c r="J4" s="54"/>
      <c r="K4" s="55"/>
      <c r="L4" s="33"/>
      <c r="M4" s="56"/>
      <c r="N4" s="40"/>
      <c r="O4" s="187" t="str">
        <f>POMOC!B5</f>
        <v>Notowania 17 - 23.08.2026 / Tydzień 33</v>
      </c>
      <c r="Q4" s="33"/>
    </row>
    <row r="5" spans="1:18" ht="20.149999999999999" customHeight="1" x14ac:dyDescent="0.5">
      <c r="B5" s="61"/>
      <c r="C5" s="63"/>
      <c r="D5" s="122" t="s">
        <v>97</v>
      </c>
      <c r="E5" s="123"/>
      <c r="F5" s="124"/>
      <c r="G5" s="125"/>
      <c r="H5" s="124" t="s">
        <v>98</v>
      </c>
      <c r="I5" s="124"/>
      <c r="J5" s="124"/>
      <c r="K5" s="124"/>
      <c r="L5" s="123"/>
      <c r="M5" s="123"/>
      <c r="N5" s="123"/>
      <c r="O5" s="126"/>
    </row>
    <row r="6" spans="1:18" ht="40" customHeight="1" x14ac:dyDescent="0.5">
      <c r="B6" s="83" t="s">
        <v>324</v>
      </c>
      <c r="C6" s="84" t="s">
        <v>0</v>
      </c>
      <c r="D6" s="208">
        <v>46254</v>
      </c>
      <c r="E6" s="209"/>
      <c r="F6" s="208">
        <v>46247</v>
      </c>
      <c r="G6" s="210"/>
      <c r="H6" s="211" t="s">
        <v>325</v>
      </c>
      <c r="I6" s="212"/>
      <c r="J6" s="213" t="s">
        <v>99</v>
      </c>
      <c r="K6" s="212"/>
      <c r="L6" s="213" t="s">
        <v>100</v>
      </c>
      <c r="M6" s="212"/>
      <c r="N6" s="213" t="s">
        <v>101</v>
      </c>
      <c r="O6" s="212"/>
    </row>
    <row r="7" spans="1:18" ht="20.149999999999999" customHeight="1" x14ac:dyDescent="0.5">
      <c r="B7" s="62"/>
      <c r="C7" s="64"/>
      <c r="D7" s="214" t="s">
        <v>1</v>
      </c>
      <c r="E7" s="215" t="s">
        <v>2</v>
      </c>
      <c r="F7" s="216" t="s">
        <v>1</v>
      </c>
      <c r="G7" s="217" t="s">
        <v>2</v>
      </c>
      <c r="H7" s="218" t="s">
        <v>1</v>
      </c>
      <c r="I7" s="215" t="s">
        <v>2</v>
      </c>
      <c r="J7" s="214" t="s">
        <v>1</v>
      </c>
      <c r="K7" s="215" t="s">
        <v>2</v>
      </c>
      <c r="L7" s="214" t="s">
        <v>1</v>
      </c>
      <c r="M7" s="215" t="s">
        <v>2</v>
      </c>
      <c r="N7" s="216" t="s">
        <v>1</v>
      </c>
      <c r="O7" s="219" t="s">
        <v>2</v>
      </c>
    </row>
    <row r="8" spans="1:18" ht="20.149999999999999" customHeight="1" thickBot="1" x14ac:dyDescent="0.55000000000000004">
      <c r="B8" s="65">
        <v>1</v>
      </c>
      <c r="C8" s="66">
        <v>2</v>
      </c>
      <c r="D8" s="127">
        <v>3</v>
      </c>
      <c r="E8" s="128">
        <v>4</v>
      </c>
      <c r="F8" s="129">
        <v>5</v>
      </c>
      <c r="G8" s="130">
        <v>6</v>
      </c>
      <c r="H8" s="131">
        <v>7</v>
      </c>
      <c r="I8" s="128">
        <v>8</v>
      </c>
      <c r="J8" s="127">
        <v>9</v>
      </c>
      <c r="K8" s="128">
        <v>10</v>
      </c>
      <c r="L8" s="127">
        <v>11</v>
      </c>
      <c r="M8" s="128">
        <v>12</v>
      </c>
      <c r="N8" s="129">
        <v>13</v>
      </c>
      <c r="O8" s="129">
        <v>14</v>
      </c>
      <c r="P8" s="14" t="s">
        <v>272</v>
      </c>
    </row>
    <row r="9" spans="1:18" ht="20.149999999999999" customHeight="1" x14ac:dyDescent="0.5">
      <c r="B9" s="82" t="s">
        <v>102</v>
      </c>
      <c r="C9" s="74"/>
      <c r="D9" s="67"/>
      <c r="E9" s="67"/>
      <c r="F9" s="67"/>
      <c r="G9" s="75"/>
      <c r="H9" s="68"/>
      <c r="I9" s="68"/>
      <c r="J9" s="68"/>
      <c r="K9" s="68"/>
      <c r="L9" s="68"/>
      <c r="M9" s="68"/>
      <c r="N9" s="68"/>
      <c r="O9" s="68"/>
    </row>
    <row r="10" spans="1:18" ht="20.149999999999999" customHeight="1" x14ac:dyDescent="0.5">
      <c r="B10" s="73" t="s">
        <v>4</v>
      </c>
      <c r="C10" s="69" t="s">
        <v>3</v>
      </c>
      <c r="D10" s="70">
        <v>21.166666666666668</v>
      </c>
      <c r="E10" s="69">
        <v>27</v>
      </c>
      <c r="F10" s="69">
        <v>21.166666666666668</v>
      </c>
      <c r="G10" s="78">
        <v>27</v>
      </c>
      <c r="H10" s="76">
        <v>2.6366251198465829</v>
      </c>
      <c r="I10" s="71">
        <v>-2.9528865295288789</v>
      </c>
      <c r="J10" s="71">
        <v>-2.0742139647363971E-14</v>
      </c>
      <c r="K10" s="71">
        <v>-2.9528865295288789</v>
      </c>
      <c r="L10" s="71">
        <v>-6.3702623906705709</v>
      </c>
      <c r="M10" s="71">
        <v>-10.459183673469379</v>
      </c>
      <c r="N10" s="71">
        <v>-8.1115879828326403</v>
      </c>
      <c r="O10" s="72">
        <v>-3.3057851239669596</v>
      </c>
    </row>
    <row r="11" spans="1:18" ht="20.149999999999999" customHeight="1" x14ac:dyDescent="0.5">
      <c r="B11" s="59" t="s">
        <v>103</v>
      </c>
      <c r="C11" s="25" t="s">
        <v>3</v>
      </c>
      <c r="D11" s="27">
        <v>1.0166666666666666</v>
      </c>
      <c r="E11" s="25">
        <v>1.31</v>
      </c>
      <c r="F11" s="25">
        <v>0.8666666666666667</v>
      </c>
      <c r="G11" s="79">
        <v>1.2666666666666666</v>
      </c>
      <c r="H11" s="77">
        <v>17.307692307692296</v>
      </c>
      <c r="I11" s="26">
        <v>3.4210526315789567</v>
      </c>
      <c r="J11" s="26">
        <v>12.962962962962955</v>
      </c>
      <c r="K11" s="26">
        <v>-4.1463414634146174</v>
      </c>
      <c r="L11" s="26">
        <v>9.9099099099098993</v>
      </c>
      <c r="M11" s="26">
        <v>-2.9629629629629655</v>
      </c>
      <c r="N11" s="26">
        <v>12.962962962962955</v>
      </c>
      <c r="O11" s="31">
        <v>-4.1463414634146174</v>
      </c>
    </row>
    <row r="12" spans="1:18" ht="20.149999999999999" customHeight="1" x14ac:dyDescent="0.5">
      <c r="B12" s="59" t="s">
        <v>355</v>
      </c>
      <c r="C12" s="25" t="s">
        <v>3</v>
      </c>
      <c r="D12" s="27">
        <v>3</v>
      </c>
      <c r="E12" s="25">
        <v>3.2</v>
      </c>
      <c r="F12" s="25">
        <v>3</v>
      </c>
      <c r="G12" s="79">
        <v>3.2</v>
      </c>
      <c r="H12" s="77">
        <v>0</v>
      </c>
      <c r="I12" s="26">
        <v>0</v>
      </c>
      <c r="J12" s="26">
        <v>36.363636363636353</v>
      </c>
      <c r="K12" s="26">
        <v>3.2258064516129057</v>
      </c>
      <c r="L12" s="26">
        <v>20</v>
      </c>
      <c r="M12" s="26">
        <v>3.2258064516129057</v>
      </c>
      <c r="N12" s="26">
        <v>0</v>
      </c>
      <c r="O12" s="31">
        <v>0</v>
      </c>
    </row>
    <row r="13" spans="1:18" ht="20.149999999999999" customHeight="1" x14ac:dyDescent="0.5">
      <c r="B13" s="59" t="s">
        <v>5</v>
      </c>
      <c r="C13" s="25" t="s">
        <v>3</v>
      </c>
      <c r="D13" s="27">
        <v>1.1825000000000001</v>
      </c>
      <c r="E13" s="25">
        <v>1.605</v>
      </c>
      <c r="F13" s="25">
        <v>1.6825000000000001</v>
      </c>
      <c r="G13" s="79">
        <v>2.335</v>
      </c>
      <c r="H13" s="77">
        <v>-29.717682020802378</v>
      </c>
      <c r="I13" s="26">
        <v>-31.263383297644538</v>
      </c>
      <c r="J13" s="26">
        <v>-29.717682020802378</v>
      </c>
      <c r="K13" s="26">
        <v>-30.141458106637646</v>
      </c>
      <c r="L13" s="26">
        <v>-29.402985074626862</v>
      </c>
      <c r="M13" s="26">
        <v>-30.217391304347824</v>
      </c>
      <c r="N13" s="26">
        <v>-34.668508287292802</v>
      </c>
      <c r="O13" s="31">
        <v>-27.811094452773609</v>
      </c>
    </row>
    <row r="14" spans="1:18" ht="20.149999999999999" customHeight="1" x14ac:dyDescent="0.5">
      <c r="B14" s="59" t="s">
        <v>383</v>
      </c>
      <c r="C14" s="25" t="s">
        <v>3</v>
      </c>
      <c r="D14" s="27">
        <v>4.166666666666667</v>
      </c>
      <c r="E14" s="25">
        <v>4.833333333333333</v>
      </c>
      <c r="F14" s="25">
        <v>4.333333333333333</v>
      </c>
      <c r="G14" s="79">
        <v>5</v>
      </c>
      <c r="H14" s="77">
        <v>-3.8461538461538325</v>
      </c>
      <c r="I14" s="26">
        <v>-3.3333333333333397</v>
      </c>
      <c r="J14" s="26">
        <v>31.578947368421069</v>
      </c>
      <c r="K14" s="26">
        <v>-3.3333333333333397</v>
      </c>
      <c r="L14" s="26">
        <v>-10.714285714285714</v>
      </c>
      <c r="M14" s="26">
        <v>-19.44444444444445</v>
      </c>
      <c r="N14" s="26">
        <v>4.1666666666666741</v>
      </c>
      <c r="O14" s="31">
        <v>-3.3333333333333397</v>
      </c>
    </row>
    <row r="15" spans="1:18" ht="20.149999999999999" customHeight="1" x14ac:dyDescent="0.5">
      <c r="B15" s="59" t="s">
        <v>20</v>
      </c>
      <c r="C15" s="25" t="s">
        <v>16</v>
      </c>
      <c r="D15" s="27">
        <v>4.6259999999999994</v>
      </c>
      <c r="E15" s="25">
        <v>6.8140000000000001</v>
      </c>
      <c r="F15" s="25">
        <v>4.7</v>
      </c>
      <c r="G15" s="79">
        <v>6.6</v>
      </c>
      <c r="H15" s="77">
        <v>-1.5744680851063984</v>
      </c>
      <c r="I15" s="26">
        <v>3.2424242424242489</v>
      </c>
      <c r="J15" s="26">
        <v>12.829268292682924</v>
      </c>
      <c r="K15" s="26">
        <v>15.491525423728808</v>
      </c>
      <c r="L15" s="26">
        <v>-0.87142857142858965</v>
      </c>
      <c r="M15" s="26">
        <v>-0.28292682926828749</v>
      </c>
      <c r="N15" s="26">
        <v>8.8470588235293981</v>
      </c>
      <c r="O15" s="31">
        <v>0.94814814814814896</v>
      </c>
    </row>
    <row r="16" spans="1:18" ht="20.149999999999999" customHeight="1" x14ac:dyDescent="0.5">
      <c r="B16" s="59" t="s">
        <v>6</v>
      </c>
      <c r="C16" s="25" t="s">
        <v>3</v>
      </c>
      <c r="D16" s="27">
        <v>0.9</v>
      </c>
      <c r="E16" s="25">
        <v>1.0999999999999999</v>
      </c>
      <c r="F16" s="25">
        <v>1.0666666666666667</v>
      </c>
      <c r="G16" s="79">
        <v>1.2666666666666666</v>
      </c>
      <c r="H16" s="77">
        <v>-15.624999999999996</v>
      </c>
      <c r="I16" s="26">
        <v>-13.157894736842113</v>
      </c>
      <c r="J16" s="26">
        <v>-21.739130434782616</v>
      </c>
      <c r="K16" s="26">
        <v>-21.428571428571423</v>
      </c>
      <c r="L16" s="26">
        <v>-21.739130434782616</v>
      </c>
      <c r="M16" s="26">
        <v>-21.428571428571423</v>
      </c>
      <c r="N16" s="26">
        <v>-21.739130434782616</v>
      </c>
      <c r="O16" s="31">
        <v>-21.428571428571448</v>
      </c>
    </row>
    <row r="17" spans="1:16" ht="20.149999999999999" customHeight="1" x14ac:dyDescent="0.5">
      <c r="B17" s="59" t="s">
        <v>349</v>
      </c>
      <c r="C17" s="25" t="s">
        <v>16</v>
      </c>
      <c r="D17" s="27">
        <v>2.6659999999999999</v>
      </c>
      <c r="E17" s="25">
        <v>3.25</v>
      </c>
      <c r="F17" s="25">
        <v>2.766</v>
      </c>
      <c r="G17" s="79">
        <v>3.7</v>
      </c>
      <c r="H17" s="77">
        <v>-3.6153289949385421</v>
      </c>
      <c r="I17" s="26">
        <v>-12.162162162162167</v>
      </c>
      <c r="J17" s="26">
        <v>-6.9783670621074725</v>
      </c>
      <c r="K17" s="26">
        <v>-14.473684210526311</v>
      </c>
      <c r="L17" s="26">
        <v>-9.4736842105263275</v>
      </c>
      <c r="M17" s="26">
        <v>-13.983237759153075</v>
      </c>
      <c r="N17" s="26">
        <v>-4.529991047448525</v>
      </c>
      <c r="O17" s="31">
        <v>-14.304548450889914</v>
      </c>
    </row>
    <row r="18" spans="1:16" ht="20.149999999999999" customHeight="1" x14ac:dyDescent="0.5">
      <c r="B18" s="59" t="s">
        <v>7</v>
      </c>
      <c r="C18" s="25" t="s">
        <v>3</v>
      </c>
      <c r="D18" s="27">
        <v>1.1666666666666667</v>
      </c>
      <c r="E18" s="25">
        <v>1.7333333333333334</v>
      </c>
      <c r="F18" s="25">
        <v>1.1666666666666667</v>
      </c>
      <c r="G18" s="79">
        <v>1.7333333333333334</v>
      </c>
      <c r="H18" s="77">
        <v>0</v>
      </c>
      <c r="I18" s="26">
        <v>0</v>
      </c>
      <c r="J18" s="26">
        <v>-7.8947368421052531</v>
      </c>
      <c r="K18" s="26">
        <v>-13.33333333333333</v>
      </c>
      <c r="L18" s="26">
        <v>-23.497267759562831</v>
      </c>
      <c r="M18" s="26">
        <v>-19.379844961240302</v>
      </c>
      <c r="N18" s="26">
        <v>-30</v>
      </c>
      <c r="O18" s="31">
        <v>-27.777777777777775</v>
      </c>
    </row>
    <row r="19" spans="1:16" ht="20.149999999999999" customHeight="1" x14ac:dyDescent="0.5">
      <c r="B19" s="59" t="s">
        <v>370</v>
      </c>
      <c r="C19" s="25" t="s">
        <v>3</v>
      </c>
      <c r="D19" s="27">
        <v>2</v>
      </c>
      <c r="E19" s="25">
        <v>2.375</v>
      </c>
      <c r="F19" s="25">
        <v>2.5</v>
      </c>
      <c r="G19" s="79">
        <v>2.75</v>
      </c>
      <c r="H19" s="77">
        <v>-20</v>
      </c>
      <c r="I19" s="26">
        <v>-13.636363636363635</v>
      </c>
      <c r="J19" s="26">
        <v>-20</v>
      </c>
      <c r="K19" s="26">
        <v>-13.636363636363635</v>
      </c>
      <c r="L19" s="26">
        <v>-27.27272727272727</v>
      </c>
      <c r="M19" s="26">
        <v>-30.147058823529409</v>
      </c>
      <c r="N19" s="26">
        <v>-20</v>
      </c>
      <c r="O19" s="31">
        <v>-15.178571428571422</v>
      </c>
    </row>
    <row r="20" spans="1:16" ht="20.149999999999999" customHeight="1" x14ac:dyDescent="0.5">
      <c r="B20" s="59" t="s">
        <v>9</v>
      </c>
      <c r="C20" s="25" t="s">
        <v>3</v>
      </c>
      <c r="D20" s="27">
        <v>2.6</v>
      </c>
      <c r="E20" s="25">
        <v>4.7333333333333334</v>
      </c>
      <c r="F20" s="25">
        <v>2.6666666666666665</v>
      </c>
      <c r="G20" s="79">
        <v>5</v>
      </c>
      <c r="H20" s="77">
        <v>-2.4999999999999911</v>
      </c>
      <c r="I20" s="26">
        <v>-5.3333333333333321</v>
      </c>
      <c r="J20" s="26">
        <v>5.4054054054054035</v>
      </c>
      <c r="K20" s="26">
        <v>20.33898305084745</v>
      </c>
      <c r="L20" s="26">
        <v>-42.222222222222221</v>
      </c>
      <c r="M20" s="26">
        <v>-27.179487179487179</v>
      </c>
      <c r="N20" s="26">
        <v>-35</v>
      </c>
      <c r="O20" s="31">
        <v>-13.939393939393938</v>
      </c>
    </row>
    <row r="21" spans="1:16" ht="20.149999999999999" customHeight="1" x14ac:dyDescent="0.5">
      <c r="B21" s="59" t="s">
        <v>196</v>
      </c>
      <c r="C21" s="25" t="s">
        <v>3</v>
      </c>
      <c r="D21" s="27">
        <v>3.1</v>
      </c>
      <c r="E21" s="25">
        <v>4.5</v>
      </c>
      <c r="F21" s="25">
        <v>2.8</v>
      </c>
      <c r="G21" s="79">
        <v>4.05</v>
      </c>
      <c r="H21" s="77">
        <v>10.714285714285724</v>
      </c>
      <c r="I21" s="26">
        <v>11.111111111111116</v>
      </c>
      <c r="J21" s="26">
        <v>-24.390243902439014</v>
      </c>
      <c r="K21" s="26">
        <v>-19.642857142857135</v>
      </c>
      <c r="L21" s="26">
        <v>-42.325581395348841</v>
      </c>
      <c r="M21" s="26">
        <v>-34.146341463414629</v>
      </c>
      <c r="N21" s="26">
        <v>-43.636363636363633</v>
      </c>
      <c r="O21" s="31">
        <v>-40</v>
      </c>
    </row>
    <row r="22" spans="1:16" ht="20.149999999999999" customHeight="1" x14ac:dyDescent="0.5">
      <c r="B22" s="59" t="s">
        <v>21</v>
      </c>
      <c r="C22" s="25" t="s">
        <v>3</v>
      </c>
      <c r="D22" s="27">
        <v>6.12</v>
      </c>
      <c r="E22" s="25">
        <v>8.1</v>
      </c>
      <c r="F22" s="25">
        <v>7.1400000000000006</v>
      </c>
      <c r="G22" s="79">
        <v>8.7200000000000006</v>
      </c>
      <c r="H22" s="77">
        <v>-14.28571428571429</v>
      </c>
      <c r="I22" s="26">
        <v>-7.1100917431192778</v>
      </c>
      <c r="J22" s="26">
        <v>-4.3750000000000036</v>
      </c>
      <c r="K22" s="26">
        <v>-10.000000000000004</v>
      </c>
      <c r="L22" s="26">
        <v>-14.604651162790699</v>
      </c>
      <c r="M22" s="26">
        <v>-16.206896551724135</v>
      </c>
      <c r="N22" s="26">
        <v>-25.818181818181817</v>
      </c>
      <c r="O22" s="31">
        <v>-16.923076923076927</v>
      </c>
    </row>
    <row r="23" spans="1:16" ht="20.149999999999999" customHeight="1" x14ac:dyDescent="0.5">
      <c r="B23" s="59" t="s">
        <v>22</v>
      </c>
      <c r="C23" s="25" t="s">
        <v>3</v>
      </c>
      <c r="D23" s="27">
        <v>4.6500000000000004</v>
      </c>
      <c r="E23" s="25">
        <v>5.85</v>
      </c>
      <c r="F23" s="25">
        <v>4.5999999999999996</v>
      </c>
      <c r="G23" s="79">
        <v>5.6</v>
      </c>
      <c r="H23" s="77">
        <v>1.0869565217391459</v>
      </c>
      <c r="I23" s="26">
        <v>4.4642857142857144</v>
      </c>
      <c r="J23" s="26">
        <v>-6.999999999999992</v>
      </c>
      <c r="K23" s="26">
        <v>-2.5000000000000062</v>
      </c>
      <c r="L23" s="26">
        <v>-3.1249999999999889</v>
      </c>
      <c r="M23" s="26">
        <v>-7.142857142857145</v>
      </c>
      <c r="N23" s="26">
        <v>-26.578947368421041</v>
      </c>
      <c r="O23" s="31">
        <v>-20.22727272727273</v>
      </c>
    </row>
    <row r="24" spans="1:16" ht="20.149999999999999" customHeight="1" x14ac:dyDescent="0.5">
      <c r="B24" s="59" t="s">
        <v>23</v>
      </c>
      <c r="C24" s="25" t="s">
        <v>3</v>
      </c>
      <c r="D24" s="27">
        <v>7.65</v>
      </c>
      <c r="E24" s="25">
        <v>9.25</v>
      </c>
      <c r="F24" s="25">
        <v>7.2200000000000006</v>
      </c>
      <c r="G24" s="79">
        <v>8.6</v>
      </c>
      <c r="H24" s="77">
        <v>5.9556786703601068</v>
      </c>
      <c r="I24" s="26">
        <v>7.5581395348837264</v>
      </c>
      <c r="J24" s="26">
        <v>13.333333333333339</v>
      </c>
      <c r="K24" s="26">
        <v>2.7777777777777777</v>
      </c>
      <c r="L24" s="26">
        <v>13.333333333333339</v>
      </c>
      <c r="M24" s="26">
        <v>0</v>
      </c>
      <c r="N24" s="26">
        <v>9.28571428571429</v>
      </c>
      <c r="O24" s="31">
        <v>15.625</v>
      </c>
    </row>
    <row r="25" spans="1:16" ht="20.149999999999999" customHeight="1" x14ac:dyDescent="0.5">
      <c r="B25" s="59" t="s">
        <v>12</v>
      </c>
      <c r="C25" s="25" t="s">
        <v>3</v>
      </c>
      <c r="D25" s="27">
        <v>3.875</v>
      </c>
      <c r="E25" s="25">
        <v>5</v>
      </c>
      <c r="F25" s="25">
        <v>3.875</v>
      </c>
      <c r="G25" s="79">
        <v>5</v>
      </c>
      <c r="H25" s="77">
        <v>0</v>
      </c>
      <c r="I25" s="26">
        <v>0</v>
      </c>
      <c r="J25" s="26">
        <v>0</v>
      </c>
      <c r="K25" s="26">
        <v>-13.043478260869565</v>
      </c>
      <c r="L25" s="26">
        <v>1.4397905759162228</v>
      </c>
      <c r="M25" s="26">
        <v>-12.587412587412597</v>
      </c>
      <c r="N25" s="26">
        <v>-6.6265060240963933</v>
      </c>
      <c r="O25" s="31">
        <v>-11.504424778761067</v>
      </c>
    </row>
    <row r="26" spans="1:16" ht="20.149999999999999" customHeight="1" x14ac:dyDescent="0.5">
      <c r="B26" s="59" t="s">
        <v>13</v>
      </c>
      <c r="C26" s="25" t="s">
        <v>3</v>
      </c>
      <c r="D26" s="27">
        <v>4.5999999999999996</v>
      </c>
      <c r="E26" s="25">
        <v>5.8260000000000005</v>
      </c>
      <c r="F26" s="25">
        <v>4.6340000000000003</v>
      </c>
      <c r="G26" s="79">
        <v>5.8920000000000003</v>
      </c>
      <c r="H26" s="77">
        <v>-0.73370738023307502</v>
      </c>
      <c r="I26" s="26">
        <v>-1.1201629327902212</v>
      </c>
      <c r="J26" s="26">
        <v>11.758989310009719</v>
      </c>
      <c r="K26" s="26">
        <v>10.634257500949497</v>
      </c>
      <c r="L26" s="26">
        <v>8.6186540731995116</v>
      </c>
      <c r="M26" s="26">
        <v>16.52000000000001</v>
      </c>
      <c r="N26" s="26">
        <v>25.426039536468974</v>
      </c>
      <c r="O26" s="31">
        <v>25.967567567567578</v>
      </c>
    </row>
    <row r="27" spans="1:16" ht="20.149999999999999" customHeight="1" x14ac:dyDescent="0.5">
      <c r="B27" s="59" t="s">
        <v>460</v>
      </c>
      <c r="C27" s="25" t="s">
        <v>3</v>
      </c>
      <c r="D27" s="27">
        <v>2.25</v>
      </c>
      <c r="E27" s="25">
        <v>4</v>
      </c>
      <c r="F27" s="25">
        <v>2.5</v>
      </c>
      <c r="G27" s="79">
        <v>4</v>
      </c>
      <c r="H27" s="77">
        <v>-10</v>
      </c>
      <c r="I27" s="26">
        <v>0</v>
      </c>
      <c r="J27" s="26">
        <v>-43.75</v>
      </c>
      <c r="K27" s="26">
        <v>-33.333333333333329</v>
      </c>
      <c r="L27" s="26">
        <v>-43.75</v>
      </c>
      <c r="M27" s="26">
        <v>-33.333333333333329</v>
      </c>
      <c r="N27" s="26">
        <v>-43.75</v>
      </c>
      <c r="O27" s="31">
        <v>-33.333333333333329</v>
      </c>
    </row>
    <row r="28" spans="1:16" ht="20.149999999999999" customHeight="1" x14ac:dyDescent="0.5">
      <c r="B28" s="59" t="s">
        <v>106</v>
      </c>
      <c r="C28" s="25" t="s">
        <v>3</v>
      </c>
      <c r="D28" s="27">
        <v>4.2</v>
      </c>
      <c r="E28" s="25">
        <v>5.5260000000000007</v>
      </c>
      <c r="F28" s="25">
        <v>3.9019999999999997</v>
      </c>
      <c r="G28" s="79">
        <v>5.5659999999999998</v>
      </c>
      <c r="H28" s="77">
        <v>7.6371091747821769</v>
      </c>
      <c r="I28" s="26">
        <v>-0.71864893999279822</v>
      </c>
      <c r="J28" s="26">
        <v>-10.714285714285722</v>
      </c>
      <c r="K28" s="26">
        <v>-5.7961131946811966</v>
      </c>
      <c r="L28" s="26">
        <v>3.1941031941031914</v>
      </c>
      <c r="M28" s="26">
        <v>-3.8956521739130312</v>
      </c>
      <c r="N28" s="26">
        <v>24.44444444444445</v>
      </c>
      <c r="O28" s="31">
        <v>8.7260206591244707</v>
      </c>
    </row>
    <row r="29" spans="1:16" ht="20.149999999999999" customHeight="1" x14ac:dyDescent="0.5">
      <c r="B29" s="59" t="s">
        <v>24</v>
      </c>
      <c r="C29" s="25" t="s">
        <v>16</v>
      </c>
      <c r="D29" s="27">
        <v>1.6666666666666667</v>
      </c>
      <c r="E29" s="25">
        <v>2.5</v>
      </c>
      <c r="F29" s="25">
        <v>1.8333333333333333</v>
      </c>
      <c r="G29" s="79">
        <v>2.5</v>
      </c>
      <c r="H29" s="77">
        <v>-9.0909090909090828</v>
      </c>
      <c r="I29" s="26">
        <v>0</v>
      </c>
      <c r="J29" s="26">
        <v>0</v>
      </c>
      <c r="K29" s="26">
        <v>0</v>
      </c>
      <c r="L29" s="26">
        <v>33.333333333333336</v>
      </c>
      <c r="M29" s="26">
        <v>11.111111111111111</v>
      </c>
      <c r="N29" s="26">
        <v>11.111111111111116</v>
      </c>
      <c r="O29" s="31">
        <v>0</v>
      </c>
    </row>
    <row r="30" spans="1:16" ht="20.149999999999999" customHeight="1" x14ac:dyDescent="0.5">
      <c r="B30" s="59" t="s">
        <v>371</v>
      </c>
      <c r="C30" s="25" t="s">
        <v>16</v>
      </c>
      <c r="D30" s="27">
        <v>2.1833333333333331</v>
      </c>
      <c r="E30" s="25">
        <v>2.8333333333333335</v>
      </c>
      <c r="F30" s="25">
        <v>2.1833333333333331</v>
      </c>
      <c r="G30" s="79">
        <v>2.8333333333333335</v>
      </c>
      <c r="H30" s="77">
        <v>0</v>
      </c>
      <c r="I30" s="26">
        <v>0</v>
      </c>
      <c r="J30" s="26">
        <v>0</v>
      </c>
      <c r="K30" s="26">
        <v>0</v>
      </c>
      <c r="L30" s="26">
        <v>0</v>
      </c>
      <c r="M30" s="26">
        <v>0</v>
      </c>
      <c r="N30" s="26">
        <v>0</v>
      </c>
      <c r="O30" s="31">
        <v>0</v>
      </c>
    </row>
    <row r="31" spans="1:16" ht="20.149999999999999" customHeight="1" x14ac:dyDescent="0.5">
      <c r="A31"/>
      <c r="B31" s="59" t="s">
        <v>14</v>
      </c>
      <c r="C31" s="25" t="s">
        <v>170</v>
      </c>
      <c r="D31" s="27">
        <v>1.86</v>
      </c>
      <c r="E31" s="25">
        <v>2.23</v>
      </c>
      <c r="F31" s="25">
        <v>1.86</v>
      </c>
      <c r="G31" s="79">
        <v>2.35</v>
      </c>
      <c r="H31" s="77">
        <v>0</v>
      </c>
      <c r="I31" s="26">
        <v>-5.106382978723409</v>
      </c>
      <c r="J31" s="26">
        <v>-5.1020408163265349</v>
      </c>
      <c r="K31" s="26">
        <v>-3.0434782608695583</v>
      </c>
      <c r="L31" s="26">
        <v>-3.7931034482758577</v>
      </c>
      <c r="M31" s="26">
        <v>-2.33576642335766</v>
      </c>
      <c r="N31" s="26">
        <v>6.2857142857142918</v>
      </c>
      <c r="O31" s="31">
        <v>-0.88888888888888973</v>
      </c>
      <c r="P31"/>
    </row>
    <row r="32" spans="1:16" ht="20.149999999999999" customHeight="1" x14ac:dyDescent="0.5">
      <c r="B32" s="59" t="s">
        <v>15</v>
      </c>
      <c r="C32" s="25" t="s">
        <v>16</v>
      </c>
      <c r="D32" s="322">
        <v>2.6019999999999999</v>
      </c>
      <c r="E32" s="324">
        <v>3.25</v>
      </c>
      <c r="F32" s="324">
        <v>2.6659999999999999</v>
      </c>
      <c r="G32" s="79">
        <v>3.282</v>
      </c>
      <c r="H32" s="77">
        <v>-2.4006001500375116</v>
      </c>
      <c r="I32" s="26">
        <v>-0.97501523461304174</v>
      </c>
      <c r="J32" s="26">
        <v>-6.5373563218390789</v>
      </c>
      <c r="K32" s="26">
        <v>-3.4462269756387305</v>
      </c>
      <c r="L32" s="26">
        <v>1.839530332681006</v>
      </c>
      <c r="M32" s="26">
        <v>-0.86426029486529021</v>
      </c>
      <c r="N32" s="26">
        <v>5.8799593082400747</v>
      </c>
      <c r="O32" s="31">
        <v>1.9607843137254901</v>
      </c>
    </row>
    <row r="33" spans="2:15" ht="20.149999999999999" customHeight="1" x14ac:dyDescent="0.5">
      <c r="B33" s="59" t="s">
        <v>38</v>
      </c>
      <c r="C33" s="25" t="s">
        <v>3</v>
      </c>
      <c r="D33" s="322">
        <v>2.4</v>
      </c>
      <c r="E33" s="324">
        <v>3.3200000000000003</v>
      </c>
      <c r="F33" s="324">
        <v>2.8</v>
      </c>
      <c r="G33" s="79">
        <v>3.6</v>
      </c>
      <c r="H33" s="77">
        <v>-14.285714285714283</v>
      </c>
      <c r="I33" s="26">
        <v>-7.7777777777777724</v>
      </c>
      <c r="J33" s="26">
        <v>-23.076923076923084</v>
      </c>
      <c r="K33" s="26">
        <v>-22.790697674418595</v>
      </c>
      <c r="L33" s="26">
        <v>-22.580645161290327</v>
      </c>
      <c r="M33" s="26">
        <v>-10.270270270270256</v>
      </c>
      <c r="N33" s="26">
        <v>-17.241379310344829</v>
      </c>
      <c r="O33" s="31">
        <v>-11.46666666666666</v>
      </c>
    </row>
    <row r="34" spans="2:15" ht="20.149999999999999" customHeight="1" x14ac:dyDescent="0.5">
      <c r="B34" s="59" t="s">
        <v>431</v>
      </c>
      <c r="C34" s="25" t="s">
        <v>3</v>
      </c>
      <c r="D34" s="27">
        <v>5</v>
      </c>
      <c r="E34" s="25">
        <v>6</v>
      </c>
      <c r="F34" s="25">
        <v>5</v>
      </c>
      <c r="G34" s="79">
        <v>6</v>
      </c>
      <c r="H34" s="77">
        <v>0</v>
      </c>
      <c r="I34" s="26">
        <v>0</v>
      </c>
      <c r="J34" s="26">
        <v>0</v>
      </c>
      <c r="K34" s="26">
        <v>0</v>
      </c>
      <c r="L34" s="26">
        <v>0</v>
      </c>
      <c r="M34" s="26">
        <v>0</v>
      </c>
      <c r="N34" s="26">
        <v>0</v>
      </c>
      <c r="O34" s="31">
        <v>0</v>
      </c>
    </row>
    <row r="35" spans="2:15" ht="20.149999999999999" customHeight="1" x14ac:dyDescent="0.5">
      <c r="B35" s="59" t="s">
        <v>17</v>
      </c>
      <c r="C35" s="25" t="s">
        <v>3</v>
      </c>
      <c r="D35" s="27">
        <v>0.84333333333333338</v>
      </c>
      <c r="E35" s="25">
        <v>1.1700000000000002</v>
      </c>
      <c r="F35" s="25">
        <v>0.84333333333333338</v>
      </c>
      <c r="G35" s="79">
        <v>1.1700000000000002</v>
      </c>
      <c r="H35" s="77">
        <v>0</v>
      </c>
      <c r="I35" s="26">
        <v>0</v>
      </c>
      <c r="J35" s="26">
        <v>2.4291497975708523</v>
      </c>
      <c r="K35" s="26">
        <v>-13.759213759213749</v>
      </c>
      <c r="L35" s="26">
        <v>-1.0752688172042997</v>
      </c>
      <c r="M35" s="26">
        <v>-8.7719298245613899</v>
      </c>
      <c r="N35" s="26">
        <v>37.499999999999993</v>
      </c>
      <c r="O35" s="31">
        <v>-0.56657223796033418</v>
      </c>
    </row>
    <row r="36" spans="2:15" ht="20.149999999999999" customHeight="1" thickBot="1" x14ac:dyDescent="0.55000000000000004">
      <c r="B36" s="59" t="s">
        <v>350</v>
      </c>
      <c r="C36" s="25" t="s">
        <v>3</v>
      </c>
      <c r="D36" s="27">
        <v>1.4000000000000001</v>
      </c>
      <c r="E36" s="25">
        <v>1.68</v>
      </c>
      <c r="F36" s="25">
        <v>1.1766666666666667</v>
      </c>
      <c r="G36" s="79">
        <v>1.4233333333333331</v>
      </c>
      <c r="H36" s="77">
        <v>18.980169971671391</v>
      </c>
      <c r="I36" s="26">
        <v>18.032786885245915</v>
      </c>
      <c r="J36" s="26">
        <v>18.980169971671391</v>
      </c>
      <c r="K36" s="26">
        <v>18.032786885245915</v>
      </c>
      <c r="L36" s="26">
        <v>-10.828025477706989</v>
      </c>
      <c r="M36" s="26">
        <v>-8.4468664850136257</v>
      </c>
      <c r="N36" s="26">
        <v>30.841121495327105</v>
      </c>
      <c r="O36" s="31">
        <v>11.999999999999995</v>
      </c>
    </row>
    <row r="37" spans="2:15" ht="20.149999999999999" customHeight="1" thickBot="1" x14ac:dyDescent="0.55000000000000004">
      <c r="B37" s="419" t="s">
        <v>166</v>
      </c>
      <c r="C37" s="420"/>
      <c r="D37" s="421"/>
      <c r="E37" s="420"/>
      <c r="F37" s="420"/>
      <c r="G37" s="420"/>
      <c r="H37" s="422"/>
      <c r="I37" s="422"/>
      <c r="J37" s="422"/>
      <c r="K37" s="422"/>
      <c r="L37" s="422"/>
      <c r="M37" s="422"/>
      <c r="N37" s="422"/>
      <c r="O37" s="422"/>
    </row>
    <row r="38" spans="2:15" ht="20.149999999999999" customHeight="1" x14ac:dyDescent="0.5">
      <c r="B38" s="59" t="s">
        <v>285</v>
      </c>
      <c r="C38" s="25" t="s">
        <v>3</v>
      </c>
      <c r="D38" s="27">
        <v>19.2</v>
      </c>
      <c r="E38" s="25">
        <v>24</v>
      </c>
      <c r="F38" s="25">
        <v>16.399999999999999</v>
      </c>
      <c r="G38" s="79">
        <v>21.466000000000001</v>
      </c>
      <c r="H38" s="77">
        <v>17.073170731707325</v>
      </c>
      <c r="I38" s="26">
        <v>11.804714432125216</v>
      </c>
      <c r="J38" s="26">
        <v>43.283582089552233</v>
      </c>
      <c r="K38" s="26">
        <v>25.000000000000007</v>
      </c>
      <c r="L38" s="26">
        <v>22.553191489361701</v>
      </c>
      <c r="M38" s="26">
        <v>8.2706766917293173</v>
      </c>
      <c r="N38" s="26">
        <v>19.999999999999996</v>
      </c>
      <c r="O38" s="31">
        <v>-4</v>
      </c>
    </row>
    <row r="39" spans="2:15" ht="20.149999999999999" customHeight="1" x14ac:dyDescent="0.5">
      <c r="B39" s="59" t="s">
        <v>28</v>
      </c>
      <c r="C39" s="25" t="s">
        <v>3</v>
      </c>
      <c r="D39" s="27">
        <v>5.0999999999999996</v>
      </c>
      <c r="E39" s="25">
        <v>7.88</v>
      </c>
      <c r="F39" s="25">
        <v>6.0600000000000005</v>
      </c>
      <c r="G39" s="79">
        <v>8.4</v>
      </c>
      <c r="H39" s="77">
        <v>-15.841584158415856</v>
      </c>
      <c r="I39" s="26">
        <v>-6.1904761904761951</v>
      </c>
      <c r="J39" s="26">
        <v>-15.841584158415856</v>
      </c>
      <c r="K39" s="26">
        <v>-3.9024390243902372</v>
      </c>
      <c r="L39" s="26">
        <v>-27.142857142857146</v>
      </c>
      <c r="M39" s="26">
        <v>-10.454545454545464</v>
      </c>
      <c r="N39" s="26">
        <v>-19.473684210526319</v>
      </c>
      <c r="O39" s="31">
        <v>-9.0769230769230713</v>
      </c>
    </row>
    <row r="40" spans="2:15" ht="20.149999999999999" customHeight="1" x14ac:dyDescent="0.5">
      <c r="B40" s="59" t="s">
        <v>18</v>
      </c>
      <c r="C40" s="25" t="s">
        <v>3</v>
      </c>
      <c r="D40" s="27">
        <v>5</v>
      </c>
      <c r="E40" s="25">
        <v>5.75</v>
      </c>
      <c r="F40" s="25">
        <v>5</v>
      </c>
      <c r="G40" s="79">
        <v>5.75</v>
      </c>
      <c r="H40" s="77">
        <v>0</v>
      </c>
      <c r="I40" s="26">
        <v>0</v>
      </c>
      <c r="J40" s="26">
        <v>0</v>
      </c>
      <c r="K40" s="26">
        <v>0</v>
      </c>
      <c r="L40" s="26">
        <v>11.111111111111111</v>
      </c>
      <c r="M40" s="26">
        <v>2.2222222222222223</v>
      </c>
      <c r="N40" s="26">
        <v>11.111111111111111</v>
      </c>
      <c r="O40" s="31">
        <v>-8</v>
      </c>
    </row>
    <row r="41" spans="2:15" ht="20.149999999999999" customHeight="1" x14ac:dyDescent="0.5">
      <c r="B41" s="59" t="s">
        <v>372</v>
      </c>
      <c r="C41" s="25" t="s">
        <v>3</v>
      </c>
      <c r="D41" s="27">
        <v>26</v>
      </c>
      <c r="E41" s="25">
        <v>28</v>
      </c>
      <c r="F41" s="25">
        <v>12.5</v>
      </c>
      <c r="G41" s="79">
        <v>15</v>
      </c>
      <c r="H41" s="77">
        <v>108</v>
      </c>
      <c r="I41" s="26">
        <v>86.666666666666671</v>
      </c>
      <c r="J41" s="26">
        <v>73.333333333333329</v>
      </c>
      <c r="K41" s="26">
        <v>52.727272727272734</v>
      </c>
      <c r="L41" s="26">
        <v>131.11111111111111</v>
      </c>
      <c r="M41" s="26">
        <v>72.307692307692307</v>
      </c>
      <c r="N41" s="26">
        <v>131.11111111111111</v>
      </c>
      <c r="O41" s="31">
        <v>77.777777777777786</v>
      </c>
    </row>
    <row r="42" spans="2:15" x14ac:dyDescent="0.5">
      <c r="B42" s="59" t="s">
        <v>359</v>
      </c>
      <c r="C42" s="25" t="s">
        <v>3</v>
      </c>
      <c r="D42" s="27">
        <v>11.666666666666666</v>
      </c>
      <c r="E42" s="25">
        <v>17.583333333333332</v>
      </c>
      <c r="F42" s="25">
        <v>12.5</v>
      </c>
      <c r="G42" s="79">
        <v>19.833333333333332</v>
      </c>
      <c r="H42" s="77">
        <v>-6.6666666666666705</v>
      </c>
      <c r="I42" s="26">
        <v>-11.344537815126051</v>
      </c>
      <c r="J42" s="26">
        <v>14.379084967320264</v>
      </c>
      <c r="K42" s="26">
        <v>-8.4201388888888928</v>
      </c>
      <c r="L42" s="26">
        <v>6.0606060606060552</v>
      </c>
      <c r="M42" s="26">
        <v>-11.344537815126051</v>
      </c>
      <c r="N42" s="26">
        <v>-0.70921985815603339</v>
      </c>
      <c r="O42" s="31">
        <v>-12.083333333333339</v>
      </c>
    </row>
    <row r="43" spans="2:15" x14ac:dyDescent="0.5">
      <c r="B43" s="59" t="s">
        <v>342</v>
      </c>
      <c r="C43" s="25" t="s">
        <v>3</v>
      </c>
      <c r="D43" s="27">
        <v>33.200000000000003</v>
      </c>
      <c r="E43" s="25">
        <v>44</v>
      </c>
      <c r="F43" s="25">
        <v>36</v>
      </c>
      <c r="G43" s="79">
        <v>46.2</v>
      </c>
      <c r="H43" s="77">
        <v>-7.7777777777777697</v>
      </c>
      <c r="I43" s="26">
        <v>-4.7619047619047681</v>
      </c>
      <c r="J43" s="26">
        <v>3.7500000000000089</v>
      </c>
      <c r="K43" s="26">
        <v>2.0881670533642658</v>
      </c>
      <c r="L43" s="26">
        <v>0.60606060606061463</v>
      </c>
      <c r="M43" s="26">
        <v>5.6000000000000059</v>
      </c>
      <c r="N43" s="26">
        <v>16.491228070175449</v>
      </c>
      <c r="O43" s="31">
        <v>13.548387096774196</v>
      </c>
    </row>
    <row r="44" spans="2:15" x14ac:dyDescent="0.5">
      <c r="B44" s="59" t="s">
        <v>358</v>
      </c>
      <c r="C44" s="25" t="s">
        <v>3</v>
      </c>
      <c r="D44" s="27">
        <v>5.8</v>
      </c>
      <c r="E44" s="25">
        <v>8.6</v>
      </c>
      <c r="F44" s="25">
        <v>6.4</v>
      </c>
      <c r="G44" s="79">
        <v>9.5</v>
      </c>
      <c r="H44" s="77">
        <v>-9.3750000000000089</v>
      </c>
      <c r="I44" s="26">
        <v>-9.4736842105263186</v>
      </c>
      <c r="J44" s="26">
        <v>-6.4516129032258114</v>
      </c>
      <c r="K44" s="26">
        <v>-9.4736842105263186</v>
      </c>
      <c r="L44" s="26">
        <v>-7.4468085106383004</v>
      </c>
      <c r="M44" s="26">
        <v>-10.260869565217401</v>
      </c>
      <c r="N44" s="26">
        <v>-25.161290322580648</v>
      </c>
      <c r="O44" s="31">
        <v>-14.000000000000004</v>
      </c>
    </row>
    <row r="45" spans="2:15" x14ac:dyDescent="0.5">
      <c r="B45" s="59" t="s">
        <v>344</v>
      </c>
      <c r="C45" s="25" t="s">
        <v>3</v>
      </c>
      <c r="D45" s="27">
        <v>6.5</v>
      </c>
      <c r="E45" s="25">
        <v>6.5</v>
      </c>
      <c r="F45" s="25">
        <v>7</v>
      </c>
      <c r="G45" s="79">
        <v>7</v>
      </c>
      <c r="H45" s="77">
        <v>-7.1428571428571423</v>
      </c>
      <c r="I45" s="26">
        <v>-7.1428571428571423</v>
      </c>
      <c r="J45" s="26">
        <v>-7.1428571428571423</v>
      </c>
      <c r="K45" s="26">
        <v>-7.1428571428571423</v>
      </c>
      <c r="L45" s="26">
        <v>-18.75</v>
      </c>
      <c r="M45" s="26">
        <v>-18.75</v>
      </c>
      <c r="N45" s="26">
        <v>8.3333333333333321</v>
      </c>
      <c r="O45" s="31">
        <v>8.3333333333333321</v>
      </c>
    </row>
    <row r="46" spans="2:15" x14ac:dyDescent="0.5">
      <c r="B46" s="59" t="s">
        <v>40</v>
      </c>
      <c r="C46" s="25" t="s">
        <v>3</v>
      </c>
      <c r="D46" s="27">
        <v>3.6</v>
      </c>
      <c r="E46" s="25">
        <v>5.8</v>
      </c>
      <c r="F46" s="25">
        <v>4.0999999999999996</v>
      </c>
      <c r="G46" s="79">
        <v>6.7</v>
      </c>
      <c r="H46" s="77">
        <v>-12.195121951219502</v>
      </c>
      <c r="I46" s="26">
        <v>-13.432835820895528</v>
      </c>
      <c r="J46" s="26">
        <v>-7.692307692307689</v>
      </c>
      <c r="K46" s="26">
        <v>-9.3750000000000089</v>
      </c>
      <c r="L46" s="26">
        <v>-24.869565217391308</v>
      </c>
      <c r="M46" s="26">
        <v>-30.400000000000006</v>
      </c>
      <c r="N46" s="26">
        <v>-44.615384615384613</v>
      </c>
      <c r="O46" s="31">
        <v>-31.764705882352946</v>
      </c>
    </row>
    <row r="47" spans="2:15" x14ac:dyDescent="0.5">
      <c r="B47" s="59" t="s">
        <v>39</v>
      </c>
      <c r="C47" s="25" t="s">
        <v>3</v>
      </c>
      <c r="D47" s="27">
        <v>17.399999999999999</v>
      </c>
      <c r="E47" s="25">
        <v>21</v>
      </c>
      <c r="F47" s="25">
        <v>14.8</v>
      </c>
      <c r="G47" s="79">
        <v>19.3</v>
      </c>
      <c r="H47" s="77">
        <v>17.567567567567551</v>
      </c>
      <c r="I47" s="26">
        <v>8.8082901554404103</v>
      </c>
      <c r="J47" s="26">
        <v>13.725490196078416</v>
      </c>
      <c r="K47" s="26">
        <v>-7.4889867841409661</v>
      </c>
      <c r="L47" s="26">
        <v>14.725274725274721</v>
      </c>
      <c r="M47" s="26">
        <v>-10.320284697508901</v>
      </c>
      <c r="N47" s="26">
        <v>22.105263157894729</v>
      </c>
      <c r="O47" s="31">
        <v>-7.1823204419889501</v>
      </c>
    </row>
    <row r="48" spans="2:15" x14ac:dyDescent="0.5">
      <c r="B48" s="59" t="s">
        <v>74</v>
      </c>
      <c r="C48" s="25" t="s">
        <v>3</v>
      </c>
      <c r="D48" s="27">
        <v>15</v>
      </c>
      <c r="E48" s="25">
        <v>17.5</v>
      </c>
      <c r="F48" s="25">
        <v>17.333333333333332</v>
      </c>
      <c r="G48" s="79">
        <v>19</v>
      </c>
      <c r="H48" s="77">
        <v>-13.461538461538455</v>
      </c>
      <c r="I48" s="26">
        <v>-7.8947368421052628</v>
      </c>
      <c r="J48" s="26">
        <v>-15.730337078651688</v>
      </c>
      <c r="K48" s="26">
        <v>-15.865384615384617</v>
      </c>
      <c r="L48" s="26">
        <v>-21.052631578947366</v>
      </c>
      <c r="M48" s="26">
        <v>-24.460431654676263</v>
      </c>
      <c r="N48" s="26">
        <v>-17.80821917808219</v>
      </c>
      <c r="O48" s="31">
        <v>-23.913043478260871</v>
      </c>
    </row>
    <row r="49" spans="2:19" x14ac:dyDescent="0.5">
      <c r="B49" s="59" t="s">
        <v>77</v>
      </c>
      <c r="C49" s="25" t="s">
        <v>3</v>
      </c>
      <c r="D49" s="27">
        <v>12.5</v>
      </c>
      <c r="E49" s="25">
        <v>15.75</v>
      </c>
      <c r="F49" s="25">
        <v>13.2</v>
      </c>
      <c r="G49" s="79">
        <v>15.8</v>
      </c>
      <c r="H49" s="77">
        <v>-5.3030303030302974</v>
      </c>
      <c r="I49" s="26">
        <v>-0.31645569620253611</v>
      </c>
      <c r="J49" s="26">
        <v>-5.3030303030302974</v>
      </c>
      <c r="K49" s="26">
        <v>5</v>
      </c>
      <c r="L49" s="26">
        <v>-1.315789473684206</v>
      </c>
      <c r="M49" s="26">
        <v>3.8461538461538507</v>
      </c>
      <c r="N49" s="26">
        <v>-9.0909090909090917</v>
      </c>
      <c r="O49" s="31">
        <v>-8.695652173913043</v>
      </c>
    </row>
    <row r="50" spans="2:19" x14ac:dyDescent="0.5">
      <c r="B50" s="524" t="s">
        <v>88</v>
      </c>
      <c r="C50" s="525" t="s">
        <v>3</v>
      </c>
      <c r="D50" s="411">
        <v>8.3940000000000001</v>
      </c>
      <c r="E50" s="525">
        <v>10.129999999999999</v>
      </c>
      <c r="F50" s="525">
        <v>8.1999999999999993</v>
      </c>
      <c r="G50" s="526">
        <v>10.532</v>
      </c>
      <c r="H50" s="527">
        <v>2.3658536585365959</v>
      </c>
      <c r="I50" s="528">
        <v>-3.8169388530193791</v>
      </c>
      <c r="J50" s="528">
        <v>5.7978321149483234</v>
      </c>
      <c r="K50" s="528">
        <v>-1.3247613481394993</v>
      </c>
      <c r="L50" s="528">
        <v>-5.3237085495149961</v>
      </c>
      <c r="M50" s="528">
        <v>-11.140350877192994</v>
      </c>
      <c r="N50" s="528">
        <v>0.71994240460763737</v>
      </c>
      <c r="O50" s="529">
        <v>-14.63003539524693</v>
      </c>
    </row>
    <row r="51" spans="2:19" x14ac:dyDescent="0.5">
      <c r="B51" s="535" t="s">
        <v>105</v>
      </c>
      <c r="C51" s="536"/>
      <c r="D51" s="537"/>
      <c r="E51" s="536"/>
      <c r="F51" s="536"/>
      <c r="G51" s="536"/>
      <c r="H51" s="538"/>
      <c r="I51" s="538"/>
      <c r="J51" s="538"/>
      <c r="K51" s="538"/>
      <c r="L51" s="538"/>
      <c r="M51" s="538"/>
      <c r="N51" s="538"/>
      <c r="O51" s="538"/>
    </row>
    <row r="52" spans="2:19" x14ac:dyDescent="0.5">
      <c r="B52" s="530" t="s">
        <v>491</v>
      </c>
      <c r="C52" s="531" t="s">
        <v>3</v>
      </c>
      <c r="D52" s="532">
        <v>3.4249999999999998</v>
      </c>
      <c r="E52" s="531">
        <v>3.9249999999999998</v>
      </c>
      <c r="F52" s="531">
        <v>3.4249999999999998</v>
      </c>
      <c r="G52" s="533">
        <v>4.2549999999999999</v>
      </c>
      <c r="H52" s="534">
        <v>0</v>
      </c>
      <c r="I52" s="80">
        <v>-7.7555816686251484</v>
      </c>
      <c r="J52" s="80">
        <v>-20.533642691415327</v>
      </c>
      <c r="K52" s="80">
        <v>-18.39916839916841</v>
      </c>
      <c r="L52" s="80"/>
      <c r="M52" s="80"/>
      <c r="N52" s="80"/>
      <c r="O52" s="81"/>
    </row>
    <row r="53" spans="2:19" x14ac:dyDescent="0.5">
      <c r="B53" s="59" t="s">
        <v>492</v>
      </c>
      <c r="C53" s="25" t="s">
        <v>3</v>
      </c>
      <c r="D53" s="27">
        <v>3.08</v>
      </c>
      <c r="E53" s="25">
        <v>3.08</v>
      </c>
      <c r="F53" s="25">
        <v>3.08</v>
      </c>
      <c r="G53" s="79">
        <v>3.08</v>
      </c>
      <c r="H53" s="77">
        <v>0</v>
      </c>
      <c r="I53" s="26">
        <v>0</v>
      </c>
      <c r="J53" s="26">
        <v>0</v>
      </c>
      <c r="K53" s="26">
        <v>0</v>
      </c>
      <c r="L53" s="26"/>
      <c r="M53" s="26"/>
      <c r="N53" s="26"/>
      <c r="O53" s="31"/>
    </row>
    <row r="54" spans="2:19" x14ac:dyDescent="0.5">
      <c r="B54" s="59" t="s">
        <v>461</v>
      </c>
      <c r="C54" s="25" t="s">
        <v>3</v>
      </c>
      <c r="D54" s="27">
        <v>3.08</v>
      </c>
      <c r="E54" s="25">
        <v>3.08</v>
      </c>
      <c r="F54" s="25">
        <v>3.08</v>
      </c>
      <c r="G54" s="79">
        <v>3.08</v>
      </c>
      <c r="H54" s="77">
        <v>0</v>
      </c>
      <c r="I54" s="26">
        <v>0</v>
      </c>
      <c r="J54" s="26">
        <v>1.9867549668874189</v>
      </c>
      <c r="K54" s="26">
        <v>-33.692142088266948</v>
      </c>
      <c r="L54" s="26">
        <v>-12.499999999999998</v>
      </c>
      <c r="M54" s="26">
        <v>-39.100346020761243</v>
      </c>
      <c r="N54" s="26">
        <v>-26.198083067092643</v>
      </c>
      <c r="O54" s="31">
        <v>-36.275862068965516</v>
      </c>
    </row>
    <row r="55" spans="2:19" x14ac:dyDescent="0.5">
      <c r="B55" s="59" t="s">
        <v>188</v>
      </c>
      <c r="C55" s="25" t="s">
        <v>3</v>
      </c>
      <c r="D55" s="27">
        <v>2</v>
      </c>
      <c r="E55" s="25">
        <v>3</v>
      </c>
      <c r="F55" s="25">
        <v>2</v>
      </c>
      <c r="G55" s="79">
        <v>3</v>
      </c>
      <c r="H55" s="77">
        <v>0</v>
      </c>
      <c r="I55" s="26">
        <v>0</v>
      </c>
      <c r="J55" s="26">
        <v>-20</v>
      </c>
      <c r="K55" s="26">
        <v>-14.285714285714285</v>
      </c>
      <c r="L55" s="26">
        <v>-28.31541218637993</v>
      </c>
      <c r="M55" s="26">
        <v>-8.8145896656534966</v>
      </c>
      <c r="N55" s="26">
        <v>-28.31541218637993</v>
      </c>
      <c r="O55" s="31">
        <v>-8.8145896656534966</v>
      </c>
    </row>
    <row r="56" spans="2:19" x14ac:dyDescent="0.5">
      <c r="B56" s="59" t="s">
        <v>266</v>
      </c>
      <c r="C56" s="25" t="s">
        <v>3</v>
      </c>
      <c r="D56" s="27">
        <v>2</v>
      </c>
      <c r="E56" s="25">
        <v>3</v>
      </c>
      <c r="F56" s="25">
        <v>2</v>
      </c>
      <c r="G56" s="79">
        <v>3</v>
      </c>
      <c r="H56" s="77">
        <v>0</v>
      </c>
      <c r="I56" s="26">
        <v>0</v>
      </c>
      <c r="J56" s="26">
        <v>-38.461538461538467</v>
      </c>
      <c r="K56" s="26">
        <v>-22.58064516129032</v>
      </c>
      <c r="L56" s="26">
        <v>-38.461538461538467</v>
      </c>
      <c r="M56" s="26">
        <v>-22.58064516129032</v>
      </c>
      <c r="N56" s="26">
        <v>-37.369519832985389</v>
      </c>
      <c r="O56" s="31">
        <v>-16.897506925207754</v>
      </c>
    </row>
    <row r="57" spans="2:19" x14ac:dyDescent="0.5">
      <c r="B57" s="59" t="s">
        <v>190</v>
      </c>
      <c r="C57" s="25" t="s">
        <v>3</v>
      </c>
      <c r="D57" s="27">
        <v>1.33</v>
      </c>
      <c r="E57" s="25">
        <v>2.67</v>
      </c>
      <c r="F57" s="25">
        <v>1.33</v>
      </c>
      <c r="G57" s="79">
        <v>2.67</v>
      </c>
      <c r="H57" s="77">
        <v>0</v>
      </c>
      <c r="I57" s="26">
        <v>0</v>
      </c>
      <c r="J57" s="26">
        <v>-42.918454935622321</v>
      </c>
      <c r="K57" s="26">
        <v>-11.000000000000004</v>
      </c>
      <c r="L57" s="26">
        <v>-42.918454935622321</v>
      </c>
      <c r="M57" s="26">
        <v>-11.000000000000004</v>
      </c>
      <c r="N57" s="26">
        <v>-42.918454935622321</v>
      </c>
      <c r="O57" s="31">
        <v>-11.000000000000004</v>
      </c>
    </row>
    <row r="58" spans="2:19" x14ac:dyDescent="0.5">
      <c r="B58" s="59" t="s">
        <v>293</v>
      </c>
      <c r="C58" s="25" t="s">
        <v>3</v>
      </c>
      <c r="D58" s="27">
        <v>2</v>
      </c>
      <c r="E58" s="25">
        <v>3</v>
      </c>
      <c r="F58" s="25">
        <v>2</v>
      </c>
      <c r="G58" s="79">
        <v>3.5</v>
      </c>
      <c r="H58" s="77">
        <v>0</v>
      </c>
      <c r="I58" s="26">
        <v>-14.285714285714285</v>
      </c>
      <c r="J58" s="26">
        <v>0</v>
      </c>
      <c r="K58" s="26">
        <v>-14.285714285714285</v>
      </c>
      <c r="L58" s="26">
        <v>0</v>
      </c>
      <c r="M58" s="26">
        <v>-14.285714285714285</v>
      </c>
      <c r="N58" s="26">
        <v>0</v>
      </c>
      <c r="O58" s="31">
        <v>-14.285714285714285</v>
      </c>
    </row>
    <row r="59" spans="2:19" x14ac:dyDescent="0.5">
      <c r="B59" s="59" t="s">
        <v>264</v>
      </c>
      <c r="C59" s="25" t="s">
        <v>3</v>
      </c>
      <c r="D59" s="27">
        <v>3.08</v>
      </c>
      <c r="E59" s="25">
        <v>3.08</v>
      </c>
      <c r="F59" s="25">
        <v>3.08</v>
      </c>
      <c r="G59" s="79">
        <v>3.08</v>
      </c>
      <c r="H59" s="77">
        <v>0</v>
      </c>
      <c r="I59" s="26">
        <v>0</v>
      </c>
      <c r="J59" s="26">
        <v>-3.9001560062402496</v>
      </c>
      <c r="K59" s="26">
        <v>-12.994350282485875</v>
      </c>
      <c r="L59" s="26">
        <v>-3.9001560062402496</v>
      </c>
      <c r="M59" s="26">
        <v>-12.994350282485875</v>
      </c>
      <c r="N59" s="26">
        <v>-7.5075075075075075</v>
      </c>
      <c r="O59" s="31">
        <v>-23</v>
      </c>
    </row>
    <row r="60" spans="2:19" x14ac:dyDescent="0.5">
      <c r="B60" s="59" t="s">
        <v>168</v>
      </c>
      <c r="C60" s="25" t="s">
        <v>3</v>
      </c>
      <c r="D60" s="27">
        <v>2.72</v>
      </c>
      <c r="E60" s="25">
        <v>3.0533333333333332</v>
      </c>
      <c r="F60" s="25">
        <v>2.54</v>
      </c>
      <c r="G60" s="79">
        <v>3.1225000000000001</v>
      </c>
      <c r="H60" s="77">
        <v>7.0866141732283534</v>
      </c>
      <c r="I60" s="26">
        <v>-2.2151054176674725</v>
      </c>
      <c r="J60" s="26">
        <v>-1.0189228529839893</v>
      </c>
      <c r="K60" s="26">
        <v>-7.4186375581160462</v>
      </c>
      <c r="L60" s="26">
        <v>2.0637898686679232</v>
      </c>
      <c r="M60" s="26">
        <v>-8.9236887894606056</v>
      </c>
      <c r="N60" s="26">
        <v>7.6517150395778373</v>
      </c>
      <c r="O60" s="31">
        <v>-11.326234269119075</v>
      </c>
    </row>
    <row r="61" spans="2:19" x14ac:dyDescent="0.5">
      <c r="B61" s="59" t="s">
        <v>200</v>
      </c>
      <c r="C61" s="25" t="s">
        <v>3</v>
      </c>
      <c r="D61" s="27">
        <v>4</v>
      </c>
      <c r="E61" s="25">
        <v>4.17</v>
      </c>
      <c r="F61" s="25">
        <v>3</v>
      </c>
      <c r="G61" s="79">
        <v>4.165</v>
      </c>
      <c r="H61" s="77">
        <v>33.333333333333329</v>
      </c>
      <c r="I61" s="26">
        <v>0.1200480192076805</v>
      </c>
      <c r="J61" s="26">
        <v>64.948453608247434</v>
      </c>
      <c r="K61" s="26">
        <v>4.2499999999999982</v>
      </c>
      <c r="L61" s="26">
        <v>59.78695073235685</v>
      </c>
      <c r="M61" s="26">
        <v>-6.1515378844711197</v>
      </c>
      <c r="N61" s="26">
        <v>33.000831255195351</v>
      </c>
      <c r="O61" s="31">
        <v>3.0902348578491967</v>
      </c>
    </row>
    <row r="62" spans="2:19" x14ac:dyDescent="0.5">
      <c r="B62" s="59" t="s">
        <v>462</v>
      </c>
      <c r="C62" s="25" t="s">
        <v>3</v>
      </c>
      <c r="D62" s="27">
        <v>3.26</v>
      </c>
      <c r="E62" s="25">
        <v>4.26</v>
      </c>
      <c r="F62" s="25">
        <v>3.26</v>
      </c>
      <c r="G62" s="79">
        <v>4.26</v>
      </c>
      <c r="H62" s="77">
        <v>0</v>
      </c>
      <c r="I62" s="26">
        <v>0</v>
      </c>
      <c r="J62" s="26">
        <v>6.9729286300246081</v>
      </c>
      <c r="K62" s="26">
        <v>-12.704918032786889</v>
      </c>
      <c r="L62" s="26">
        <v>-8.1042988019732238</v>
      </c>
      <c r="M62" s="26">
        <v>-19.508738781294294</v>
      </c>
      <c r="N62" s="26">
        <v>-15.104166666666668</v>
      </c>
      <c r="O62" s="31">
        <v>-11.86206896551724</v>
      </c>
    </row>
    <row r="63" spans="2:19" x14ac:dyDescent="0.5">
      <c r="B63" s="59" t="s">
        <v>479</v>
      </c>
      <c r="C63" s="25" t="s">
        <v>3</v>
      </c>
      <c r="D63" s="27">
        <v>2.81</v>
      </c>
      <c r="E63" s="25">
        <v>4.1940000000000008</v>
      </c>
      <c r="F63" s="25">
        <v>2.8159999999999998</v>
      </c>
      <c r="G63" s="79">
        <v>4.7159999999999993</v>
      </c>
      <c r="H63" s="77">
        <v>-0.21306818181817413</v>
      </c>
      <c r="I63" s="26">
        <v>-11.068702290076304</v>
      </c>
      <c r="J63" s="26">
        <v>-4.7457627118644101</v>
      </c>
      <c r="K63" s="26">
        <v>-17.505900865460244</v>
      </c>
      <c r="L63" s="26">
        <v>-2.7681660899654004</v>
      </c>
      <c r="M63" s="26">
        <v>-31.989189189189176</v>
      </c>
      <c r="N63" s="26"/>
      <c r="O63" s="31"/>
      <c r="S63" s="539"/>
    </row>
    <row r="64" spans="2:19" ht="21.5" thickBot="1" x14ac:dyDescent="0.55000000000000004">
      <c r="B64" s="59" t="s">
        <v>288</v>
      </c>
      <c r="C64" s="25" t="s">
        <v>3</v>
      </c>
      <c r="D64" s="27">
        <v>2</v>
      </c>
      <c r="E64" s="25">
        <v>3.5</v>
      </c>
      <c r="F64" s="25">
        <v>2</v>
      </c>
      <c r="G64" s="79">
        <v>3.5</v>
      </c>
      <c r="H64" s="77">
        <v>0</v>
      </c>
      <c r="I64" s="26">
        <v>0</v>
      </c>
      <c r="J64" s="26">
        <v>-23.809523809523807</v>
      </c>
      <c r="K64" s="26">
        <v>-12.5</v>
      </c>
      <c r="L64" s="26">
        <v>-23.809523809523807</v>
      </c>
      <c r="M64" s="26">
        <v>-12.5</v>
      </c>
      <c r="N64" s="26">
        <v>-23.809523809523807</v>
      </c>
      <c r="O64" s="31">
        <v>-12.5</v>
      </c>
    </row>
    <row r="65" spans="2:15" ht="21.5" thickBot="1" x14ac:dyDescent="0.55000000000000004">
      <c r="B65" s="419" t="s">
        <v>169</v>
      </c>
      <c r="C65" s="420" t="s">
        <v>3</v>
      </c>
      <c r="D65" s="421">
        <v>3</v>
      </c>
      <c r="E65" s="420">
        <v>4.0533333333333337</v>
      </c>
      <c r="F65" s="420">
        <v>3</v>
      </c>
      <c r="G65" s="420">
        <v>4.0533333333333337</v>
      </c>
      <c r="H65" s="422">
        <v>0</v>
      </c>
      <c r="I65" s="422">
        <v>0</v>
      </c>
      <c r="J65" s="422">
        <v>-2.676399026763991</v>
      </c>
      <c r="K65" s="422">
        <v>0.33003300330033769</v>
      </c>
      <c r="L65" s="422">
        <v>19.047619047619047</v>
      </c>
      <c r="M65" s="422">
        <v>16.558830577522173</v>
      </c>
      <c r="N65" s="422">
        <v>7.0154577883472093</v>
      </c>
      <c r="O65" s="422">
        <v>14.933837429111534</v>
      </c>
    </row>
    <row r="66" spans="2:15" ht="21.5" thickBot="1" x14ac:dyDescent="0.55000000000000004">
      <c r="B66" s="59" t="s">
        <v>476</v>
      </c>
      <c r="C66" s="25"/>
      <c r="D66" s="27"/>
      <c r="E66" s="25"/>
      <c r="F66" s="25"/>
      <c r="G66" s="79"/>
      <c r="H66" s="77"/>
      <c r="I66" s="26"/>
      <c r="J66" s="26"/>
      <c r="K66" s="26"/>
      <c r="L66" s="26"/>
      <c r="M66" s="26"/>
      <c r="N66" s="26"/>
      <c r="O66" s="31"/>
    </row>
    <row r="67" spans="2:15" ht="21.5" thickBot="1" x14ac:dyDescent="0.55000000000000004">
      <c r="B67" s="419" t="s">
        <v>25</v>
      </c>
      <c r="C67" s="420" t="s">
        <v>16</v>
      </c>
      <c r="D67" s="421">
        <v>6.5</v>
      </c>
      <c r="E67" s="420">
        <v>13</v>
      </c>
      <c r="F67" s="420">
        <v>6.5</v>
      </c>
      <c r="G67" s="420">
        <v>13</v>
      </c>
      <c r="H67" s="422">
        <v>0</v>
      </c>
      <c r="I67" s="422">
        <v>0</v>
      </c>
      <c r="J67" s="422">
        <v>0</v>
      </c>
      <c r="K67" s="422">
        <v>18.181818181818183</v>
      </c>
      <c r="L67" s="422">
        <v>-4.4117647058823506</v>
      </c>
      <c r="M67" s="422">
        <v>-8.4507042253521085</v>
      </c>
      <c r="N67" s="422">
        <v>30</v>
      </c>
      <c r="O67" s="422">
        <v>-4.8780487804878012</v>
      </c>
    </row>
    <row r="68" spans="2:15" x14ac:dyDescent="0.5">
      <c r="B68" s="59" t="s">
        <v>27</v>
      </c>
      <c r="C68" s="25" t="s">
        <v>3</v>
      </c>
      <c r="D68" s="27">
        <v>4.2819999999999991</v>
      </c>
      <c r="E68" s="25">
        <v>5.85</v>
      </c>
      <c r="F68" s="25">
        <v>4.1719999999999997</v>
      </c>
      <c r="G68" s="79">
        <v>6.0280000000000005</v>
      </c>
      <c r="H68" s="77">
        <v>2.6366251198465829</v>
      </c>
      <c r="I68" s="26">
        <v>-2.9528865295288789</v>
      </c>
      <c r="J68" s="26">
        <v>-2.0742139647363971E-14</v>
      </c>
      <c r="K68" s="26">
        <v>-2.9528865295288789</v>
      </c>
      <c r="L68" s="26">
        <v>-6.3702623906705709</v>
      </c>
      <c r="M68" s="26">
        <v>-10.459183673469379</v>
      </c>
      <c r="N68" s="26">
        <v>-8.1115879828326403</v>
      </c>
      <c r="O68" s="31">
        <v>-3.3057851239669596</v>
      </c>
    </row>
    <row r="69" spans="2:15" x14ac:dyDescent="0.5">
      <c r="B69" s="59" t="s">
        <v>28</v>
      </c>
      <c r="C69" s="25" t="s">
        <v>3</v>
      </c>
      <c r="D69" s="27">
        <v>6.5</v>
      </c>
      <c r="E69" s="25">
        <v>8.5</v>
      </c>
      <c r="F69" s="25">
        <v>7</v>
      </c>
      <c r="G69" s="79">
        <v>9.6666666666666661</v>
      </c>
      <c r="H69" s="77">
        <v>-7.1428571428571423</v>
      </c>
      <c r="I69" s="26">
        <v>-12.068965517241374</v>
      </c>
      <c r="J69" s="26">
        <v>-7.1428571428571423</v>
      </c>
      <c r="K69" s="26">
        <v>-15</v>
      </c>
      <c r="L69" s="26">
        <v>-7.1428571428571423</v>
      </c>
      <c r="M69" s="26">
        <v>-15</v>
      </c>
      <c r="N69" s="26">
        <v>-7.1428571428571423</v>
      </c>
      <c r="O69" s="31">
        <v>-1.9230769230769162</v>
      </c>
    </row>
    <row r="70" spans="2:15" x14ac:dyDescent="0.5">
      <c r="B70" s="59" t="s">
        <v>29</v>
      </c>
      <c r="C70" s="25" t="s">
        <v>3</v>
      </c>
      <c r="D70" s="27">
        <v>6.6440000000000001</v>
      </c>
      <c r="E70" s="25">
        <v>8.3219999999999992</v>
      </c>
      <c r="F70" s="25">
        <v>6.6440000000000001</v>
      </c>
      <c r="G70" s="79">
        <v>8.6</v>
      </c>
      <c r="H70" s="77">
        <v>0</v>
      </c>
      <c r="I70" s="26">
        <v>-3.232558139534889</v>
      </c>
      <c r="J70" s="26">
        <v>-15.898734177215193</v>
      </c>
      <c r="K70" s="26">
        <v>-14.206185567010312</v>
      </c>
      <c r="L70" s="26">
        <v>-23.338461538461534</v>
      </c>
      <c r="M70" s="26">
        <v>-19.464516129032269</v>
      </c>
      <c r="N70" s="26">
        <v>-37.468235294117648</v>
      </c>
      <c r="O70" s="31">
        <v>-30.650000000000006</v>
      </c>
    </row>
    <row r="71" spans="2:15" x14ac:dyDescent="0.5">
      <c r="B71" s="59" t="s">
        <v>30</v>
      </c>
      <c r="C71" s="25" t="s">
        <v>3</v>
      </c>
      <c r="D71" s="27">
        <v>6.2279999999999998</v>
      </c>
      <c r="E71" s="25">
        <v>11.571999999999999</v>
      </c>
      <c r="F71" s="25">
        <v>6.2279999999999998</v>
      </c>
      <c r="G71" s="79">
        <v>11.772</v>
      </c>
      <c r="H71" s="77">
        <v>0</v>
      </c>
      <c r="I71" s="26">
        <v>-1.6989466530751025</v>
      </c>
      <c r="J71" s="26">
        <v>0</v>
      </c>
      <c r="K71" s="26">
        <v>-1.6989466530751025</v>
      </c>
      <c r="L71" s="26">
        <v>0.61389337641356001</v>
      </c>
      <c r="M71" s="26">
        <v>0.83067092651756547</v>
      </c>
      <c r="N71" s="26">
        <v>3.1980115990057927</v>
      </c>
      <c r="O71" s="31">
        <v>-7.1640593662254366</v>
      </c>
    </row>
    <row r="72" spans="2:15" x14ac:dyDescent="0.5">
      <c r="B72" s="59" t="s">
        <v>18</v>
      </c>
      <c r="C72" s="25" t="s">
        <v>3</v>
      </c>
      <c r="D72" s="27">
        <v>7.5</v>
      </c>
      <c r="E72" s="25">
        <v>7.8659999999999997</v>
      </c>
      <c r="F72" s="25">
        <v>7.5</v>
      </c>
      <c r="G72" s="79">
        <v>7.9159999999999995</v>
      </c>
      <c r="H72" s="77">
        <v>0</v>
      </c>
      <c r="I72" s="26">
        <v>-0.63163213744315094</v>
      </c>
      <c r="J72" s="26">
        <v>0</v>
      </c>
      <c r="K72" s="26">
        <v>-1.8712574850299444</v>
      </c>
      <c r="L72" s="26">
        <v>2.2634305972184277</v>
      </c>
      <c r="M72" s="26">
        <v>0.20382165605095562</v>
      </c>
      <c r="N72" s="26">
        <v>2.8453890983887495</v>
      </c>
      <c r="O72" s="31">
        <v>0.68479999999999563</v>
      </c>
    </row>
    <row r="73" spans="2:15" x14ac:dyDescent="0.5">
      <c r="B73" s="59" t="s">
        <v>32</v>
      </c>
      <c r="C73" s="25" t="s">
        <v>3</v>
      </c>
      <c r="D73" s="27">
        <v>7.6</v>
      </c>
      <c r="E73" s="25">
        <v>10.1</v>
      </c>
      <c r="F73" s="25">
        <v>6.9</v>
      </c>
      <c r="G73" s="79">
        <v>11.3</v>
      </c>
      <c r="H73" s="77">
        <v>10.144927536231874</v>
      </c>
      <c r="I73" s="26">
        <v>-10.61946902654868</v>
      </c>
      <c r="J73" s="26">
        <v>10.144927536231874</v>
      </c>
      <c r="K73" s="26">
        <v>4.1237113402061896</v>
      </c>
      <c r="L73" s="26">
        <v>6.0465116279069679</v>
      </c>
      <c r="M73" s="26">
        <v>-8.8721804511278268</v>
      </c>
      <c r="N73" s="26">
        <v>3.0508474576271141</v>
      </c>
      <c r="O73" s="31">
        <v>-3.8095238095238129</v>
      </c>
    </row>
    <row r="74" spans="2:15" x14ac:dyDescent="0.5">
      <c r="B74" s="59" t="s">
        <v>358</v>
      </c>
      <c r="C74" s="25" t="s">
        <v>3</v>
      </c>
      <c r="D74" s="27">
        <v>8</v>
      </c>
      <c r="E74" s="25">
        <v>11.333333333333334</v>
      </c>
      <c r="F74" s="25">
        <v>8.75</v>
      </c>
      <c r="G74" s="79">
        <v>11.75</v>
      </c>
      <c r="H74" s="77">
        <v>-8.5714285714285712</v>
      </c>
      <c r="I74" s="26">
        <v>-3.5460992907801367</v>
      </c>
      <c r="J74" s="26">
        <v>-3.0303030303030303</v>
      </c>
      <c r="K74" s="26">
        <v>-3.5460992907801367</v>
      </c>
      <c r="L74" s="26">
        <v>-5.8823529411764701</v>
      </c>
      <c r="M74" s="26">
        <v>-3.5460992907801367</v>
      </c>
      <c r="N74" s="26">
        <v>-3.0303030303030303</v>
      </c>
      <c r="O74" s="31">
        <v>0.74074074074074603</v>
      </c>
    </row>
    <row r="75" spans="2:15" x14ac:dyDescent="0.5">
      <c r="B75" s="59" t="s">
        <v>344</v>
      </c>
      <c r="C75" s="25" t="s">
        <v>3</v>
      </c>
      <c r="D75" s="27">
        <v>6.2</v>
      </c>
      <c r="E75" s="25">
        <v>9</v>
      </c>
      <c r="F75" s="25">
        <v>6.4</v>
      </c>
      <c r="G75" s="79">
        <v>9.1999999999999993</v>
      </c>
      <c r="H75" s="77">
        <v>-3.1250000000000027</v>
      </c>
      <c r="I75" s="26">
        <v>-2.1739130434782532</v>
      </c>
      <c r="J75" s="26">
        <v>-11.428571428571425</v>
      </c>
      <c r="K75" s="26">
        <v>-4.2553191489361737</v>
      </c>
      <c r="L75" s="26">
        <v>-17.333333333333332</v>
      </c>
      <c r="M75" s="26">
        <v>-8.4745762711864465</v>
      </c>
      <c r="N75" s="26">
        <v>-17.333333333333332</v>
      </c>
      <c r="O75" s="31">
        <v>-7.6923076923076925</v>
      </c>
    </row>
    <row r="76" spans="2:15" x14ac:dyDescent="0.5">
      <c r="B76" s="59" t="s">
        <v>40</v>
      </c>
      <c r="C76" s="25" t="s">
        <v>3</v>
      </c>
      <c r="D76" s="27">
        <v>5.8</v>
      </c>
      <c r="E76" s="25">
        <v>6.75</v>
      </c>
      <c r="F76" s="25">
        <v>5.8</v>
      </c>
      <c r="G76" s="79">
        <v>7.75</v>
      </c>
      <c r="H76" s="77">
        <v>0</v>
      </c>
      <c r="I76" s="26">
        <v>-12.903225806451612</v>
      </c>
      <c r="J76" s="26">
        <v>-25.161290322580648</v>
      </c>
      <c r="K76" s="26">
        <v>-28.947368421052634</v>
      </c>
      <c r="L76" s="26">
        <v>-25.161290322580648</v>
      </c>
      <c r="M76" s="26">
        <v>-28.947368421052634</v>
      </c>
      <c r="N76" s="26">
        <v>-29.696969696969699</v>
      </c>
      <c r="O76" s="31">
        <v>-35.714285714285715</v>
      </c>
    </row>
    <row r="77" spans="2:15" x14ac:dyDescent="0.5">
      <c r="B77" s="59" t="s">
        <v>34</v>
      </c>
      <c r="C77" s="25" t="s">
        <v>3</v>
      </c>
      <c r="D77" s="27">
        <v>10.286</v>
      </c>
      <c r="E77" s="25">
        <v>17.172000000000001</v>
      </c>
      <c r="F77" s="25">
        <v>10.286</v>
      </c>
      <c r="G77" s="79">
        <v>17.172000000000001</v>
      </c>
      <c r="H77" s="77">
        <v>0</v>
      </c>
      <c r="I77" s="26">
        <v>0</v>
      </c>
      <c r="J77" s="26">
        <v>-17.021619877379809</v>
      </c>
      <c r="K77" s="26">
        <v>8.835086829762961</v>
      </c>
      <c r="L77" s="26">
        <v>-35.416492256174138</v>
      </c>
      <c r="M77" s="26">
        <v>-18.480892475670547</v>
      </c>
      <c r="N77" s="26">
        <v>-27.256011315417261</v>
      </c>
      <c r="O77" s="31">
        <v>-12.931930536189629</v>
      </c>
    </row>
  </sheetData>
  <phoneticPr fontId="19" type="noConversion"/>
  <conditionalFormatting sqref="H9:I9">
    <cfRule type="cellIs" dxfId="285" priority="1213" operator="lessThan">
      <formula>0</formula>
    </cfRule>
    <cfRule type="cellIs" dxfId="284" priority="1214" operator="greaterThan">
      <formula>0</formula>
    </cfRule>
  </conditionalFormatting>
  <conditionalFormatting sqref="H10:O66 H68:O77 J67:O67">
    <cfRule type="cellIs" dxfId="283" priority="4" stopIfTrue="1" operator="equal">
      <formula>"-"</formula>
    </cfRule>
    <cfRule type="cellIs" dxfId="282" priority="5" operator="greaterThan">
      <formula>0</formula>
    </cfRule>
    <cfRule type="cellIs" dxfId="281" priority="6" operator="lessThan">
      <formula>0</formula>
    </cfRule>
  </conditionalFormatting>
  <conditionalFormatting sqref="H67:I67">
    <cfRule type="cellIs" dxfId="280" priority="1" stopIfTrue="1" operator="equal">
      <formula>"-"</formula>
    </cfRule>
    <cfRule type="cellIs" dxfId="279" priority="2" operator="greaterThan">
      <formula>0</formula>
    </cfRule>
    <cfRule type="cellIs" dxfId="278" priority="3" operator="lessThan">
      <formula>0</formula>
    </cfRule>
  </conditionalFormatting>
  <pageMargins left="0.79" right="0.79" top="0.98" bottom="0.98" header="0.51" footer="0.51"/>
  <pageSetup paperSize="9" scale="56" orientation="portrait" r:id="rId1"/>
  <headerFooter alignWithMargins="0">
    <oddHeader>&amp;A</oddHeader>
    <oddFooter>Strona &amp;P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3">
    <tabColor theme="9" tint="0.59999389629810485"/>
    <pageSetUpPr fitToPage="1"/>
  </sheetPr>
  <dimension ref="A1:N37"/>
  <sheetViews>
    <sheetView showGridLines="0" showZeros="0" zoomScaleNormal="100" workbookViewId="0">
      <pane xSplit="1" ySplit="7" topLeftCell="B8" activePane="bottomRight" state="frozen"/>
      <selection pane="topRight" activeCell="B1" sqref="B1"/>
      <selection pane="bottomLeft" activeCell="A8" sqref="A8"/>
      <selection pane="bottomRight" activeCell="N38" sqref="N38:N41"/>
    </sheetView>
  </sheetViews>
  <sheetFormatPr defaultColWidth="9.1796875" defaultRowHeight="18.5" x14ac:dyDescent="0.45"/>
  <cols>
    <col min="1" max="1" width="10.7265625" style="13" customWidth="1"/>
    <col min="2" max="2" width="20.7265625" style="13" customWidth="1"/>
    <col min="3" max="3" width="15.7265625" style="13" customWidth="1"/>
    <col min="4" max="14" width="10.7265625" style="13" customWidth="1"/>
    <col min="15" max="16384" width="9.1796875" style="13"/>
  </cols>
  <sheetData>
    <row r="1" spans="1:14" s="33" customFormat="1" ht="25" customHeight="1" x14ac:dyDescent="0.35">
      <c r="B1" s="57"/>
      <c r="E1" s="34"/>
      <c r="J1" s="35"/>
      <c r="N1" s="35"/>
    </row>
    <row r="2" spans="1:14" customFormat="1" ht="25" customHeight="1" x14ac:dyDescent="0.25">
      <c r="A2" s="37"/>
      <c r="B2" s="38" t="s">
        <v>341</v>
      </c>
      <c r="C2" s="39"/>
      <c r="D2" s="39"/>
      <c r="E2" s="39"/>
      <c r="F2" s="39"/>
      <c r="G2" s="39"/>
      <c r="H2" s="39"/>
      <c r="I2" s="39"/>
      <c r="J2" s="40"/>
      <c r="K2" s="39"/>
      <c r="L2" s="39"/>
      <c r="M2" s="39"/>
      <c r="N2" s="40"/>
    </row>
    <row r="3" spans="1:14" customFormat="1" ht="25" customHeight="1" thickBot="1" x14ac:dyDescent="0.3">
      <c r="B3" s="49"/>
      <c r="C3" s="49"/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</row>
    <row r="4" spans="1:14" customFormat="1" ht="25" customHeight="1" thickTop="1" x14ac:dyDescent="0.3">
      <c r="B4" s="556"/>
      <c r="C4" s="51"/>
      <c r="D4" s="52"/>
      <c r="E4" s="52"/>
      <c r="F4" s="53"/>
      <c r="G4" s="54"/>
      <c r="H4" s="54"/>
      <c r="I4" s="54"/>
      <c r="J4" s="54"/>
      <c r="K4" s="54"/>
      <c r="L4" s="54"/>
      <c r="M4" s="54"/>
      <c r="N4" s="55" t="str">
        <f>POMOC!B5</f>
        <v>Notowania 17 - 23.08.2026 / Tydzień 33</v>
      </c>
    </row>
    <row r="5" spans="1:14" s="1" customFormat="1" ht="20.149999999999999" customHeight="1" x14ac:dyDescent="0.35">
      <c r="B5" s="555" t="s">
        <v>272</v>
      </c>
      <c r="C5" s="87"/>
      <c r="D5" s="89"/>
      <c r="E5" s="90" t="s">
        <v>195</v>
      </c>
      <c r="F5" s="86"/>
      <c r="G5" s="90" t="s">
        <v>260</v>
      </c>
      <c r="H5" s="86"/>
      <c r="I5" s="90" t="s">
        <v>477</v>
      </c>
      <c r="J5" s="86"/>
      <c r="K5" s="90" t="s">
        <v>367</v>
      </c>
      <c r="L5" s="86"/>
      <c r="M5" s="90" t="s">
        <v>198</v>
      </c>
      <c r="N5" s="86"/>
    </row>
    <row r="6" spans="1:14" s="1" customFormat="1" ht="20.149999999999999" customHeight="1" x14ac:dyDescent="0.35">
      <c r="B6" s="92" t="s">
        <v>36</v>
      </c>
      <c r="C6" s="93"/>
      <c r="D6" s="92"/>
      <c r="E6" s="85">
        <v>46254</v>
      </c>
      <c r="F6" s="94"/>
      <c r="G6" s="85">
        <v>46252</v>
      </c>
      <c r="H6" s="94"/>
      <c r="I6" s="85">
        <v>46252</v>
      </c>
      <c r="J6" s="94"/>
      <c r="K6" s="85">
        <v>46254</v>
      </c>
      <c r="L6" s="94"/>
      <c r="M6" s="85">
        <v>46254</v>
      </c>
      <c r="N6" s="94"/>
    </row>
    <row r="7" spans="1:14" ht="20.149999999999999" customHeight="1" thickBot="1" x14ac:dyDescent="0.5">
      <c r="B7" s="220" t="s">
        <v>570</v>
      </c>
      <c r="C7" s="221"/>
      <c r="D7" s="222"/>
      <c r="E7" s="223" t="s">
        <v>1</v>
      </c>
      <c r="F7" s="224" t="s">
        <v>2</v>
      </c>
      <c r="G7" s="223" t="s">
        <v>1</v>
      </c>
      <c r="H7" s="224" t="s">
        <v>2</v>
      </c>
      <c r="I7" s="223" t="s">
        <v>1</v>
      </c>
      <c r="J7" s="224" t="s">
        <v>2</v>
      </c>
      <c r="K7" s="223" t="s">
        <v>1</v>
      </c>
      <c r="L7" s="224" t="s">
        <v>2</v>
      </c>
      <c r="M7" s="223" t="s">
        <v>1</v>
      </c>
      <c r="N7" s="224" t="s">
        <v>2</v>
      </c>
    </row>
    <row r="8" spans="1:14" ht="20.149999999999999" customHeight="1" x14ac:dyDescent="0.45">
      <c r="B8" s="173" t="s">
        <v>37</v>
      </c>
      <c r="C8" s="95"/>
      <c r="D8" s="88"/>
      <c r="E8" s="96"/>
      <c r="F8" s="96"/>
      <c r="G8" s="96"/>
      <c r="H8" s="96"/>
      <c r="I8" s="96"/>
      <c r="J8" s="96"/>
      <c r="K8" s="96"/>
      <c r="L8" s="96"/>
      <c r="M8" s="96"/>
      <c r="N8" s="96"/>
    </row>
    <row r="9" spans="1:14" ht="20.149999999999999" customHeight="1" x14ac:dyDescent="0.45">
      <c r="B9" s="413" t="s">
        <v>103</v>
      </c>
      <c r="C9" s="326"/>
      <c r="D9" s="327"/>
      <c r="E9" s="328">
        <v>0.8</v>
      </c>
      <c r="F9" s="329">
        <v>1.2</v>
      </c>
      <c r="G9" s="329">
        <v>1.25</v>
      </c>
      <c r="H9" s="329">
        <v>1.1299999999999999</v>
      </c>
      <c r="I9" s="329"/>
      <c r="J9" s="329"/>
      <c r="K9" s="329">
        <v>1</v>
      </c>
      <c r="L9" s="329">
        <v>1.6</v>
      </c>
      <c r="M9" s="329"/>
      <c r="N9" s="545"/>
    </row>
    <row r="10" spans="1:14" ht="20.149999999999999" customHeight="1" x14ac:dyDescent="0.45">
      <c r="B10" s="520" t="s">
        <v>5</v>
      </c>
      <c r="C10" s="521"/>
      <c r="D10" s="327" t="s">
        <v>3</v>
      </c>
      <c r="E10" s="328">
        <v>1.2</v>
      </c>
      <c r="F10" s="329">
        <v>1.75</v>
      </c>
      <c r="G10" s="329">
        <v>1</v>
      </c>
      <c r="H10" s="329">
        <v>1</v>
      </c>
      <c r="I10" s="329">
        <v>1.33</v>
      </c>
      <c r="J10" s="329">
        <v>1.67</v>
      </c>
      <c r="K10" s="329">
        <v>1.2</v>
      </c>
      <c r="L10" s="329">
        <v>2</v>
      </c>
      <c r="M10" s="329"/>
      <c r="N10" s="545"/>
    </row>
    <row r="11" spans="1:14" ht="20.149999999999999" customHeight="1" x14ac:dyDescent="0.45">
      <c r="B11" s="408" t="s">
        <v>383</v>
      </c>
      <c r="C11" s="415"/>
      <c r="D11" s="409" t="s">
        <v>3</v>
      </c>
      <c r="E11" s="416">
        <v>3.5</v>
      </c>
      <c r="F11" s="411">
        <v>5</v>
      </c>
      <c r="G11" s="411"/>
      <c r="H11" s="411"/>
      <c r="I11" s="411">
        <v>5</v>
      </c>
      <c r="J11" s="411">
        <v>5.5</v>
      </c>
      <c r="K11" s="411"/>
      <c r="L11" s="411"/>
      <c r="M11" s="411">
        <v>4</v>
      </c>
      <c r="N11" s="546">
        <v>4</v>
      </c>
    </row>
    <row r="12" spans="1:14" ht="20.149999999999999" customHeight="1" x14ac:dyDescent="0.45">
      <c r="B12" s="408" t="s">
        <v>20</v>
      </c>
      <c r="C12" s="415"/>
      <c r="D12" s="410" t="s">
        <v>16</v>
      </c>
      <c r="E12" s="417">
        <v>6</v>
      </c>
      <c r="F12" s="412">
        <v>9</v>
      </c>
      <c r="G12" s="412">
        <v>1.33</v>
      </c>
      <c r="H12" s="412">
        <v>1.17</v>
      </c>
      <c r="I12" s="412">
        <v>5.8</v>
      </c>
      <c r="J12" s="412">
        <v>6.9</v>
      </c>
      <c r="K12" s="412">
        <v>3</v>
      </c>
      <c r="L12" s="412">
        <v>9</v>
      </c>
      <c r="M12" s="412">
        <v>7</v>
      </c>
      <c r="N12" s="547">
        <v>8</v>
      </c>
    </row>
    <row r="13" spans="1:14" ht="20.149999999999999" customHeight="1" x14ac:dyDescent="0.45">
      <c r="B13" s="408" t="s">
        <v>6</v>
      </c>
      <c r="C13" s="415"/>
      <c r="D13" s="409" t="s">
        <v>3</v>
      </c>
      <c r="E13" s="416">
        <v>0.7</v>
      </c>
      <c r="F13" s="411">
        <v>0.9</v>
      </c>
      <c r="G13" s="411">
        <v>1</v>
      </c>
      <c r="H13" s="411">
        <v>1</v>
      </c>
      <c r="I13" s="411"/>
      <c r="J13" s="411"/>
      <c r="K13" s="411">
        <v>1</v>
      </c>
      <c r="L13" s="411">
        <v>1.4</v>
      </c>
      <c r="M13" s="411"/>
      <c r="N13" s="546"/>
    </row>
    <row r="14" spans="1:14" ht="20.149999999999999" customHeight="1" x14ac:dyDescent="0.45">
      <c r="B14" s="408" t="s">
        <v>349</v>
      </c>
      <c r="C14" s="415"/>
      <c r="D14" s="409" t="s">
        <v>16</v>
      </c>
      <c r="E14" s="416">
        <v>2.5</v>
      </c>
      <c r="F14" s="411">
        <v>3</v>
      </c>
      <c r="G14" s="411">
        <v>1.5</v>
      </c>
      <c r="H14" s="411">
        <v>1.25</v>
      </c>
      <c r="I14" s="411">
        <v>4</v>
      </c>
      <c r="J14" s="411">
        <v>4</v>
      </c>
      <c r="K14" s="411">
        <v>2</v>
      </c>
      <c r="L14" s="411">
        <v>4</v>
      </c>
      <c r="M14" s="411">
        <v>3.33</v>
      </c>
      <c r="N14" s="546">
        <v>4</v>
      </c>
    </row>
    <row r="15" spans="1:14" ht="20.149999999999999" customHeight="1" x14ac:dyDescent="0.45">
      <c r="B15" s="408" t="s">
        <v>7</v>
      </c>
      <c r="C15" s="415"/>
      <c r="D15" s="409" t="s">
        <v>3</v>
      </c>
      <c r="E15" s="416">
        <v>1</v>
      </c>
      <c r="F15" s="411">
        <v>1.5</v>
      </c>
      <c r="G15" s="411">
        <v>1.2</v>
      </c>
      <c r="H15" s="411">
        <v>1.5</v>
      </c>
      <c r="I15" s="411"/>
      <c r="J15" s="411"/>
      <c r="K15" s="411">
        <v>1.3</v>
      </c>
      <c r="L15" s="411">
        <v>2.2000000000000002</v>
      </c>
      <c r="M15" s="411"/>
      <c r="N15" s="546"/>
    </row>
    <row r="16" spans="1:14" ht="20.149999999999999" customHeight="1" x14ac:dyDescent="0.45">
      <c r="B16" s="408" t="s">
        <v>9</v>
      </c>
      <c r="C16" s="415"/>
      <c r="D16" s="409" t="s">
        <v>3</v>
      </c>
      <c r="E16" s="416">
        <v>1</v>
      </c>
      <c r="F16" s="411">
        <v>6</v>
      </c>
      <c r="G16" s="411">
        <v>2</v>
      </c>
      <c r="H16" s="411">
        <v>3</v>
      </c>
      <c r="I16" s="411"/>
      <c r="J16" s="411"/>
      <c r="K16" s="411"/>
      <c r="L16" s="411"/>
      <c r="M16" s="411">
        <v>4.8</v>
      </c>
      <c r="N16" s="546">
        <v>5.2</v>
      </c>
    </row>
    <row r="17" spans="2:14" ht="20.149999999999999" customHeight="1" x14ac:dyDescent="0.45">
      <c r="B17" s="408" t="s">
        <v>196</v>
      </c>
      <c r="C17" s="415"/>
      <c r="D17" s="409" t="s">
        <v>3</v>
      </c>
      <c r="E17" s="416">
        <v>3.5</v>
      </c>
      <c r="F17" s="411">
        <v>5</v>
      </c>
      <c r="G17" s="411">
        <v>2</v>
      </c>
      <c r="H17" s="411">
        <v>2.5</v>
      </c>
      <c r="I17" s="411">
        <v>3</v>
      </c>
      <c r="J17" s="411">
        <v>4</v>
      </c>
      <c r="K17" s="411">
        <v>3</v>
      </c>
      <c r="L17" s="411">
        <v>6</v>
      </c>
      <c r="M17" s="411">
        <v>4</v>
      </c>
      <c r="N17" s="546">
        <v>5</v>
      </c>
    </row>
    <row r="18" spans="2:14" ht="20.149999999999999" customHeight="1" x14ac:dyDescent="0.45">
      <c r="B18" s="520" t="s">
        <v>21</v>
      </c>
      <c r="C18" s="521"/>
      <c r="D18" s="409" t="s">
        <v>3</v>
      </c>
      <c r="E18" s="416">
        <v>6</v>
      </c>
      <c r="F18" s="411">
        <v>9</v>
      </c>
      <c r="G18" s="411">
        <v>6</v>
      </c>
      <c r="H18" s="411">
        <v>7</v>
      </c>
      <c r="I18" s="411">
        <v>4</v>
      </c>
      <c r="J18" s="411">
        <v>6.5</v>
      </c>
      <c r="K18" s="411">
        <v>6</v>
      </c>
      <c r="L18" s="411">
        <v>9</v>
      </c>
      <c r="M18" s="411">
        <v>8.6</v>
      </c>
      <c r="N18" s="546">
        <v>9</v>
      </c>
    </row>
    <row r="19" spans="2:14" ht="20.149999999999999" customHeight="1" x14ac:dyDescent="0.45">
      <c r="B19" s="408" t="s">
        <v>22</v>
      </c>
      <c r="C19" s="415"/>
      <c r="D19" s="409" t="s">
        <v>3</v>
      </c>
      <c r="E19" s="416">
        <v>4</v>
      </c>
      <c r="F19" s="411">
        <v>5</v>
      </c>
      <c r="G19" s="411">
        <v>4</v>
      </c>
      <c r="H19" s="411">
        <v>5</v>
      </c>
      <c r="I19" s="411"/>
      <c r="J19" s="411"/>
      <c r="K19" s="411">
        <v>5</v>
      </c>
      <c r="L19" s="411">
        <v>7</v>
      </c>
      <c r="M19" s="411">
        <v>5.6</v>
      </c>
      <c r="N19" s="546">
        <v>6.4</v>
      </c>
    </row>
    <row r="20" spans="2:14" ht="20.149999999999999" customHeight="1" x14ac:dyDescent="0.45">
      <c r="B20" s="408" t="s">
        <v>23</v>
      </c>
      <c r="C20" s="415"/>
      <c r="D20" s="409" t="s">
        <v>3</v>
      </c>
      <c r="E20" s="416">
        <v>6</v>
      </c>
      <c r="F20" s="411">
        <v>9</v>
      </c>
      <c r="G20" s="411">
        <v>7</v>
      </c>
      <c r="H20" s="411">
        <v>7</v>
      </c>
      <c r="I20" s="411"/>
      <c r="J20" s="411"/>
      <c r="K20" s="411">
        <v>9</v>
      </c>
      <c r="L20" s="411">
        <v>12</v>
      </c>
      <c r="M20" s="411">
        <v>8.6</v>
      </c>
      <c r="N20" s="546">
        <v>9</v>
      </c>
    </row>
    <row r="21" spans="2:14" ht="20.149999999999999" customHeight="1" x14ac:dyDescent="0.45">
      <c r="B21" s="408" t="s">
        <v>12</v>
      </c>
      <c r="C21" s="415"/>
      <c r="D21" s="409" t="s">
        <v>3</v>
      </c>
      <c r="E21" s="416">
        <v>3.5</v>
      </c>
      <c r="F21" s="411">
        <v>5</v>
      </c>
      <c r="G21" s="411">
        <v>3</v>
      </c>
      <c r="H21" s="411">
        <v>3</v>
      </c>
      <c r="I21" s="411"/>
      <c r="J21" s="411"/>
      <c r="K21" s="411">
        <v>4</v>
      </c>
      <c r="L21" s="411">
        <v>6</v>
      </c>
      <c r="M21" s="411">
        <v>5</v>
      </c>
      <c r="N21" s="546">
        <v>6</v>
      </c>
    </row>
    <row r="22" spans="2:14" ht="20.149999999999999" customHeight="1" x14ac:dyDescent="0.45">
      <c r="B22" s="408" t="s">
        <v>13</v>
      </c>
      <c r="C22" s="415"/>
      <c r="D22" s="409" t="s">
        <v>3</v>
      </c>
      <c r="E22" s="416">
        <v>4.5</v>
      </c>
      <c r="F22" s="411">
        <v>6</v>
      </c>
      <c r="G22" s="411">
        <v>5</v>
      </c>
      <c r="H22" s="411">
        <v>5.83</v>
      </c>
      <c r="I22" s="411">
        <v>5</v>
      </c>
      <c r="J22" s="411">
        <v>5.8</v>
      </c>
      <c r="K22" s="411">
        <v>4</v>
      </c>
      <c r="L22" s="411">
        <v>5.83</v>
      </c>
      <c r="M22" s="411">
        <v>4.5</v>
      </c>
      <c r="N22" s="546">
        <v>5.67</v>
      </c>
    </row>
    <row r="23" spans="2:14" ht="20.149999999999999" customHeight="1" x14ac:dyDescent="0.45">
      <c r="B23" s="408" t="s">
        <v>460</v>
      </c>
      <c r="C23" s="415"/>
      <c r="D23" s="409" t="s">
        <v>3</v>
      </c>
      <c r="E23" s="416">
        <v>2.25</v>
      </c>
      <c r="F23" s="411">
        <v>4</v>
      </c>
      <c r="G23" s="411"/>
      <c r="H23" s="411"/>
      <c r="I23" s="411"/>
      <c r="J23" s="411"/>
      <c r="K23" s="411"/>
      <c r="L23" s="411"/>
      <c r="M23" s="411"/>
      <c r="N23" s="546"/>
    </row>
    <row r="24" spans="2:14" ht="20.149999999999999" customHeight="1" x14ac:dyDescent="0.45">
      <c r="B24" s="408" t="s">
        <v>106</v>
      </c>
      <c r="C24" s="415"/>
      <c r="D24" s="409" t="s">
        <v>3</v>
      </c>
      <c r="E24" s="416">
        <v>3.66</v>
      </c>
      <c r="F24" s="411">
        <v>6.65</v>
      </c>
      <c r="G24" s="411">
        <v>3.67</v>
      </c>
      <c r="H24" s="411">
        <v>4.33</v>
      </c>
      <c r="I24" s="411">
        <v>5</v>
      </c>
      <c r="J24" s="411">
        <v>5.15</v>
      </c>
      <c r="K24" s="411">
        <v>4.17</v>
      </c>
      <c r="L24" s="411">
        <v>5.83</v>
      </c>
      <c r="M24" s="411">
        <v>4.5</v>
      </c>
      <c r="N24" s="546">
        <v>5.67</v>
      </c>
    </row>
    <row r="25" spans="2:14" ht="20.149999999999999" customHeight="1" x14ac:dyDescent="0.45">
      <c r="B25" s="408" t="s">
        <v>24</v>
      </c>
      <c r="C25" s="415"/>
      <c r="D25" s="409" t="s">
        <v>16</v>
      </c>
      <c r="E25" s="416"/>
      <c r="F25" s="411"/>
      <c r="G25" s="411">
        <v>1</v>
      </c>
      <c r="H25" s="411">
        <v>2</v>
      </c>
      <c r="I25" s="411">
        <v>2.5</v>
      </c>
      <c r="J25" s="411">
        <v>3</v>
      </c>
      <c r="K25" s="411">
        <v>1.5</v>
      </c>
      <c r="L25" s="411">
        <v>2.5</v>
      </c>
      <c r="M25" s="411"/>
      <c r="N25" s="546"/>
    </row>
    <row r="26" spans="2:14" ht="20.149999999999999" customHeight="1" x14ac:dyDescent="0.45">
      <c r="B26" s="408" t="s">
        <v>371</v>
      </c>
      <c r="C26" s="415"/>
      <c r="D26" s="409" t="s">
        <v>16</v>
      </c>
      <c r="E26" s="416">
        <v>2.25</v>
      </c>
      <c r="F26" s="411">
        <v>3</v>
      </c>
      <c r="G26" s="411"/>
      <c r="H26" s="411"/>
      <c r="I26" s="411"/>
      <c r="J26" s="411"/>
      <c r="K26" s="411">
        <v>2</v>
      </c>
      <c r="L26" s="411">
        <v>3</v>
      </c>
      <c r="M26" s="411">
        <v>2.2999999999999998</v>
      </c>
      <c r="N26" s="546">
        <v>2.5</v>
      </c>
    </row>
    <row r="27" spans="2:14" ht="20.149999999999999" customHeight="1" x14ac:dyDescent="0.45">
      <c r="B27" s="408" t="s">
        <v>14</v>
      </c>
      <c r="C27" s="415"/>
      <c r="D27" s="409" t="s">
        <v>170</v>
      </c>
      <c r="E27" s="416">
        <v>2</v>
      </c>
      <c r="F27" s="411">
        <v>2.75</v>
      </c>
      <c r="G27" s="411">
        <v>1.5</v>
      </c>
      <c r="H27" s="411">
        <v>1.5</v>
      </c>
      <c r="I27" s="411">
        <v>2.2999999999999998</v>
      </c>
      <c r="J27" s="411">
        <v>2.4</v>
      </c>
      <c r="K27" s="411">
        <v>1.5</v>
      </c>
      <c r="L27" s="411">
        <v>2.5</v>
      </c>
      <c r="M27" s="411">
        <v>2</v>
      </c>
      <c r="N27" s="546">
        <v>2</v>
      </c>
    </row>
    <row r="28" spans="2:14" ht="20.149999999999999" customHeight="1" x14ac:dyDescent="0.45">
      <c r="B28" s="408" t="s">
        <v>15</v>
      </c>
      <c r="C28" s="415"/>
      <c r="D28" s="409" t="s">
        <v>16</v>
      </c>
      <c r="E28" s="416">
        <v>2.25</v>
      </c>
      <c r="F28" s="411">
        <v>4</v>
      </c>
      <c r="G28" s="411">
        <v>2.08</v>
      </c>
      <c r="H28" s="411">
        <v>2.08</v>
      </c>
      <c r="I28" s="411">
        <v>3.18</v>
      </c>
      <c r="J28" s="411">
        <v>3.34</v>
      </c>
      <c r="K28" s="411">
        <v>2.5</v>
      </c>
      <c r="L28" s="411">
        <v>3.5</v>
      </c>
      <c r="M28" s="411">
        <v>3</v>
      </c>
      <c r="N28" s="546">
        <v>3.33</v>
      </c>
    </row>
    <row r="29" spans="2:14" ht="20.149999999999999" customHeight="1" x14ac:dyDescent="0.45">
      <c r="B29" s="408" t="s">
        <v>38</v>
      </c>
      <c r="C29" s="415"/>
      <c r="D29" s="409" t="s">
        <v>3</v>
      </c>
      <c r="E29" s="416">
        <v>1.4</v>
      </c>
      <c r="F29" s="411">
        <v>1.6</v>
      </c>
      <c r="G29" s="411">
        <v>2</v>
      </c>
      <c r="H29" s="411">
        <v>3</v>
      </c>
      <c r="I29" s="411">
        <v>3</v>
      </c>
      <c r="J29" s="411">
        <v>4</v>
      </c>
      <c r="K29" s="411">
        <v>2</v>
      </c>
      <c r="L29" s="411">
        <v>4</v>
      </c>
      <c r="M29" s="411">
        <v>3.6</v>
      </c>
      <c r="N29" s="546">
        <v>4</v>
      </c>
    </row>
    <row r="30" spans="2:14" ht="20.149999999999999" customHeight="1" x14ac:dyDescent="0.45">
      <c r="B30" s="408" t="s">
        <v>17</v>
      </c>
      <c r="C30" s="415"/>
      <c r="D30" s="409" t="s">
        <v>3</v>
      </c>
      <c r="E30" s="416">
        <v>0.66</v>
      </c>
      <c r="F30" s="411">
        <v>1.1000000000000001</v>
      </c>
      <c r="G30" s="411"/>
      <c r="H30" s="411"/>
      <c r="I30" s="411">
        <v>1.34</v>
      </c>
      <c r="J30" s="411">
        <v>1.34</v>
      </c>
      <c r="K30" s="411">
        <v>0.53</v>
      </c>
      <c r="L30" s="411">
        <v>1.07</v>
      </c>
      <c r="M30" s="411"/>
      <c r="N30" s="546"/>
    </row>
    <row r="31" spans="2:14" ht="20.149999999999999" customHeight="1" x14ac:dyDescent="0.45">
      <c r="B31" s="408" t="s">
        <v>350</v>
      </c>
      <c r="C31" s="415"/>
      <c r="D31" s="409" t="s">
        <v>3</v>
      </c>
      <c r="E31" s="416"/>
      <c r="F31" s="411"/>
      <c r="G31" s="411">
        <v>0.53</v>
      </c>
      <c r="H31" s="411">
        <v>0.8</v>
      </c>
      <c r="I31" s="411">
        <v>1.67</v>
      </c>
      <c r="J31" s="411">
        <v>1.84</v>
      </c>
      <c r="K31" s="411"/>
      <c r="L31" s="411"/>
      <c r="M31" s="411">
        <v>2</v>
      </c>
      <c r="N31" s="546">
        <v>2.4</v>
      </c>
    </row>
    <row r="32" spans="2:14" ht="20.149999999999999" customHeight="1" x14ac:dyDescent="0.45">
      <c r="B32" s="408" t="s">
        <v>4</v>
      </c>
      <c r="C32" s="415"/>
      <c r="D32" s="409" t="s">
        <v>3</v>
      </c>
      <c r="E32" s="416">
        <v>13.5</v>
      </c>
      <c r="F32" s="411">
        <v>20</v>
      </c>
      <c r="G32" s="411"/>
      <c r="H32" s="411"/>
      <c r="I32" s="411">
        <v>20</v>
      </c>
      <c r="J32" s="411">
        <v>26</v>
      </c>
      <c r="K32" s="411"/>
      <c r="L32" s="411"/>
      <c r="M32" s="411">
        <v>30</v>
      </c>
      <c r="N32" s="546">
        <v>35</v>
      </c>
    </row>
    <row r="33" spans="2:14" ht="20.149999999999999" customHeight="1" x14ac:dyDescent="0.45">
      <c r="B33" s="408" t="s">
        <v>11</v>
      </c>
      <c r="C33" s="415"/>
      <c r="D33" s="409" t="s">
        <v>3</v>
      </c>
      <c r="E33" s="416">
        <v>9</v>
      </c>
      <c r="F33" s="411">
        <v>12</v>
      </c>
      <c r="G33" s="411">
        <v>10</v>
      </c>
      <c r="H33" s="411">
        <v>10</v>
      </c>
      <c r="I33" s="411">
        <v>7</v>
      </c>
      <c r="J33" s="411">
        <v>9</v>
      </c>
      <c r="K33" s="411">
        <v>6.67</v>
      </c>
      <c r="L33" s="411">
        <v>11.67</v>
      </c>
      <c r="M33" s="411">
        <v>11</v>
      </c>
      <c r="N33" s="546">
        <v>13</v>
      </c>
    </row>
    <row r="34" spans="2:14" ht="20.149999999999999" customHeight="1" x14ac:dyDescent="0.45">
      <c r="B34" s="408" t="s">
        <v>431</v>
      </c>
      <c r="C34" s="415"/>
      <c r="D34" s="409" t="s">
        <v>3</v>
      </c>
      <c r="E34" s="416"/>
      <c r="F34" s="411"/>
      <c r="G34" s="411"/>
      <c r="H34" s="411"/>
      <c r="I34" s="411"/>
      <c r="J34" s="411"/>
      <c r="K34" s="411"/>
      <c r="L34" s="411"/>
      <c r="M34" s="411">
        <v>5</v>
      </c>
      <c r="N34" s="546">
        <v>6</v>
      </c>
    </row>
    <row r="35" spans="2:14" x14ac:dyDescent="0.45">
      <c r="B35" s="408"/>
      <c r="C35" s="415"/>
      <c r="D35" s="409" t="s">
        <v>16</v>
      </c>
      <c r="E35" s="416">
        <v>2</v>
      </c>
      <c r="F35" s="411">
        <v>3</v>
      </c>
      <c r="G35" s="411"/>
      <c r="H35" s="411"/>
      <c r="I35" s="411"/>
      <c r="J35" s="411"/>
      <c r="K35" s="411"/>
      <c r="L35" s="411"/>
      <c r="M35" s="411"/>
      <c r="N35" s="546"/>
    </row>
    <row r="36" spans="2:14" x14ac:dyDescent="0.45">
      <c r="B36" s="408" t="s">
        <v>17</v>
      </c>
      <c r="C36" s="415"/>
      <c r="D36" s="409" t="s">
        <v>3</v>
      </c>
      <c r="E36" s="416">
        <v>0.66</v>
      </c>
      <c r="F36" s="411">
        <v>1.1000000000000001</v>
      </c>
      <c r="G36" s="411"/>
      <c r="H36" s="411"/>
      <c r="I36" s="411">
        <v>1.34</v>
      </c>
      <c r="J36" s="411">
        <v>1.34</v>
      </c>
      <c r="K36" s="411">
        <v>0.53</v>
      </c>
      <c r="L36" s="411">
        <v>1.07</v>
      </c>
      <c r="M36" s="411"/>
      <c r="N36" s="546"/>
    </row>
    <row r="37" spans="2:14" x14ac:dyDescent="0.45">
      <c r="B37" s="408" t="s">
        <v>350</v>
      </c>
      <c r="C37" s="415"/>
      <c r="D37" s="409" t="s">
        <v>3</v>
      </c>
      <c r="E37" s="416"/>
      <c r="F37" s="411"/>
      <c r="G37" s="411">
        <v>0.53</v>
      </c>
      <c r="H37" s="411">
        <v>0.67</v>
      </c>
      <c r="I37" s="411">
        <v>1.67</v>
      </c>
      <c r="J37" s="411">
        <v>2</v>
      </c>
      <c r="K37" s="411"/>
      <c r="L37" s="411"/>
      <c r="M37" s="411">
        <v>1.33</v>
      </c>
      <c r="N37" s="546">
        <v>1.6</v>
      </c>
    </row>
  </sheetData>
  <phoneticPr fontId="19" type="noConversion"/>
  <pageMargins left="0.79" right="0.79" top="0.98" bottom="0.98" header="0.51" footer="0.51"/>
  <pageSetup paperSize="9" scale="73" orientation="landscape" horizontalDpi="300" verticalDpi="300" r:id="rId1"/>
  <headerFooter alignWithMargins="0">
    <oddHeader>&amp;A</oddHeader>
    <oddFooter>Strona &amp;P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4">
    <tabColor theme="9" tint="0.59999389629810485"/>
    <pageSetUpPr fitToPage="1"/>
  </sheetPr>
  <dimension ref="A1:O76"/>
  <sheetViews>
    <sheetView showGridLines="0" showZeros="0" zoomScaleNormal="100" workbookViewId="0">
      <pane xSplit="1" ySplit="6" topLeftCell="B7" activePane="bottomRight" state="frozen"/>
      <selection pane="topRight" activeCell="B1" sqref="B1"/>
      <selection pane="bottomLeft" activeCell="A8" sqref="A8"/>
      <selection pane="bottomRight" activeCell="K16" sqref="K16"/>
    </sheetView>
  </sheetViews>
  <sheetFormatPr defaultColWidth="9.1796875" defaultRowHeight="15.5" x14ac:dyDescent="0.35"/>
  <cols>
    <col min="1" max="1" width="10.7265625" style="1" customWidth="1"/>
    <col min="2" max="2" width="20.7265625" style="8" customWidth="1"/>
    <col min="3" max="3" width="15.7265625" style="9" customWidth="1"/>
    <col min="4" max="4" width="19.7265625" style="8" bestFit="1" customWidth="1"/>
    <col min="5" max="14" width="10.7265625" style="8" customWidth="1"/>
    <col min="15" max="16384" width="9.1796875" style="1"/>
  </cols>
  <sheetData>
    <row r="1" spans="1:15" s="33" customFormat="1" ht="25" customHeight="1" x14ac:dyDescent="0.35">
      <c r="B1" s="57"/>
      <c r="G1" s="35"/>
      <c r="H1" s="36"/>
      <c r="K1" s="35"/>
      <c r="L1" s="36"/>
    </row>
    <row r="2" spans="1:15" customFormat="1" ht="25" customHeight="1" x14ac:dyDescent="0.25">
      <c r="A2" s="37"/>
      <c r="B2" s="38" t="s">
        <v>340</v>
      </c>
      <c r="C2" s="39"/>
      <c r="D2" s="39"/>
      <c r="E2" s="39"/>
      <c r="F2" s="39"/>
      <c r="G2" s="40"/>
      <c r="H2" s="40"/>
      <c r="I2" s="40"/>
      <c r="J2" s="39"/>
      <c r="K2" s="40"/>
      <c r="L2" s="40"/>
      <c r="M2" s="40"/>
      <c r="N2" s="39"/>
    </row>
    <row r="3" spans="1:15" customFormat="1" ht="24.75" customHeight="1" thickBot="1" x14ac:dyDescent="0.3">
      <c r="B3" s="49"/>
      <c r="C3" s="49"/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</row>
    <row r="4" spans="1:15" customFormat="1" ht="25" customHeight="1" thickTop="1" x14ac:dyDescent="0.3">
      <c r="B4" s="291"/>
      <c r="C4" s="51"/>
      <c r="D4" s="52"/>
      <c r="E4" s="54"/>
      <c r="F4" s="54"/>
      <c r="G4" s="54"/>
      <c r="H4" s="55"/>
      <c r="I4" s="33"/>
      <c r="J4" s="187"/>
      <c r="K4" s="54"/>
      <c r="L4" s="8"/>
      <c r="M4" s="33"/>
      <c r="N4" s="55" t="str">
        <f>POMOC!B5</f>
        <v>Notowania 17 - 23.08.2026 / Tydzień 33</v>
      </c>
    </row>
    <row r="5" spans="1:15" ht="20.149999999999999" customHeight="1" x14ac:dyDescent="0.35">
      <c r="B5" s="92" t="s">
        <v>35</v>
      </c>
      <c r="C5" s="93"/>
      <c r="D5" s="92"/>
      <c r="E5" s="414" t="s">
        <v>195</v>
      </c>
      <c r="F5" s="330"/>
      <c r="G5" s="414" t="s">
        <v>260</v>
      </c>
      <c r="H5" s="330"/>
      <c r="I5" s="414" t="s">
        <v>477</v>
      </c>
      <c r="J5" s="330"/>
      <c r="K5" s="414" t="s">
        <v>367</v>
      </c>
      <c r="L5" s="330"/>
      <c r="M5" s="414" t="s">
        <v>198</v>
      </c>
      <c r="N5" s="330"/>
    </row>
    <row r="6" spans="1:15" s="13" customFormat="1" ht="20.149999999999999" customHeight="1" thickBot="1" x14ac:dyDescent="0.5">
      <c r="B6" s="220" t="s">
        <v>36</v>
      </c>
      <c r="C6" s="221"/>
      <c r="D6" s="222"/>
      <c r="E6" s="553">
        <v>46254</v>
      </c>
      <c r="F6" s="554"/>
      <c r="G6" s="553">
        <v>46252</v>
      </c>
      <c r="H6" s="554"/>
      <c r="I6" s="553">
        <v>46252</v>
      </c>
      <c r="J6" s="554"/>
      <c r="K6" s="553">
        <v>46254</v>
      </c>
      <c r="L6" s="554"/>
      <c r="M6" s="553">
        <v>46254</v>
      </c>
      <c r="N6" s="554"/>
    </row>
    <row r="7" spans="1:15" s="13" customFormat="1" ht="20.149999999999999" customHeight="1" thickBot="1" x14ac:dyDescent="0.5">
      <c r="B7" s="220" t="s">
        <v>326</v>
      </c>
      <c r="C7" s="221"/>
      <c r="D7" s="222" t="s">
        <v>0</v>
      </c>
      <c r="E7" s="223" t="s">
        <v>1</v>
      </c>
      <c r="F7" s="224" t="s">
        <v>2</v>
      </c>
      <c r="G7" s="223" t="s">
        <v>1</v>
      </c>
      <c r="H7" s="224" t="s">
        <v>2</v>
      </c>
      <c r="I7" s="223" t="s">
        <v>1</v>
      </c>
      <c r="J7" s="224" t="s">
        <v>2</v>
      </c>
      <c r="K7" s="223" t="s">
        <v>1</v>
      </c>
      <c r="L7" s="224" t="s">
        <v>2</v>
      </c>
      <c r="M7" s="223" t="s">
        <v>1</v>
      </c>
      <c r="N7" s="224" t="s">
        <v>2</v>
      </c>
    </row>
    <row r="8" spans="1:15" s="13" customFormat="1" ht="20.149999999999999" customHeight="1" x14ac:dyDescent="0.45">
      <c r="B8" s="173" t="s">
        <v>37</v>
      </c>
      <c r="C8" s="95"/>
      <c r="D8" s="88"/>
      <c r="E8" s="96"/>
      <c r="F8" s="96"/>
      <c r="G8" s="96"/>
      <c r="H8" s="96"/>
      <c r="I8" s="96"/>
      <c r="J8" s="96"/>
      <c r="K8" s="96"/>
      <c r="L8" s="96"/>
      <c r="M8" s="96"/>
      <c r="N8" s="96"/>
    </row>
    <row r="9" spans="1:15" ht="20.149999999999999" customHeight="1" x14ac:dyDescent="0.35">
      <c r="B9" s="540" t="s">
        <v>285</v>
      </c>
      <c r="C9" s="541"/>
      <c r="D9" s="327"/>
      <c r="E9" s="70">
        <v>20</v>
      </c>
      <c r="F9" s="70">
        <v>30</v>
      </c>
      <c r="G9" s="70">
        <v>20</v>
      </c>
      <c r="H9" s="70">
        <v>24</v>
      </c>
      <c r="I9" s="70">
        <v>16</v>
      </c>
      <c r="J9" s="70">
        <v>18</v>
      </c>
      <c r="K9" s="70">
        <v>20</v>
      </c>
      <c r="L9" s="70">
        <v>23</v>
      </c>
      <c r="M9" s="70">
        <v>20</v>
      </c>
      <c r="N9" s="542">
        <v>25</v>
      </c>
    </row>
    <row r="10" spans="1:15" ht="20.149999999999999" customHeight="1" x14ac:dyDescent="0.35">
      <c r="B10" s="172" t="s">
        <v>28</v>
      </c>
      <c r="C10" s="174"/>
      <c r="D10" s="410"/>
      <c r="E10" s="27">
        <v>5</v>
      </c>
      <c r="F10" s="27">
        <v>8</v>
      </c>
      <c r="G10" s="27">
        <v>4</v>
      </c>
      <c r="H10" s="27">
        <v>6</v>
      </c>
      <c r="I10" s="27">
        <v>5.5</v>
      </c>
      <c r="J10" s="27">
        <v>6.6</v>
      </c>
      <c r="K10" s="27">
        <v>5</v>
      </c>
      <c r="L10" s="27">
        <v>8</v>
      </c>
      <c r="M10" s="27">
        <v>6</v>
      </c>
      <c r="N10" s="543">
        <v>10.8</v>
      </c>
    </row>
    <row r="11" spans="1:15" ht="20.149999999999999" customHeight="1" x14ac:dyDescent="0.35">
      <c r="B11" s="172" t="s">
        <v>359</v>
      </c>
      <c r="C11" s="174"/>
      <c r="D11" s="410"/>
      <c r="E11" s="27">
        <v>10</v>
      </c>
      <c r="F11" s="27">
        <v>19</v>
      </c>
      <c r="G11" s="27">
        <v>15</v>
      </c>
      <c r="H11" s="27">
        <v>15</v>
      </c>
      <c r="I11" s="27">
        <v>13</v>
      </c>
      <c r="J11" s="27">
        <v>17.5</v>
      </c>
      <c r="K11" s="27">
        <v>10</v>
      </c>
      <c r="L11" s="27">
        <v>18</v>
      </c>
      <c r="M11" s="27">
        <v>12</v>
      </c>
      <c r="N11" s="543">
        <v>17</v>
      </c>
    </row>
    <row r="12" spans="1:15" ht="20.149999999999999" customHeight="1" x14ac:dyDescent="0.35">
      <c r="B12" s="172" t="s">
        <v>18</v>
      </c>
      <c r="C12" s="174"/>
      <c r="D12" s="410"/>
      <c r="E12" s="27">
        <v>5</v>
      </c>
      <c r="F12" s="27">
        <v>6.5</v>
      </c>
      <c r="G12" s="27">
        <v>5</v>
      </c>
      <c r="H12" s="27">
        <v>5</v>
      </c>
      <c r="I12" s="27"/>
      <c r="J12" s="27"/>
      <c r="K12" s="27"/>
      <c r="L12" s="27"/>
      <c r="M12" s="27"/>
      <c r="N12" s="543"/>
    </row>
    <row r="13" spans="1:15" ht="20.149999999999999" customHeight="1" x14ac:dyDescent="0.35">
      <c r="B13" s="535" t="s">
        <v>31</v>
      </c>
      <c r="C13" s="536"/>
      <c r="D13" s="537"/>
      <c r="E13" s="536"/>
      <c r="F13" s="536"/>
      <c r="G13" s="536"/>
      <c r="H13" s="538"/>
      <c r="I13" s="538"/>
      <c r="J13" s="538"/>
      <c r="K13" s="538"/>
      <c r="L13" s="538"/>
      <c r="M13" s="538"/>
      <c r="N13" s="538"/>
      <c r="O13" s="535"/>
    </row>
    <row r="14" spans="1:15" ht="20.149999999999999" customHeight="1" x14ac:dyDescent="0.35">
      <c r="B14" s="535"/>
      <c r="C14" s="536" t="s">
        <v>491</v>
      </c>
      <c r="D14" s="537" t="s">
        <v>3</v>
      </c>
      <c r="E14" s="536">
        <v>3</v>
      </c>
      <c r="F14" s="536">
        <v>4</v>
      </c>
      <c r="G14" s="536">
        <v>3.85</v>
      </c>
      <c r="H14" s="538">
        <v>3.85</v>
      </c>
      <c r="I14" s="538"/>
      <c r="J14" s="538"/>
      <c r="K14" s="538"/>
      <c r="L14" s="538"/>
      <c r="M14" s="538"/>
      <c r="N14" s="538"/>
      <c r="O14" s="544"/>
    </row>
    <row r="15" spans="1:15" ht="20.149999999999999" customHeight="1" x14ac:dyDescent="0.35">
      <c r="B15" s="172"/>
      <c r="C15" s="174" t="s">
        <v>492</v>
      </c>
      <c r="D15" s="410" t="s">
        <v>3</v>
      </c>
      <c r="E15" s="27"/>
      <c r="F15" s="27"/>
      <c r="G15" s="27">
        <v>3.08</v>
      </c>
      <c r="H15" s="27">
        <v>3.08</v>
      </c>
      <c r="I15" s="27"/>
      <c r="J15" s="27"/>
      <c r="K15" s="27"/>
      <c r="L15" s="27"/>
      <c r="M15" s="27"/>
      <c r="N15" s="543"/>
    </row>
    <row r="16" spans="1:15" ht="20.149999999999999" customHeight="1" x14ac:dyDescent="0.35">
      <c r="B16" s="172"/>
      <c r="C16" s="174" t="s">
        <v>461</v>
      </c>
      <c r="D16" s="410" t="s">
        <v>3</v>
      </c>
      <c r="E16" s="27"/>
      <c r="F16" s="27"/>
      <c r="G16" s="27">
        <v>3.08</v>
      </c>
      <c r="H16" s="27">
        <v>3.08</v>
      </c>
      <c r="I16" s="27"/>
      <c r="J16" s="27"/>
      <c r="K16" s="27"/>
      <c r="L16" s="27"/>
      <c r="M16" s="27"/>
      <c r="N16" s="543"/>
    </row>
    <row r="17" spans="2:14" ht="20.149999999999999" customHeight="1" x14ac:dyDescent="0.35">
      <c r="B17" s="172"/>
      <c r="C17" s="174" t="s">
        <v>188</v>
      </c>
      <c r="D17" s="410" t="s">
        <v>3</v>
      </c>
      <c r="E17" s="27">
        <v>2</v>
      </c>
      <c r="F17" s="27">
        <v>3</v>
      </c>
      <c r="G17" s="27"/>
      <c r="H17" s="27"/>
      <c r="I17" s="27"/>
      <c r="J17" s="27"/>
      <c r="K17" s="27"/>
      <c r="L17" s="27"/>
      <c r="M17" s="27"/>
      <c r="N17" s="543"/>
    </row>
    <row r="18" spans="2:14" ht="20.149999999999999" customHeight="1" x14ac:dyDescent="0.35">
      <c r="B18" s="172"/>
      <c r="C18" s="174" t="s">
        <v>266</v>
      </c>
      <c r="D18" s="410" t="s">
        <v>3</v>
      </c>
      <c r="E18" s="27">
        <v>2</v>
      </c>
      <c r="F18" s="27">
        <v>3</v>
      </c>
      <c r="G18" s="27"/>
      <c r="H18" s="27"/>
      <c r="I18" s="27"/>
      <c r="J18" s="27"/>
      <c r="K18" s="27"/>
      <c r="L18" s="27"/>
      <c r="M18" s="27"/>
      <c r="N18" s="543"/>
    </row>
    <row r="19" spans="2:14" s="13" customFormat="1" ht="18.5" x14ac:dyDescent="0.45">
      <c r="B19" s="172"/>
      <c r="C19" s="174" t="s">
        <v>293</v>
      </c>
      <c r="D19" s="410" t="s">
        <v>3</v>
      </c>
      <c r="E19" s="27">
        <v>2</v>
      </c>
      <c r="F19" s="27">
        <v>3</v>
      </c>
      <c r="G19" s="27"/>
      <c r="H19" s="27"/>
      <c r="I19" s="27"/>
      <c r="J19" s="27"/>
      <c r="K19" s="27"/>
      <c r="L19" s="27"/>
      <c r="M19" s="27"/>
      <c r="N19" s="543"/>
    </row>
    <row r="20" spans="2:14" ht="20.149999999999999" customHeight="1" x14ac:dyDescent="0.35">
      <c r="B20" s="172"/>
      <c r="C20" s="174" t="s">
        <v>264</v>
      </c>
      <c r="D20" s="410" t="s">
        <v>3</v>
      </c>
      <c r="E20" s="27"/>
      <c r="F20" s="27"/>
      <c r="G20" s="27">
        <v>3.08</v>
      </c>
      <c r="H20" s="27">
        <v>3.08</v>
      </c>
      <c r="I20" s="27"/>
      <c r="J20" s="27"/>
      <c r="K20" s="27"/>
      <c r="L20" s="27"/>
      <c r="M20" s="27"/>
      <c r="N20" s="543"/>
    </row>
    <row r="21" spans="2:14" ht="20.149999999999999" customHeight="1" x14ac:dyDescent="0.35">
      <c r="B21" s="172"/>
      <c r="C21" s="174" t="s">
        <v>168</v>
      </c>
      <c r="D21" s="410" t="s">
        <v>3</v>
      </c>
      <c r="E21" s="27">
        <v>2</v>
      </c>
      <c r="F21" s="27">
        <v>3</v>
      </c>
      <c r="G21" s="27">
        <v>3.08</v>
      </c>
      <c r="H21" s="27">
        <v>3.08</v>
      </c>
      <c r="I21" s="27"/>
      <c r="J21" s="27"/>
      <c r="K21" s="27"/>
      <c r="L21" s="27"/>
      <c r="M21" s="27"/>
      <c r="N21" s="543"/>
    </row>
    <row r="22" spans="2:14" ht="20.149999999999999" customHeight="1" x14ac:dyDescent="0.35">
      <c r="B22" s="172"/>
      <c r="C22" s="174" t="s">
        <v>200</v>
      </c>
      <c r="D22" s="410" t="s">
        <v>3</v>
      </c>
      <c r="E22" s="27"/>
      <c r="F22" s="27"/>
      <c r="G22" s="27"/>
      <c r="H22" s="27"/>
      <c r="I22" s="27">
        <v>4</v>
      </c>
      <c r="J22" s="27">
        <v>4.17</v>
      </c>
      <c r="K22" s="27"/>
      <c r="L22" s="27"/>
      <c r="M22" s="27"/>
      <c r="N22" s="543"/>
    </row>
    <row r="23" spans="2:14" ht="20.149999999999999" customHeight="1" x14ac:dyDescent="0.35">
      <c r="B23" s="172"/>
      <c r="C23" s="174" t="s">
        <v>462</v>
      </c>
      <c r="D23" s="410" t="s">
        <v>3</v>
      </c>
      <c r="E23" s="27"/>
      <c r="F23" s="27"/>
      <c r="G23" s="27">
        <v>3.85</v>
      </c>
      <c r="H23" s="27">
        <v>3.85</v>
      </c>
      <c r="I23" s="27"/>
      <c r="J23" s="27"/>
      <c r="K23" s="27">
        <v>2.67</v>
      </c>
      <c r="L23" s="27">
        <v>4.67</v>
      </c>
      <c r="M23" s="27"/>
      <c r="N23" s="543"/>
    </row>
    <row r="24" spans="2:14" ht="20.149999999999999" customHeight="1" x14ac:dyDescent="0.35">
      <c r="B24" s="172"/>
      <c r="C24" s="174" t="s">
        <v>479</v>
      </c>
      <c r="D24" s="410" t="s">
        <v>3</v>
      </c>
      <c r="E24" s="27">
        <v>3</v>
      </c>
      <c r="F24" s="27">
        <v>4.25</v>
      </c>
      <c r="G24" s="27">
        <v>3.08</v>
      </c>
      <c r="H24" s="27">
        <v>3.08</v>
      </c>
      <c r="I24" s="27">
        <v>3.3</v>
      </c>
      <c r="J24" s="27">
        <v>3.98</v>
      </c>
      <c r="K24" s="27">
        <v>2.67</v>
      </c>
      <c r="L24" s="27">
        <v>4.33</v>
      </c>
      <c r="M24" s="27">
        <v>2</v>
      </c>
      <c r="N24" s="543">
        <v>5.33</v>
      </c>
    </row>
    <row r="25" spans="2:14" ht="20.149999999999999" customHeight="1" x14ac:dyDescent="0.35">
      <c r="B25" s="172"/>
      <c r="C25" s="174" t="s">
        <v>169</v>
      </c>
      <c r="D25" s="410" t="s">
        <v>3</v>
      </c>
      <c r="E25" s="27">
        <v>2</v>
      </c>
      <c r="F25" s="27">
        <v>3.5</v>
      </c>
      <c r="G25" s="27"/>
      <c r="H25" s="27"/>
      <c r="I25" s="27">
        <v>5.33</v>
      </c>
      <c r="J25" s="27">
        <v>5.33</v>
      </c>
      <c r="K25" s="27">
        <v>1.67</v>
      </c>
      <c r="L25" s="27">
        <v>3.33</v>
      </c>
      <c r="M25" s="27"/>
      <c r="N25" s="543"/>
    </row>
    <row r="26" spans="2:14" ht="20.149999999999999" customHeight="1" x14ac:dyDescent="0.35">
      <c r="B26" s="172"/>
      <c r="C26" s="174" t="s">
        <v>288</v>
      </c>
      <c r="D26" s="91" t="s">
        <v>3</v>
      </c>
      <c r="E26" s="27">
        <v>2</v>
      </c>
      <c r="F26" s="27">
        <v>3</v>
      </c>
      <c r="G26" s="27"/>
      <c r="H26" s="27"/>
      <c r="I26" s="27"/>
      <c r="J26" s="27"/>
      <c r="K26" s="27">
        <v>2</v>
      </c>
      <c r="L26" s="27">
        <v>4</v>
      </c>
      <c r="M26" s="27"/>
      <c r="N26" s="543"/>
    </row>
    <row r="27" spans="2:14" ht="20.149999999999999" customHeight="1" x14ac:dyDescent="0.35">
      <c r="B27" s="172"/>
      <c r="C27" s="174" t="s">
        <v>510</v>
      </c>
      <c r="D27" s="91" t="s">
        <v>3</v>
      </c>
      <c r="E27" s="27">
        <v>3</v>
      </c>
      <c r="F27" s="27">
        <v>4</v>
      </c>
      <c r="G27" s="27">
        <v>3.08</v>
      </c>
      <c r="H27" s="27">
        <v>3.08</v>
      </c>
      <c r="I27" s="27"/>
      <c r="J27" s="27"/>
      <c r="K27" s="27"/>
      <c r="L27" s="27"/>
      <c r="M27" s="27">
        <v>2</v>
      </c>
      <c r="N27" s="543">
        <v>5.33</v>
      </c>
    </row>
    <row r="28" spans="2:14" ht="20.149999999999999" customHeight="1" x14ac:dyDescent="0.35">
      <c r="B28" s="172" t="s">
        <v>342</v>
      </c>
      <c r="C28" s="174"/>
      <c r="D28" s="91" t="s">
        <v>3</v>
      </c>
      <c r="E28" s="27">
        <v>28</v>
      </c>
      <c r="F28" s="27">
        <v>40</v>
      </c>
      <c r="G28" s="27">
        <v>24</v>
      </c>
      <c r="H28" s="27">
        <v>40</v>
      </c>
      <c r="I28" s="27">
        <v>36</v>
      </c>
      <c r="J28" s="27">
        <v>38</v>
      </c>
      <c r="K28" s="27">
        <v>32</v>
      </c>
      <c r="L28" s="27">
        <v>50</v>
      </c>
      <c r="M28" s="27">
        <v>46</v>
      </c>
      <c r="N28" s="543">
        <v>52</v>
      </c>
    </row>
    <row r="29" spans="2:14" ht="20.149999999999999" customHeight="1" x14ac:dyDescent="0.35">
      <c r="B29" s="172" t="s">
        <v>358</v>
      </c>
      <c r="C29" s="174"/>
      <c r="D29" s="91" t="s">
        <v>3</v>
      </c>
      <c r="E29" s="27">
        <v>5</v>
      </c>
      <c r="F29" s="27">
        <v>9</v>
      </c>
      <c r="G29" s="27">
        <v>4</v>
      </c>
      <c r="H29" s="27">
        <v>8</v>
      </c>
      <c r="I29" s="27">
        <v>5</v>
      </c>
      <c r="J29" s="27">
        <v>6.5</v>
      </c>
      <c r="K29" s="27">
        <v>5</v>
      </c>
      <c r="L29" s="27">
        <v>8.5</v>
      </c>
      <c r="M29" s="27">
        <v>10</v>
      </c>
      <c r="N29" s="543">
        <v>11</v>
      </c>
    </row>
    <row r="30" spans="2:14" ht="20.149999999999999" customHeight="1" x14ac:dyDescent="0.35">
      <c r="B30" s="172" t="s">
        <v>344</v>
      </c>
      <c r="C30" s="175"/>
      <c r="D30" s="91" t="s">
        <v>3</v>
      </c>
      <c r="E30" s="27"/>
      <c r="F30" s="27"/>
      <c r="G30" s="27">
        <v>5</v>
      </c>
      <c r="H30" s="27">
        <v>5</v>
      </c>
      <c r="I30" s="27"/>
      <c r="J30" s="27"/>
      <c r="K30" s="27"/>
      <c r="L30" s="27"/>
      <c r="M30" s="27">
        <v>8</v>
      </c>
      <c r="N30" s="543">
        <v>8</v>
      </c>
    </row>
    <row r="31" spans="2:14" ht="20.149999999999999" customHeight="1" x14ac:dyDescent="0.35">
      <c r="B31" s="172" t="s">
        <v>74</v>
      </c>
      <c r="C31" s="175"/>
      <c r="D31" s="91" t="s">
        <v>3</v>
      </c>
      <c r="E31" s="27"/>
      <c r="F31" s="27"/>
      <c r="G31" s="27">
        <v>15</v>
      </c>
      <c r="H31" s="27">
        <v>15</v>
      </c>
      <c r="I31" s="27"/>
      <c r="J31" s="27"/>
      <c r="K31" s="27">
        <v>15</v>
      </c>
      <c r="L31" s="27">
        <v>20</v>
      </c>
      <c r="M31" s="27"/>
      <c r="N31" s="543"/>
    </row>
    <row r="32" spans="2:14" ht="20.149999999999999" customHeight="1" x14ac:dyDescent="0.35">
      <c r="B32" s="172" t="s">
        <v>77</v>
      </c>
      <c r="C32" s="175"/>
      <c r="D32" s="91" t="s">
        <v>3</v>
      </c>
      <c r="E32" s="27">
        <v>10</v>
      </c>
      <c r="F32" s="27">
        <v>15</v>
      </c>
      <c r="G32" s="27">
        <v>10</v>
      </c>
      <c r="H32" s="27">
        <v>10</v>
      </c>
      <c r="I32" s="27"/>
      <c r="J32" s="27"/>
      <c r="K32" s="27">
        <v>10</v>
      </c>
      <c r="L32" s="27">
        <v>14</v>
      </c>
      <c r="M32" s="27">
        <v>20</v>
      </c>
      <c r="N32" s="543">
        <v>24</v>
      </c>
    </row>
    <row r="33" spans="2:14" ht="20.149999999999999" customHeight="1" x14ac:dyDescent="0.35">
      <c r="B33" s="172" t="s">
        <v>40</v>
      </c>
      <c r="C33" s="175"/>
      <c r="D33" s="91" t="s">
        <v>3</v>
      </c>
      <c r="E33" s="27">
        <v>3</v>
      </c>
      <c r="F33" s="27">
        <v>5</v>
      </c>
      <c r="G33" s="27">
        <v>3</v>
      </c>
      <c r="H33" s="27">
        <v>4</v>
      </c>
      <c r="I33" s="27">
        <v>5</v>
      </c>
      <c r="J33" s="27">
        <v>5</v>
      </c>
      <c r="K33" s="27">
        <v>3</v>
      </c>
      <c r="L33" s="27">
        <v>9</v>
      </c>
      <c r="M33" s="27">
        <v>4</v>
      </c>
      <c r="N33" s="543">
        <v>6</v>
      </c>
    </row>
    <row r="34" spans="2:14" ht="20.149999999999999" customHeight="1" x14ac:dyDescent="0.35">
      <c r="B34" s="172" t="s">
        <v>39</v>
      </c>
      <c r="C34" s="175"/>
      <c r="D34" s="91" t="s">
        <v>3</v>
      </c>
      <c r="E34" s="27">
        <v>17</v>
      </c>
      <c r="F34" s="27">
        <v>25</v>
      </c>
      <c r="G34" s="27">
        <v>15</v>
      </c>
      <c r="H34" s="27">
        <v>20</v>
      </c>
      <c r="I34" s="27">
        <v>15</v>
      </c>
      <c r="J34" s="27">
        <v>18.5</v>
      </c>
      <c r="K34" s="27">
        <v>16</v>
      </c>
      <c r="L34" s="27">
        <v>17.5</v>
      </c>
      <c r="M34" s="27">
        <v>24</v>
      </c>
      <c r="N34" s="543">
        <v>24</v>
      </c>
    </row>
    <row r="35" spans="2:14" ht="20.149999999999999" customHeight="1" x14ac:dyDescent="0.35">
      <c r="B35" s="172" t="s">
        <v>88</v>
      </c>
      <c r="C35" s="175"/>
      <c r="D35" s="91" t="s">
        <v>3</v>
      </c>
      <c r="E35" s="27">
        <v>9</v>
      </c>
      <c r="F35" s="27">
        <v>12</v>
      </c>
      <c r="G35" s="27">
        <v>8</v>
      </c>
      <c r="H35" s="27">
        <v>8</v>
      </c>
      <c r="I35" s="27">
        <v>8.3000000000000007</v>
      </c>
      <c r="J35" s="27">
        <v>8.32</v>
      </c>
      <c r="K35" s="27">
        <v>6</v>
      </c>
      <c r="L35" s="27">
        <v>10</v>
      </c>
      <c r="M35" s="27">
        <v>10.67</v>
      </c>
      <c r="N35" s="543">
        <v>12.33</v>
      </c>
    </row>
    <row r="36" spans="2:14" ht="20.149999999999999" customHeight="1" x14ac:dyDescent="0.35">
      <c r="B36" s="172" t="s">
        <v>478</v>
      </c>
      <c r="C36" s="175"/>
      <c r="D36" s="91"/>
      <c r="E36" s="27"/>
      <c r="F36" s="27"/>
      <c r="G36" s="27"/>
      <c r="H36" s="27"/>
      <c r="I36" s="27"/>
      <c r="J36" s="27"/>
      <c r="K36" s="27"/>
      <c r="L36" s="27"/>
      <c r="M36" s="27"/>
      <c r="N36" s="543"/>
    </row>
    <row r="37" spans="2:14" ht="20.149999999999999" customHeight="1" x14ac:dyDescent="0.35">
      <c r="B37" s="172" t="s">
        <v>25</v>
      </c>
      <c r="C37" s="175"/>
      <c r="D37" s="91" t="s">
        <v>16</v>
      </c>
      <c r="E37" s="27">
        <v>5</v>
      </c>
      <c r="F37" s="27">
        <v>9</v>
      </c>
      <c r="G37" s="27">
        <v>5</v>
      </c>
      <c r="H37" s="27">
        <v>15</v>
      </c>
      <c r="I37" s="27">
        <v>11</v>
      </c>
      <c r="J37" s="27">
        <v>11</v>
      </c>
      <c r="K37" s="27">
        <v>5</v>
      </c>
      <c r="L37" s="27">
        <v>17</v>
      </c>
      <c r="M37" s="27"/>
      <c r="N37" s="543"/>
    </row>
    <row r="38" spans="2:14" s="13" customFormat="1" ht="20.149999999999999" customHeight="1" x14ac:dyDescent="0.45">
      <c r="B38" s="173" t="s">
        <v>26</v>
      </c>
      <c r="C38" s="95"/>
      <c r="D38" s="88" t="s">
        <v>3</v>
      </c>
      <c r="E38" s="96">
        <v>2</v>
      </c>
      <c r="F38" s="96">
        <v>4.5</v>
      </c>
      <c r="G38" s="96">
        <v>2</v>
      </c>
      <c r="H38" s="96">
        <v>4.5</v>
      </c>
      <c r="I38" s="96">
        <v>3</v>
      </c>
      <c r="J38" s="96">
        <v>3.6</v>
      </c>
      <c r="K38" s="96">
        <v>1.8</v>
      </c>
      <c r="L38" s="96">
        <v>4</v>
      </c>
      <c r="M38" s="96">
        <v>4.5</v>
      </c>
      <c r="N38" s="96">
        <v>5</v>
      </c>
    </row>
    <row r="39" spans="2:14" ht="20.149999999999999" customHeight="1" x14ac:dyDescent="0.35">
      <c r="B39" s="540" t="s">
        <v>27</v>
      </c>
      <c r="C39" s="548"/>
      <c r="D39" s="549" t="s">
        <v>3</v>
      </c>
      <c r="E39" s="70">
        <v>4.2</v>
      </c>
      <c r="F39" s="70">
        <v>6.15</v>
      </c>
      <c r="G39" s="70">
        <v>4.4400000000000004</v>
      </c>
      <c r="H39" s="70">
        <v>4.4400000000000004</v>
      </c>
      <c r="I39" s="70">
        <v>4.72</v>
      </c>
      <c r="J39" s="70">
        <v>5.61</v>
      </c>
      <c r="K39" s="70">
        <v>3.33</v>
      </c>
      <c r="L39" s="70">
        <v>6.11</v>
      </c>
      <c r="M39" s="70">
        <v>4.72</v>
      </c>
      <c r="N39" s="542">
        <v>6.94</v>
      </c>
    </row>
    <row r="40" spans="2:14" ht="20.149999999999999" customHeight="1" x14ac:dyDescent="0.35">
      <c r="B40" s="172" t="s">
        <v>28</v>
      </c>
      <c r="C40" s="175"/>
      <c r="D40" s="91" t="s">
        <v>3</v>
      </c>
      <c r="E40" s="27">
        <v>6</v>
      </c>
      <c r="F40" s="27">
        <v>8</v>
      </c>
      <c r="G40" s="27"/>
      <c r="H40" s="27"/>
      <c r="I40" s="27"/>
      <c r="J40" s="27"/>
      <c r="K40" s="27">
        <v>7</v>
      </c>
      <c r="L40" s="27">
        <v>9</v>
      </c>
      <c r="M40" s="27"/>
      <c r="N40" s="543"/>
    </row>
    <row r="41" spans="2:14" ht="20.149999999999999" customHeight="1" x14ac:dyDescent="0.35">
      <c r="B41" s="172" t="s">
        <v>29</v>
      </c>
      <c r="C41" s="175"/>
      <c r="D41" s="91" t="s">
        <v>3</v>
      </c>
      <c r="E41" s="27">
        <v>5</v>
      </c>
      <c r="F41" s="27">
        <v>7</v>
      </c>
      <c r="G41" s="27">
        <v>5</v>
      </c>
      <c r="H41" s="27">
        <v>7</v>
      </c>
      <c r="I41" s="27">
        <v>7.22</v>
      </c>
      <c r="J41" s="27">
        <v>8.61</v>
      </c>
      <c r="K41" s="27">
        <v>8</v>
      </c>
      <c r="L41" s="27">
        <v>10</v>
      </c>
      <c r="M41" s="27">
        <v>8</v>
      </c>
      <c r="N41" s="543">
        <v>9</v>
      </c>
    </row>
    <row r="42" spans="2:14" ht="20.149999999999999" customHeight="1" x14ac:dyDescent="0.35">
      <c r="B42" s="172" t="s">
        <v>30</v>
      </c>
      <c r="C42" s="175"/>
      <c r="D42" s="91" t="s">
        <v>3</v>
      </c>
      <c r="E42" s="27">
        <v>5</v>
      </c>
      <c r="F42" s="27">
        <v>26</v>
      </c>
      <c r="G42" s="27">
        <v>5</v>
      </c>
      <c r="H42" s="27">
        <v>7</v>
      </c>
      <c r="I42" s="27">
        <v>7</v>
      </c>
      <c r="J42" s="27">
        <v>8</v>
      </c>
      <c r="K42" s="27">
        <v>7</v>
      </c>
      <c r="L42" s="27">
        <v>9</v>
      </c>
      <c r="M42" s="27">
        <v>7.14</v>
      </c>
      <c r="N42" s="543">
        <v>7.86</v>
      </c>
    </row>
    <row r="43" spans="2:14" ht="20.149999999999999" customHeight="1" x14ac:dyDescent="0.35">
      <c r="B43" s="172" t="s">
        <v>18</v>
      </c>
      <c r="C43" s="175"/>
      <c r="D43" s="91" t="s">
        <v>3</v>
      </c>
      <c r="E43" s="27">
        <v>7</v>
      </c>
      <c r="F43" s="27">
        <v>7.25</v>
      </c>
      <c r="G43" s="27">
        <v>7</v>
      </c>
      <c r="H43" s="27">
        <v>7</v>
      </c>
      <c r="I43" s="27">
        <v>7.5</v>
      </c>
      <c r="J43" s="27">
        <v>7.75</v>
      </c>
      <c r="K43" s="27">
        <v>7.5</v>
      </c>
      <c r="L43" s="27">
        <v>8.33</v>
      </c>
      <c r="M43" s="27">
        <v>8.5</v>
      </c>
      <c r="N43" s="543">
        <v>9</v>
      </c>
    </row>
    <row r="44" spans="2:14" ht="20.149999999999999" customHeight="1" x14ac:dyDescent="0.35">
      <c r="B44" s="172" t="s">
        <v>32</v>
      </c>
      <c r="C44" s="175"/>
      <c r="D44" s="91" t="s">
        <v>3</v>
      </c>
      <c r="E44" s="27">
        <v>7</v>
      </c>
      <c r="F44" s="27">
        <v>12</v>
      </c>
      <c r="G44" s="27">
        <v>8</v>
      </c>
      <c r="H44" s="27">
        <v>8</v>
      </c>
      <c r="I44" s="27">
        <v>6.5</v>
      </c>
      <c r="J44" s="27">
        <v>7.5</v>
      </c>
      <c r="K44" s="27">
        <v>7.5</v>
      </c>
      <c r="L44" s="27">
        <v>11</v>
      </c>
      <c r="M44" s="27">
        <v>9</v>
      </c>
      <c r="N44" s="543">
        <v>12</v>
      </c>
    </row>
    <row r="45" spans="2:14" ht="20.149999999999999" customHeight="1" x14ac:dyDescent="0.35">
      <c r="B45" s="172" t="s">
        <v>358</v>
      </c>
      <c r="C45" s="175"/>
      <c r="D45" s="91" t="s">
        <v>3</v>
      </c>
      <c r="E45" s="27">
        <v>5</v>
      </c>
      <c r="F45" s="27">
        <v>10</v>
      </c>
      <c r="G45" s="27"/>
      <c r="H45" s="27"/>
      <c r="I45" s="27"/>
      <c r="J45" s="27"/>
      <c r="K45" s="27">
        <v>9</v>
      </c>
      <c r="L45" s="27">
        <v>12</v>
      </c>
      <c r="M45" s="27">
        <v>10</v>
      </c>
      <c r="N45" s="543">
        <v>12</v>
      </c>
    </row>
    <row r="46" spans="2:14" ht="20.149999999999999" customHeight="1" x14ac:dyDescent="0.35">
      <c r="B46" s="172" t="s">
        <v>344</v>
      </c>
      <c r="C46" s="172"/>
      <c r="D46" s="91" t="s">
        <v>3</v>
      </c>
      <c r="E46" s="91">
        <v>5</v>
      </c>
      <c r="F46" s="27">
        <v>9</v>
      </c>
      <c r="G46" s="27">
        <v>5</v>
      </c>
      <c r="H46" s="27">
        <v>7</v>
      </c>
      <c r="I46" s="27">
        <v>8</v>
      </c>
      <c r="J46" s="27">
        <v>10</v>
      </c>
      <c r="K46" s="27">
        <v>6</v>
      </c>
      <c r="L46" s="27">
        <v>10</v>
      </c>
      <c r="M46" s="27">
        <v>7</v>
      </c>
      <c r="N46" s="543">
        <v>9</v>
      </c>
    </row>
    <row r="47" spans="2:14" ht="20.149999999999999" customHeight="1" x14ac:dyDescent="0.35">
      <c r="B47" s="172" t="s">
        <v>33</v>
      </c>
      <c r="C47" s="172"/>
      <c r="D47" s="91" t="s">
        <v>3</v>
      </c>
      <c r="E47" s="91">
        <v>2.5</v>
      </c>
      <c r="F47" s="27">
        <v>14</v>
      </c>
      <c r="G47" s="27">
        <v>4</v>
      </c>
      <c r="H47" s="27">
        <v>10</v>
      </c>
      <c r="I47" s="27">
        <v>5</v>
      </c>
      <c r="J47" s="27">
        <v>7</v>
      </c>
      <c r="K47" s="27">
        <v>7</v>
      </c>
      <c r="L47" s="27">
        <v>9</v>
      </c>
      <c r="M47" s="27">
        <v>7.5</v>
      </c>
      <c r="N47" s="543">
        <v>8</v>
      </c>
    </row>
    <row r="48" spans="2:14" ht="20.149999999999999" customHeight="1" x14ac:dyDescent="0.35">
      <c r="B48" s="172" t="s">
        <v>40</v>
      </c>
      <c r="C48" s="175"/>
      <c r="D48" s="91" t="s">
        <v>3</v>
      </c>
      <c r="E48" s="27">
        <v>3.6</v>
      </c>
      <c r="F48" s="27">
        <v>4</v>
      </c>
      <c r="G48" s="27"/>
      <c r="H48" s="27"/>
      <c r="I48" s="27"/>
      <c r="J48" s="27"/>
      <c r="K48" s="27"/>
      <c r="L48" s="27"/>
      <c r="M48" s="27">
        <v>8</v>
      </c>
      <c r="N48" s="543">
        <v>9.5</v>
      </c>
    </row>
    <row r="49" spans="2:14" ht="20.149999999999999" customHeight="1" x14ac:dyDescent="0.35">
      <c r="B49" s="172" t="s">
        <v>34</v>
      </c>
      <c r="C49" s="175"/>
      <c r="D49" s="91" t="s">
        <v>3</v>
      </c>
      <c r="E49" s="27">
        <v>5</v>
      </c>
      <c r="F49" s="27">
        <v>20</v>
      </c>
      <c r="G49" s="27">
        <v>10</v>
      </c>
      <c r="H49" s="27">
        <v>20</v>
      </c>
      <c r="I49" s="27">
        <v>13</v>
      </c>
      <c r="J49" s="27">
        <v>13</v>
      </c>
      <c r="K49" s="27">
        <v>12</v>
      </c>
      <c r="L49" s="27">
        <v>20</v>
      </c>
      <c r="M49" s="27">
        <v>11.43</v>
      </c>
      <c r="N49" s="543">
        <v>12.86</v>
      </c>
    </row>
    <row r="50" spans="2:14" ht="20.149999999999999" customHeight="1" x14ac:dyDescent="0.35">
      <c r="B50" s="172" t="s">
        <v>40</v>
      </c>
      <c r="C50" s="175"/>
      <c r="D50" s="91" t="s">
        <v>3</v>
      </c>
      <c r="E50" s="27">
        <v>3.6</v>
      </c>
      <c r="F50" s="27">
        <v>6</v>
      </c>
      <c r="G50" s="27"/>
      <c r="H50" s="27"/>
      <c r="I50" s="27"/>
      <c r="J50" s="27"/>
      <c r="K50" s="27"/>
      <c r="L50" s="27"/>
      <c r="M50" s="27">
        <v>8</v>
      </c>
      <c r="N50" s="543">
        <v>9.5</v>
      </c>
    </row>
    <row r="51" spans="2:14" ht="20.149999999999999" customHeight="1" x14ac:dyDescent="0.35">
      <c r="B51" s="172" t="s">
        <v>34</v>
      </c>
      <c r="C51" s="175"/>
      <c r="D51" s="91" t="s">
        <v>3</v>
      </c>
      <c r="E51" s="27">
        <v>5</v>
      </c>
      <c r="F51" s="27">
        <v>20</v>
      </c>
      <c r="G51" s="27">
        <v>10</v>
      </c>
      <c r="H51" s="27">
        <v>20</v>
      </c>
      <c r="I51" s="27">
        <v>13</v>
      </c>
      <c r="J51" s="27">
        <v>13</v>
      </c>
      <c r="K51" s="27">
        <v>12</v>
      </c>
      <c r="L51" s="27">
        <v>20</v>
      </c>
      <c r="M51" s="27">
        <v>11.43</v>
      </c>
      <c r="N51" s="543">
        <v>12.86</v>
      </c>
    </row>
    <row r="52" spans="2:14" ht="20.149999999999999" customHeight="1" x14ac:dyDescent="0.35">
      <c r="B52" s="172" t="s">
        <v>33</v>
      </c>
      <c r="C52" s="175"/>
      <c r="D52" s="91" t="s">
        <v>3</v>
      </c>
      <c r="E52" s="27">
        <v>2.5</v>
      </c>
      <c r="F52" s="27">
        <v>14</v>
      </c>
      <c r="G52" s="27">
        <v>4</v>
      </c>
      <c r="H52" s="27">
        <v>8</v>
      </c>
      <c r="I52" s="27">
        <v>5</v>
      </c>
      <c r="J52" s="27">
        <v>9</v>
      </c>
      <c r="K52" s="27">
        <v>7</v>
      </c>
      <c r="L52" s="27">
        <v>9</v>
      </c>
      <c r="M52" s="27">
        <v>7.5</v>
      </c>
      <c r="N52" s="543">
        <v>10</v>
      </c>
    </row>
    <row r="53" spans="2:14" ht="20.149999999999999" customHeight="1" x14ac:dyDescent="0.35">
      <c r="B53" s="172" t="s">
        <v>40</v>
      </c>
      <c r="C53" s="175"/>
      <c r="D53" s="91" t="s">
        <v>3</v>
      </c>
      <c r="E53" s="27">
        <v>4.5</v>
      </c>
      <c r="F53" s="27">
        <v>7</v>
      </c>
      <c r="G53" s="27"/>
      <c r="H53" s="27"/>
      <c r="I53" s="27"/>
      <c r="J53" s="27"/>
      <c r="K53" s="27"/>
      <c r="L53" s="27"/>
      <c r="M53" s="27">
        <v>11</v>
      </c>
      <c r="N53" s="543">
        <v>12</v>
      </c>
    </row>
    <row r="54" spans="2:14" ht="20.149999999999999" customHeight="1" x14ac:dyDescent="0.35">
      <c r="B54" s="550" t="s">
        <v>34</v>
      </c>
      <c r="C54" s="551"/>
      <c r="D54" s="552" t="s">
        <v>3</v>
      </c>
      <c r="E54" s="27">
        <v>8</v>
      </c>
      <c r="F54" s="27">
        <v>20</v>
      </c>
      <c r="G54" s="27">
        <v>15</v>
      </c>
      <c r="H54" s="27">
        <v>20</v>
      </c>
      <c r="I54" s="27">
        <v>11.42</v>
      </c>
      <c r="J54" s="27">
        <v>0</v>
      </c>
      <c r="K54" s="27">
        <v>12</v>
      </c>
      <c r="L54" s="27">
        <v>20</v>
      </c>
      <c r="M54" s="27">
        <v>15.56</v>
      </c>
      <c r="N54" s="543">
        <v>18.89</v>
      </c>
    </row>
    <row r="55" spans="2:14" ht="20.149999999999999" customHeight="1" x14ac:dyDescent="0.35"/>
    <row r="56" spans="2:14" ht="20.149999999999999" customHeight="1" x14ac:dyDescent="0.35"/>
    <row r="57" spans="2:14" ht="20.149999999999999" customHeight="1" x14ac:dyDescent="0.35"/>
    <row r="58" spans="2:14" ht="20.149999999999999" customHeight="1" x14ac:dyDescent="0.35"/>
    <row r="59" spans="2:14" ht="20.149999999999999" customHeight="1" x14ac:dyDescent="0.35"/>
    <row r="60" spans="2:14" ht="20.149999999999999" customHeight="1" x14ac:dyDescent="0.35"/>
    <row r="61" spans="2:14" ht="20.149999999999999" customHeight="1" x14ac:dyDescent="0.35"/>
    <row r="62" spans="2:14" ht="20.149999999999999" customHeight="1" x14ac:dyDescent="0.35"/>
    <row r="63" spans="2:14" ht="20.149999999999999" customHeight="1" x14ac:dyDescent="0.35"/>
    <row r="64" spans="2:14" ht="20.149999999999999" customHeight="1" x14ac:dyDescent="0.35"/>
    <row r="65" ht="20.149999999999999" customHeight="1" x14ac:dyDescent="0.35"/>
    <row r="66" ht="20.149999999999999" customHeight="1" x14ac:dyDescent="0.35"/>
    <row r="67" ht="20.149999999999999" customHeight="1" x14ac:dyDescent="0.35"/>
    <row r="68" ht="20.149999999999999" customHeight="1" x14ac:dyDescent="0.35"/>
    <row r="69" ht="20.149999999999999" customHeight="1" x14ac:dyDescent="0.35"/>
    <row r="70" ht="20.149999999999999" customHeight="1" x14ac:dyDescent="0.35"/>
    <row r="71" ht="20.149999999999999" customHeight="1" x14ac:dyDescent="0.35"/>
    <row r="72" ht="20.149999999999999" customHeight="1" x14ac:dyDescent="0.35"/>
    <row r="73" ht="20.149999999999999" customHeight="1" x14ac:dyDescent="0.35"/>
    <row r="74" ht="20.149999999999999" customHeight="1" x14ac:dyDescent="0.35"/>
    <row r="75" ht="20.149999999999999" customHeight="1" x14ac:dyDescent="0.35"/>
    <row r="76" ht="20.149999999999999" customHeight="1" x14ac:dyDescent="0.35"/>
  </sheetData>
  <sortState ref="B23:M36">
    <sortCondition ref="B23"/>
  </sortState>
  <phoneticPr fontId="19" type="noConversion"/>
  <conditionalFormatting sqref="H14:O14">
    <cfRule type="cellIs" dxfId="277" priority="4" stopIfTrue="1" operator="equal">
      <formula>"-"</formula>
    </cfRule>
    <cfRule type="cellIs" dxfId="276" priority="5" operator="greaterThan">
      <formula>0</formula>
    </cfRule>
    <cfRule type="cellIs" dxfId="275" priority="6" operator="lessThan">
      <formula>0</formula>
    </cfRule>
  </conditionalFormatting>
  <conditionalFormatting sqref="H13:N13">
    <cfRule type="cellIs" dxfId="274" priority="1" stopIfTrue="1" operator="equal">
      <formula>"-"</formula>
    </cfRule>
    <cfRule type="cellIs" dxfId="273" priority="2" operator="greaterThan">
      <formula>0</formula>
    </cfRule>
    <cfRule type="cellIs" dxfId="272" priority="3" operator="lessThan">
      <formula>0</formula>
    </cfRule>
  </conditionalFormatting>
  <pageMargins left="0.79" right="0.71" top="0.98" bottom="0.98" header="0.5" footer="0.5"/>
  <pageSetup paperSize="9" scale="72" orientation="landscape" r:id="rId1"/>
  <headerFooter alignWithMargins="0">
    <oddHeader>&amp;A</oddHeader>
    <oddFooter>Strona &amp;P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11"/>
  <sheetViews>
    <sheetView workbookViewId="0"/>
  </sheetViews>
  <sheetFormatPr defaultColWidth="8.7265625" defaultRowHeight="15.5" x14ac:dyDescent="0.35"/>
  <cols>
    <col min="1" max="16384" width="8.7265625" style="12"/>
  </cols>
  <sheetData>
    <row r="2" spans="1:1" ht="18.5" x14ac:dyDescent="0.45">
      <c r="A2" s="522" t="s">
        <v>452</v>
      </c>
    </row>
    <row r="3" spans="1:1" x14ac:dyDescent="0.35">
      <c r="A3" s="12" t="s">
        <v>444</v>
      </c>
    </row>
    <row r="4" spans="1:1" x14ac:dyDescent="0.35">
      <c r="A4" s="12" t="s">
        <v>443</v>
      </c>
    </row>
    <row r="5" spans="1:1" x14ac:dyDescent="0.35">
      <c r="A5" s="12" t="s">
        <v>445</v>
      </c>
    </row>
    <row r="6" spans="1:1" x14ac:dyDescent="0.35">
      <c r="A6" s="12" t="s">
        <v>446</v>
      </c>
    </row>
    <row r="7" spans="1:1" x14ac:dyDescent="0.35">
      <c r="A7" s="12" t="s">
        <v>447</v>
      </c>
    </row>
    <row r="8" spans="1:1" x14ac:dyDescent="0.35">
      <c r="A8" s="12" t="s">
        <v>448</v>
      </c>
    </row>
    <row r="9" spans="1:1" x14ac:dyDescent="0.35">
      <c r="A9" s="12" t="s">
        <v>449</v>
      </c>
    </row>
    <row r="10" spans="1:1" x14ac:dyDescent="0.35">
      <c r="A10" s="12" t="s">
        <v>450</v>
      </c>
    </row>
    <row r="11" spans="1:1" x14ac:dyDescent="0.35">
      <c r="A11" s="12" t="s">
        <v>451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theme="6" tint="0.39997558519241921"/>
  </sheetPr>
  <dimension ref="A1:S43"/>
  <sheetViews>
    <sheetView showGridLines="0" zoomScaleNormal="100" workbookViewId="0">
      <selection activeCell="L12" sqref="L12"/>
    </sheetView>
  </sheetViews>
  <sheetFormatPr defaultColWidth="9.1796875" defaultRowHeight="15.5" x14ac:dyDescent="0.35"/>
  <cols>
    <col min="1" max="1" width="10.7265625" style="12" customWidth="1"/>
    <col min="2" max="2" width="20.7265625" style="12" customWidth="1"/>
    <col min="3" max="3" width="10.7265625" style="12" customWidth="1"/>
    <col min="4" max="4" width="12.54296875" style="12" hidden="1" customWidth="1"/>
    <col min="5" max="6" width="10.7265625" style="12" customWidth="1"/>
    <col min="7" max="8" width="20.7265625" style="12" customWidth="1"/>
    <col min="9" max="26" width="10.7265625" style="12" customWidth="1"/>
    <col min="27" max="16384" width="9.1796875" style="12"/>
  </cols>
  <sheetData>
    <row r="1" spans="1:19" s="33" customFormat="1" ht="25" customHeight="1" x14ac:dyDescent="0.35">
      <c r="B1" s="57"/>
      <c r="E1" s="34"/>
      <c r="J1" s="35"/>
      <c r="K1" s="35"/>
      <c r="L1" s="36"/>
    </row>
    <row r="2" spans="1:19" customFormat="1" ht="25" customHeight="1" x14ac:dyDescent="0.25">
      <c r="A2" s="37"/>
      <c r="B2" s="38" t="s">
        <v>336</v>
      </c>
      <c r="C2" s="39"/>
      <c r="D2" s="39"/>
      <c r="E2" s="39"/>
      <c r="F2" s="39"/>
      <c r="G2" s="39"/>
      <c r="H2" s="39"/>
      <c r="I2" s="39"/>
      <c r="J2" s="40"/>
      <c r="K2" s="40"/>
      <c r="L2" s="40"/>
      <c r="M2" s="40"/>
      <c r="N2" s="33"/>
      <c r="O2" s="40"/>
    </row>
    <row r="3" spans="1:19" customFormat="1" ht="25" customHeight="1" thickBot="1" x14ac:dyDescent="0.3">
      <c r="B3" s="41" t="s">
        <v>302</v>
      </c>
      <c r="C3" s="49"/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  <c r="O3" s="40"/>
      <c r="P3" s="40"/>
      <c r="S3" s="33"/>
    </row>
    <row r="4" spans="1:19" customFormat="1" ht="25" customHeight="1" thickTop="1" x14ac:dyDescent="0.3">
      <c r="B4" s="291"/>
      <c r="C4" s="51"/>
      <c r="D4" s="52"/>
      <c r="E4" s="52"/>
      <c r="F4" s="112"/>
      <c r="G4" s="113"/>
      <c r="H4" s="113"/>
      <c r="I4" s="54"/>
      <c r="J4" s="54"/>
      <c r="K4" s="54"/>
      <c r="L4" s="55"/>
      <c r="M4" s="33"/>
      <c r="N4" s="187" t="str">
        <f>POMOC!B5</f>
        <v>Notowania 17 - 23.08.2026 / Tydzień 33</v>
      </c>
      <c r="O4" s="40"/>
      <c r="R4" s="33"/>
    </row>
    <row r="5" spans="1:19" ht="40" customHeight="1" thickBot="1" x14ac:dyDescent="0.4">
      <c r="B5" s="120" t="s">
        <v>301</v>
      </c>
      <c r="C5" s="97" t="s">
        <v>571</v>
      </c>
      <c r="D5" s="97"/>
      <c r="E5" s="97" t="s">
        <v>572</v>
      </c>
      <c r="F5" s="111">
        <v>45886</v>
      </c>
      <c r="G5" s="117" t="s">
        <v>351</v>
      </c>
      <c r="H5" s="117" t="s">
        <v>352</v>
      </c>
    </row>
    <row r="6" spans="1:19" ht="20.149999999999999" customHeight="1" x14ac:dyDescent="0.35">
      <c r="B6" s="114" t="s">
        <v>277</v>
      </c>
      <c r="C6" s="107" t="s">
        <v>277</v>
      </c>
      <c r="D6" s="108" t="s">
        <v>261</v>
      </c>
      <c r="E6" s="109" t="s">
        <v>261</v>
      </c>
      <c r="F6" s="106" t="s">
        <v>261</v>
      </c>
      <c r="G6" s="31" t="s">
        <v>457</v>
      </c>
      <c r="H6" s="31" t="s">
        <v>457</v>
      </c>
    </row>
    <row r="7" spans="1:19" ht="20.149999999999999" customHeight="1" x14ac:dyDescent="0.35">
      <c r="B7" s="115" t="s">
        <v>201</v>
      </c>
      <c r="C7" s="98" t="s">
        <v>201</v>
      </c>
      <c r="D7" s="99" t="s">
        <v>270</v>
      </c>
      <c r="E7" s="100" t="s">
        <v>270</v>
      </c>
      <c r="F7" s="101" t="s">
        <v>270</v>
      </c>
      <c r="G7" s="26" t="s">
        <v>457</v>
      </c>
      <c r="H7" s="31" t="s">
        <v>457</v>
      </c>
    </row>
    <row r="8" spans="1:19" ht="20.149999999999999" customHeight="1" x14ac:dyDescent="0.35">
      <c r="B8" s="115" t="s">
        <v>188</v>
      </c>
      <c r="C8" s="98" t="s">
        <v>188</v>
      </c>
      <c r="D8" s="99" t="s">
        <v>261</v>
      </c>
      <c r="E8" s="100" t="s">
        <v>261</v>
      </c>
      <c r="F8" s="101" t="s">
        <v>261</v>
      </c>
      <c r="G8" s="26" t="s">
        <v>457</v>
      </c>
      <c r="H8" s="31" t="s">
        <v>457</v>
      </c>
    </row>
    <row r="9" spans="1:19" ht="20.149999999999999" customHeight="1" x14ac:dyDescent="0.35">
      <c r="B9" s="115" t="s">
        <v>275</v>
      </c>
      <c r="C9" s="98" t="s">
        <v>275</v>
      </c>
      <c r="D9" s="99" t="s">
        <v>270</v>
      </c>
      <c r="E9" s="100" t="s">
        <v>270</v>
      </c>
      <c r="F9" s="101" t="s">
        <v>270</v>
      </c>
      <c r="G9" s="26" t="s">
        <v>457</v>
      </c>
      <c r="H9" s="31" t="s">
        <v>457</v>
      </c>
    </row>
    <row r="10" spans="1:19" ht="20.149999999999999" customHeight="1" x14ac:dyDescent="0.35">
      <c r="B10" s="115" t="s">
        <v>189</v>
      </c>
      <c r="C10" s="98" t="s">
        <v>189</v>
      </c>
      <c r="D10" s="99" t="s">
        <v>261</v>
      </c>
      <c r="E10" s="100" t="s">
        <v>261</v>
      </c>
      <c r="F10" s="101" t="s">
        <v>261</v>
      </c>
      <c r="G10" s="31" t="s">
        <v>457</v>
      </c>
      <c r="H10" s="31" t="s">
        <v>457</v>
      </c>
    </row>
    <row r="11" spans="1:19" ht="20.149999999999999" customHeight="1" x14ac:dyDescent="0.35">
      <c r="B11" s="115" t="s">
        <v>190</v>
      </c>
      <c r="C11" s="98" t="s">
        <v>190</v>
      </c>
      <c r="D11" s="99" t="s">
        <v>261</v>
      </c>
      <c r="E11" s="100" t="s">
        <v>261</v>
      </c>
      <c r="F11" s="101" t="s">
        <v>261</v>
      </c>
      <c r="G11" s="31" t="s">
        <v>457</v>
      </c>
      <c r="H11" s="31" t="s">
        <v>457</v>
      </c>
    </row>
    <row r="12" spans="1:19" ht="20.149999999999999" customHeight="1" x14ac:dyDescent="0.35">
      <c r="B12" s="115" t="s">
        <v>197</v>
      </c>
      <c r="C12" s="98" t="s">
        <v>197</v>
      </c>
      <c r="D12" s="99" t="s">
        <v>261</v>
      </c>
      <c r="E12" s="100" t="s">
        <v>261</v>
      </c>
      <c r="F12" s="101" t="s">
        <v>261</v>
      </c>
      <c r="G12" s="31" t="s">
        <v>457</v>
      </c>
      <c r="H12" s="31" t="s">
        <v>457</v>
      </c>
    </row>
    <row r="13" spans="1:19" ht="20.149999999999999" customHeight="1" x14ac:dyDescent="0.35">
      <c r="B13" s="115" t="s">
        <v>168</v>
      </c>
      <c r="C13" s="98" t="s">
        <v>168</v>
      </c>
      <c r="D13" s="99" t="s">
        <v>261</v>
      </c>
      <c r="E13" s="100" t="s">
        <v>261</v>
      </c>
      <c r="F13" s="101" t="s">
        <v>261</v>
      </c>
      <c r="G13" s="26" t="s">
        <v>457</v>
      </c>
      <c r="H13" s="31" t="s">
        <v>457</v>
      </c>
    </row>
    <row r="14" spans="1:19" ht="20.149999999999999" customHeight="1" x14ac:dyDescent="0.35">
      <c r="B14" s="115" t="s">
        <v>169</v>
      </c>
      <c r="C14" s="98" t="s">
        <v>169</v>
      </c>
      <c r="D14" s="99" t="s">
        <v>261</v>
      </c>
      <c r="E14" s="100" t="s">
        <v>261</v>
      </c>
      <c r="F14" s="101" t="s">
        <v>261</v>
      </c>
      <c r="G14" s="26" t="s">
        <v>457</v>
      </c>
      <c r="H14" s="31" t="s">
        <v>457</v>
      </c>
    </row>
    <row r="15" spans="1:19" ht="20.149999999999999" customHeight="1" x14ac:dyDescent="0.35">
      <c r="B15" s="116" t="s">
        <v>278</v>
      </c>
      <c r="C15" s="102" t="s">
        <v>278</v>
      </c>
      <c r="D15" s="103" t="s">
        <v>270</v>
      </c>
      <c r="E15" s="104" t="s">
        <v>270</v>
      </c>
      <c r="F15" s="105" t="s">
        <v>270</v>
      </c>
      <c r="G15" s="60" t="s">
        <v>457</v>
      </c>
      <c r="H15" s="32" t="s">
        <v>457</v>
      </c>
    </row>
    <row r="16" spans="1:19" s="33" customFormat="1" ht="25" customHeight="1" x14ac:dyDescent="0.35">
      <c r="B16" s="57"/>
      <c r="E16" s="34"/>
      <c r="J16" s="35"/>
      <c r="K16" s="35"/>
      <c r="L16" s="36"/>
    </row>
    <row r="17" spans="1:19" customFormat="1" ht="25" customHeight="1" x14ac:dyDescent="0.25">
      <c r="A17" s="37"/>
      <c r="B17" s="110" t="s">
        <v>337</v>
      </c>
      <c r="C17" s="39"/>
      <c r="D17" s="39"/>
      <c r="E17" s="39"/>
      <c r="F17" s="39"/>
      <c r="G17" s="39"/>
      <c r="H17" s="39"/>
      <c r="I17" s="39"/>
      <c r="J17" s="40"/>
      <c r="K17" s="40"/>
      <c r="L17" s="40"/>
      <c r="M17" s="40"/>
      <c r="N17" s="33"/>
      <c r="O17" s="40"/>
    </row>
    <row r="18" spans="1:19" customFormat="1" ht="25" customHeight="1" thickBot="1" x14ac:dyDescent="0.3">
      <c r="B18" s="41" t="s">
        <v>302</v>
      </c>
      <c r="C18" s="49"/>
      <c r="D18" s="49"/>
      <c r="E18" s="49"/>
      <c r="F18" s="49"/>
      <c r="G18" s="49"/>
      <c r="H18" s="49"/>
      <c r="I18" s="49"/>
      <c r="J18" s="49"/>
      <c r="K18" s="49"/>
      <c r="L18" s="49"/>
      <c r="M18" s="49"/>
      <c r="N18" s="49"/>
      <c r="O18" s="40"/>
      <c r="P18" s="40"/>
      <c r="S18" s="33"/>
    </row>
    <row r="19" spans="1:19" customFormat="1" ht="25" customHeight="1" thickTop="1" x14ac:dyDescent="0.3">
      <c r="B19" s="50"/>
      <c r="C19" s="51"/>
      <c r="D19" s="52"/>
      <c r="E19" s="52"/>
      <c r="F19" s="112"/>
      <c r="G19" s="113"/>
      <c r="H19" s="113"/>
      <c r="I19" s="54"/>
      <c r="J19" s="54"/>
      <c r="K19" s="54"/>
      <c r="L19" s="55"/>
      <c r="M19" s="33"/>
      <c r="N19" s="56"/>
      <c r="O19" s="40"/>
      <c r="R19" s="33"/>
    </row>
    <row r="20" spans="1:19" ht="40" customHeight="1" thickBot="1" x14ac:dyDescent="0.4">
      <c r="B20" s="120" t="s">
        <v>301</v>
      </c>
      <c r="C20" s="97" t="s">
        <v>571</v>
      </c>
      <c r="D20" s="97"/>
      <c r="E20" s="97" t="s">
        <v>572</v>
      </c>
      <c r="F20" s="111">
        <v>45886</v>
      </c>
      <c r="G20" s="117" t="s">
        <v>351</v>
      </c>
      <c r="H20" s="117" t="s">
        <v>352</v>
      </c>
    </row>
    <row r="21" spans="1:19" ht="20.149999999999999" customHeight="1" x14ac:dyDescent="0.35">
      <c r="B21" s="114" t="s">
        <v>277</v>
      </c>
      <c r="C21" s="98" t="s">
        <v>277</v>
      </c>
      <c r="D21" s="99" t="s">
        <v>261</v>
      </c>
      <c r="E21" s="100" t="s">
        <v>261</v>
      </c>
      <c r="F21" s="101" t="s">
        <v>261</v>
      </c>
      <c r="G21" s="31" t="s">
        <v>457</v>
      </c>
      <c r="H21" s="31" t="s">
        <v>457</v>
      </c>
    </row>
    <row r="22" spans="1:19" ht="20.149999999999999" customHeight="1" x14ac:dyDescent="0.35">
      <c r="B22" s="115" t="s">
        <v>201</v>
      </c>
      <c r="C22" s="98" t="s">
        <v>201</v>
      </c>
      <c r="D22" s="99" t="s">
        <v>270</v>
      </c>
      <c r="E22" s="100" t="s">
        <v>270</v>
      </c>
      <c r="F22" s="101" t="s">
        <v>270</v>
      </c>
      <c r="G22" s="26" t="s">
        <v>457</v>
      </c>
      <c r="H22" s="31" t="s">
        <v>457</v>
      </c>
    </row>
    <row r="23" spans="1:19" ht="20.149999999999999" customHeight="1" x14ac:dyDescent="0.35">
      <c r="B23" s="115" t="s">
        <v>188</v>
      </c>
      <c r="C23" s="98" t="s">
        <v>188</v>
      </c>
      <c r="D23" s="99" t="s">
        <v>261</v>
      </c>
      <c r="E23" s="100" t="s">
        <v>261</v>
      </c>
      <c r="F23" s="101" t="s">
        <v>261</v>
      </c>
      <c r="G23" s="26" t="s">
        <v>457</v>
      </c>
      <c r="H23" s="31" t="s">
        <v>457</v>
      </c>
    </row>
    <row r="24" spans="1:19" ht="20.149999999999999" customHeight="1" x14ac:dyDescent="0.35">
      <c r="B24" s="115" t="s">
        <v>275</v>
      </c>
      <c r="C24" s="98" t="s">
        <v>275</v>
      </c>
      <c r="D24" s="99" t="s">
        <v>270</v>
      </c>
      <c r="E24" s="100" t="s">
        <v>270</v>
      </c>
      <c r="F24" s="101" t="s">
        <v>270</v>
      </c>
      <c r="G24" s="26" t="s">
        <v>457</v>
      </c>
      <c r="H24" s="31" t="s">
        <v>457</v>
      </c>
    </row>
    <row r="25" spans="1:19" ht="20.149999999999999" customHeight="1" x14ac:dyDescent="0.35">
      <c r="B25" s="115" t="s">
        <v>189</v>
      </c>
      <c r="C25" s="98" t="s">
        <v>189</v>
      </c>
      <c r="D25" s="99" t="s">
        <v>261</v>
      </c>
      <c r="E25" s="100" t="s">
        <v>261</v>
      </c>
      <c r="F25" s="101" t="s">
        <v>261</v>
      </c>
      <c r="G25" s="26" t="s">
        <v>457</v>
      </c>
      <c r="H25" s="31" t="s">
        <v>457</v>
      </c>
    </row>
    <row r="26" spans="1:19" ht="20.149999999999999" customHeight="1" x14ac:dyDescent="0.35">
      <c r="B26" s="115" t="s">
        <v>190</v>
      </c>
      <c r="C26" s="98" t="s">
        <v>190</v>
      </c>
      <c r="D26" s="99" t="s">
        <v>261</v>
      </c>
      <c r="E26" s="100" t="s">
        <v>261</v>
      </c>
      <c r="F26" s="101" t="s">
        <v>261</v>
      </c>
      <c r="G26" s="26" t="s">
        <v>457</v>
      </c>
      <c r="H26" s="31" t="s">
        <v>457</v>
      </c>
    </row>
    <row r="27" spans="1:19" ht="20.149999999999999" customHeight="1" x14ac:dyDescent="0.35">
      <c r="B27" s="115" t="s">
        <v>197</v>
      </c>
      <c r="C27" s="98" t="s">
        <v>197</v>
      </c>
      <c r="D27" s="99" t="s">
        <v>261</v>
      </c>
      <c r="E27" s="100" t="s">
        <v>261</v>
      </c>
      <c r="F27" s="101" t="s">
        <v>261</v>
      </c>
      <c r="G27" s="26" t="s">
        <v>457</v>
      </c>
      <c r="H27" s="31" t="s">
        <v>457</v>
      </c>
    </row>
    <row r="28" spans="1:19" ht="20.149999999999999" customHeight="1" x14ac:dyDescent="0.35">
      <c r="B28" s="115" t="s">
        <v>168</v>
      </c>
      <c r="C28" s="98" t="s">
        <v>168</v>
      </c>
      <c r="D28" s="99" t="s">
        <v>261</v>
      </c>
      <c r="E28" s="100" t="s">
        <v>261</v>
      </c>
      <c r="F28" s="101" t="s">
        <v>261</v>
      </c>
      <c r="G28" s="26" t="s">
        <v>457</v>
      </c>
      <c r="H28" s="31" t="s">
        <v>457</v>
      </c>
    </row>
    <row r="29" spans="1:19" ht="20.149999999999999" customHeight="1" x14ac:dyDescent="0.35">
      <c r="B29" s="115" t="s">
        <v>169</v>
      </c>
      <c r="C29" s="98" t="s">
        <v>169</v>
      </c>
      <c r="D29" s="99" t="s">
        <v>261</v>
      </c>
      <c r="E29" s="100" t="s">
        <v>261</v>
      </c>
      <c r="F29" s="101" t="s">
        <v>261</v>
      </c>
      <c r="G29" s="26" t="s">
        <v>457</v>
      </c>
      <c r="H29" s="31" t="s">
        <v>457</v>
      </c>
    </row>
    <row r="30" spans="1:19" ht="20.149999999999999" customHeight="1" x14ac:dyDescent="0.35">
      <c r="B30" s="116" t="s">
        <v>278</v>
      </c>
      <c r="C30" s="102" t="s">
        <v>278</v>
      </c>
      <c r="D30" s="103" t="s">
        <v>270</v>
      </c>
      <c r="E30" s="104" t="s">
        <v>270</v>
      </c>
      <c r="F30" s="105" t="s">
        <v>270</v>
      </c>
      <c r="G30" s="60" t="s">
        <v>457</v>
      </c>
      <c r="H30" s="32" t="s">
        <v>457</v>
      </c>
    </row>
    <row r="31" spans="1:19" ht="20.149999999999999" customHeight="1" x14ac:dyDescent="0.35">
      <c r="B31"/>
      <c r="C31"/>
      <c r="D31"/>
      <c r="E31"/>
      <c r="F31"/>
      <c r="G31"/>
      <c r="H31"/>
    </row>
    <row r="32" spans="1:19" ht="20.149999999999999" customHeight="1" x14ac:dyDescent="0.35">
      <c r="B32" s="28" t="s">
        <v>263</v>
      </c>
      <c r="C32" s="29"/>
      <c r="D32" s="29"/>
      <c r="E32" s="29"/>
      <c r="F32" s="30"/>
      <c r="G32" s="30"/>
      <c r="H32" s="28"/>
    </row>
    <row r="33" spans="2:2" ht="20.149999999999999" customHeight="1" x14ac:dyDescent="0.35">
      <c r="B33" s="22" t="s">
        <v>292</v>
      </c>
    </row>
    <row r="34" spans="2:2" ht="20.149999999999999" customHeight="1" x14ac:dyDescent="0.35"/>
    <row r="35" spans="2:2" ht="20.149999999999999" customHeight="1" x14ac:dyDescent="0.35"/>
    <row r="36" spans="2:2" ht="20.149999999999999" customHeight="1" x14ac:dyDescent="0.35"/>
    <row r="37" spans="2:2" ht="20.149999999999999" customHeight="1" x14ac:dyDescent="0.35"/>
    <row r="38" spans="2:2" ht="20.149999999999999" customHeight="1" x14ac:dyDescent="0.35"/>
    <row r="39" spans="2:2" ht="20.149999999999999" customHeight="1" x14ac:dyDescent="0.35"/>
    <row r="40" spans="2:2" ht="20.149999999999999" customHeight="1" x14ac:dyDescent="0.35"/>
    <row r="41" spans="2:2" ht="20.149999999999999" customHeight="1" x14ac:dyDescent="0.35"/>
    <row r="42" spans="2:2" ht="20.149999999999999" customHeight="1" x14ac:dyDescent="0.35"/>
    <row r="43" spans="2:2" ht="20.149999999999999" customHeight="1" x14ac:dyDescent="0.35"/>
  </sheetData>
  <conditionalFormatting sqref="F32:G32">
    <cfRule type="cellIs" dxfId="271" priority="58" stopIfTrue="1" operator="equal">
      <formula>"-"</formula>
    </cfRule>
    <cfRule type="cellIs" dxfId="270" priority="59" operator="greaterThan">
      <formula>0</formula>
    </cfRule>
    <cfRule type="cellIs" dxfId="269" priority="60" operator="lessThan">
      <formula>0</formula>
    </cfRule>
  </conditionalFormatting>
  <conditionalFormatting sqref="G6:H15">
    <cfRule type="cellIs" dxfId="268" priority="1" stopIfTrue="1" operator="equal">
      <formula>"-"</formula>
    </cfRule>
    <cfRule type="cellIs" dxfId="267" priority="2" operator="greaterThan">
      <formula>0</formula>
    </cfRule>
    <cfRule type="cellIs" dxfId="266" priority="3" operator="lessThan">
      <formula>0</formula>
    </cfRule>
  </conditionalFormatting>
  <conditionalFormatting sqref="G21:H30">
    <cfRule type="cellIs" dxfId="265" priority="4" stopIfTrue="1" operator="equal">
      <formula>"-"</formula>
    </cfRule>
    <cfRule type="cellIs" dxfId="264" priority="5" operator="greaterThan">
      <formula>0</formula>
    </cfRule>
    <cfRule type="cellIs" dxfId="263" priority="6" operator="lessThan">
      <formula>0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59999389629810485"/>
  </sheetPr>
  <dimension ref="A1:R63"/>
  <sheetViews>
    <sheetView showGridLines="0" topLeftCell="A2" zoomScaleNormal="100" workbookViewId="0">
      <selection activeCell="I21" sqref="I21"/>
    </sheetView>
  </sheetViews>
  <sheetFormatPr defaultColWidth="9.1796875" defaultRowHeight="15.5" x14ac:dyDescent="0.35"/>
  <cols>
    <col min="1" max="1" width="10.7265625" style="12" customWidth="1"/>
    <col min="2" max="2" width="31.36328125" style="12" customWidth="1"/>
    <col min="3" max="3" width="25" style="557" bestFit="1" customWidth="1"/>
    <col min="4" max="5" width="10.7265625" style="12" customWidth="1"/>
    <col min="6" max="6" width="13.08984375" style="12" customWidth="1"/>
    <col min="7" max="23" width="10.7265625" style="12" customWidth="1"/>
    <col min="24" max="16384" width="9.1796875" style="12"/>
  </cols>
  <sheetData>
    <row r="1" spans="1:18" s="33" customFormat="1" ht="25" customHeight="1" x14ac:dyDescent="0.35">
      <c r="B1" s="57"/>
      <c r="C1" s="57"/>
      <c r="F1" s="34"/>
      <c r="J1" s="35"/>
      <c r="K1" s="36"/>
    </row>
    <row r="2" spans="1:18" customFormat="1" ht="25" customHeight="1" x14ac:dyDescent="0.25">
      <c r="A2" s="37"/>
      <c r="B2" s="38" t="s">
        <v>338</v>
      </c>
      <c r="C2" s="38"/>
      <c r="D2" s="39"/>
      <c r="E2" s="39"/>
      <c r="F2" s="39"/>
      <c r="G2" s="39"/>
      <c r="H2" s="39"/>
      <c r="I2" s="39"/>
      <c r="J2" s="40"/>
      <c r="K2" s="40"/>
      <c r="L2" s="40"/>
      <c r="M2" s="33"/>
      <c r="N2" s="40"/>
    </row>
    <row r="3" spans="1:18" customFormat="1" ht="25" customHeight="1" thickBot="1" x14ac:dyDescent="0.3">
      <c r="B3" s="41" t="s">
        <v>302</v>
      </c>
      <c r="C3" s="41"/>
      <c r="D3" s="49"/>
      <c r="E3" s="49"/>
      <c r="F3" s="49"/>
      <c r="G3" s="49"/>
      <c r="H3" s="49"/>
      <c r="I3" s="49"/>
      <c r="J3" s="49"/>
      <c r="K3" s="49"/>
      <c r="L3" s="49"/>
      <c r="M3" s="40"/>
      <c r="N3" s="40"/>
      <c r="O3" s="40"/>
      <c r="R3" s="33"/>
    </row>
    <row r="4" spans="1:18" customFormat="1" ht="25" customHeight="1" thickTop="1" x14ac:dyDescent="0.3">
      <c r="B4" s="50"/>
      <c r="C4" s="50"/>
      <c r="D4" s="51"/>
      <c r="E4" s="52"/>
      <c r="F4" s="52"/>
      <c r="G4" s="53"/>
      <c r="H4" s="113"/>
      <c r="I4" s="113"/>
      <c r="J4" s="54"/>
      <c r="K4" s="55"/>
      <c r="L4" s="187" t="str">
        <f>POMOC!B5</f>
        <v>Notowania 17 - 23.08.2026 / Tydzień 33</v>
      </c>
      <c r="M4" s="56"/>
      <c r="N4" s="40"/>
      <c r="Q4" s="33"/>
    </row>
    <row r="5" spans="1:18" ht="40" customHeight="1" thickBot="1" x14ac:dyDescent="0.4">
      <c r="B5" s="591" t="s">
        <v>512</v>
      </c>
      <c r="C5" s="592" t="s">
        <v>577</v>
      </c>
      <c r="D5" s="121" t="s">
        <v>571</v>
      </c>
      <c r="E5" s="111" t="s">
        <v>572</v>
      </c>
      <c r="F5" s="117" t="s">
        <v>573</v>
      </c>
      <c r="G5" s="593" t="s">
        <v>574</v>
      </c>
      <c r="H5" s="594"/>
    </row>
    <row r="6" spans="1:18" ht="16" thickBot="1" x14ac:dyDescent="0.4">
      <c r="B6" s="595"/>
      <c r="C6" s="596"/>
      <c r="D6" s="107"/>
      <c r="E6" s="118"/>
      <c r="F6" s="119"/>
      <c r="G6" s="597" t="s">
        <v>575</v>
      </c>
      <c r="H6" s="598" t="s">
        <v>576</v>
      </c>
    </row>
    <row r="7" spans="1:18" x14ac:dyDescent="0.35">
      <c r="B7" s="599" t="s">
        <v>31</v>
      </c>
      <c r="C7" s="600" t="s">
        <v>578</v>
      </c>
      <c r="D7" s="107">
        <v>70.643756734253003</v>
      </c>
      <c r="E7" s="118">
        <v>69.444519398289799</v>
      </c>
      <c r="F7" s="119">
        <v>84.439853236331203</v>
      </c>
      <c r="G7" s="601">
        <v>1.7268998998829801</v>
      </c>
      <c r="H7" s="602">
        <v>-16.338371010031899</v>
      </c>
    </row>
    <row r="8" spans="1:18" x14ac:dyDescent="0.35">
      <c r="B8" s="599"/>
      <c r="C8" s="600" t="s">
        <v>579</v>
      </c>
      <c r="D8" s="107">
        <v>70.495277636427701</v>
      </c>
      <c r="E8" s="118">
        <v>69.4393117385425</v>
      </c>
      <c r="F8" s="119">
        <v>83.219874568383702</v>
      </c>
      <c r="G8" s="601">
        <v>1.52070328960232</v>
      </c>
      <c r="H8" s="602">
        <v>-15.290334187538299</v>
      </c>
    </row>
    <row r="9" spans="1:18" x14ac:dyDescent="0.35">
      <c r="B9" s="599" t="s">
        <v>342</v>
      </c>
      <c r="C9" s="600" t="s">
        <v>578</v>
      </c>
      <c r="D9" s="107">
        <v>1826.1201339285701</v>
      </c>
      <c r="E9" s="118">
        <v>1817.49825162201</v>
      </c>
      <c r="F9" s="119">
        <v>934.12330646287899</v>
      </c>
      <c r="G9" s="601">
        <v>0.47438187623404099</v>
      </c>
      <c r="H9" s="602">
        <v>95.490265716985306</v>
      </c>
    </row>
    <row r="10" spans="1:18" x14ac:dyDescent="0.35">
      <c r="B10" s="599"/>
      <c r="C10" s="600" t="s">
        <v>580</v>
      </c>
      <c r="D10" s="107">
        <v>1858.5518838789401</v>
      </c>
      <c r="E10" s="118">
        <v>1694.08431703204</v>
      </c>
      <c r="F10" s="119" t="s">
        <v>261</v>
      </c>
      <c r="G10" s="601">
        <v>9.7083459892384205</v>
      </c>
      <c r="H10" s="602" t="s">
        <v>457</v>
      </c>
    </row>
    <row r="11" spans="1:18" x14ac:dyDescent="0.35">
      <c r="B11" s="599" t="s">
        <v>88</v>
      </c>
      <c r="C11" s="600" t="s">
        <v>578</v>
      </c>
      <c r="D11" s="107">
        <v>354.68620287086401</v>
      </c>
      <c r="E11" s="118">
        <v>355.52831022961402</v>
      </c>
      <c r="F11" s="119">
        <v>394.92636441185903</v>
      </c>
      <c r="G11" s="601">
        <v>-0.23686084469805099</v>
      </c>
      <c r="H11" s="602">
        <v>-10.189282146539499</v>
      </c>
    </row>
    <row r="12" spans="1:18" x14ac:dyDescent="0.35">
      <c r="B12" s="599"/>
      <c r="C12" s="600" t="s">
        <v>579</v>
      </c>
      <c r="D12" s="107">
        <v>329.03772911329401</v>
      </c>
      <c r="E12" s="118">
        <v>318.37974902219298</v>
      </c>
      <c r="F12" s="119">
        <v>350.741169558585</v>
      </c>
      <c r="G12" s="601">
        <v>3.3475684693620398</v>
      </c>
      <c r="H12" s="602">
        <v>-6.1878793620394896</v>
      </c>
    </row>
    <row r="13" spans="1:18" x14ac:dyDescent="0.35">
      <c r="B13" s="599"/>
      <c r="C13" s="600" t="s">
        <v>580</v>
      </c>
      <c r="D13" s="107">
        <v>513.41365103104499</v>
      </c>
      <c r="E13" s="118">
        <v>482.14342290105299</v>
      </c>
      <c r="F13" s="119" t="s">
        <v>261</v>
      </c>
      <c r="G13" s="601">
        <v>6.4856693350372598</v>
      </c>
      <c r="H13" s="602" t="s">
        <v>457</v>
      </c>
    </row>
    <row r="14" spans="1:18" ht="20.149999999999999" customHeight="1" x14ac:dyDescent="0.35">
      <c r="B14" s="599" t="s">
        <v>581</v>
      </c>
      <c r="C14" s="600" t="s">
        <v>578</v>
      </c>
      <c r="D14" s="107">
        <v>400.74592392255499</v>
      </c>
      <c r="E14" s="118" t="s">
        <v>261</v>
      </c>
      <c r="F14" s="119" t="s">
        <v>261</v>
      </c>
      <c r="G14" s="601" t="s">
        <v>457</v>
      </c>
      <c r="H14" s="602" t="s">
        <v>457</v>
      </c>
    </row>
    <row r="15" spans="1:18" ht="20.149999999999999" customHeight="1" x14ac:dyDescent="0.35">
      <c r="B15" s="599"/>
      <c r="C15" s="600" t="s">
        <v>579</v>
      </c>
      <c r="D15" s="107">
        <v>409.38720118022502</v>
      </c>
      <c r="E15" s="118" t="s">
        <v>270</v>
      </c>
      <c r="F15" s="579" t="s">
        <v>270</v>
      </c>
      <c r="G15" s="601" t="s">
        <v>457</v>
      </c>
      <c r="H15" s="602" t="s">
        <v>457</v>
      </c>
    </row>
    <row r="16" spans="1:18" ht="20.149999999999999" customHeight="1" x14ac:dyDescent="0.35"/>
    <row r="17" ht="20.149999999999999" customHeight="1" x14ac:dyDescent="0.35"/>
    <row r="18" ht="20.149999999999999" customHeight="1" x14ac:dyDescent="0.35"/>
    <row r="19" ht="20.149999999999999" customHeight="1" x14ac:dyDescent="0.35"/>
    <row r="20" ht="20.149999999999999" customHeight="1" x14ac:dyDescent="0.35"/>
    <row r="21" ht="20.149999999999999" customHeight="1" x14ac:dyDescent="0.35"/>
    <row r="22" ht="20.149999999999999" customHeight="1" x14ac:dyDescent="0.35"/>
    <row r="23" ht="20.149999999999999" customHeight="1" x14ac:dyDescent="0.35"/>
    <row r="24" ht="20.149999999999999" customHeight="1" x14ac:dyDescent="0.35"/>
    <row r="25" ht="20.149999999999999" customHeight="1" x14ac:dyDescent="0.35"/>
    <row r="26" ht="20.149999999999999" customHeight="1" x14ac:dyDescent="0.35"/>
    <row r="27" ht="20.149999999999999" customHeight="1" x14ac:dyDescent="0.35"/>
    <row r="28" ht="20.149999999999999" customHeight="1" x14ac:dyDescent="0.35"/>
    <row r="29" ht="20.149999999999999" customHeight="1" x14ac:dyDescent="0.35"/>
    <row r="30" ht="20.149999999999999" customHeight="1" x14ac:dyDescent="0.35"/>
    <row r="31" ht="20.149999999999999" customHeight="1" x14ac:dyDescent="0.35"/>
    <row r="32" ht="20.149999999999999" customHeight="1" x14ac:dyDescent="0.35"/>
    <row r="33" ht="20.149999999999999" customHeight="1" x14ac:dyDescent="0.35"/>
    <row r="34" ht="20.149999999999999" customHeight="1" x14ac:dyDescent="0.35"/>
    <row r="35" ht="20.149999999999999" customHeight="1" x14ac:dyDescent="0.35"/>
    <row r="36" ht="20.149999999999999" customHeight="1" x14ac:dyDescent="0.35"/>
    <row r="37" ht="20.149999999999999" customHeight="1" x14ac:dyDescent="0.35"/>
    <row r="38" ht="20.149999999999999" customHeight="1" x14ac:dyDescent="0.35"/>
    <row r="39" ht="20.149999999999999" customHeight="1" x14ac:dyDescent="0.35"/>
    <row r="40" ht="20.149999999999999" customHeight="1" x14ac:dyDescent="0.35"/>
    <row r="41" ht="20.149999999999999" customHeight="1" x14ac:dyDescent="0.35"/>
    <row r="42" ht="20.149999999999999" customHeight="1" x14ac:dyDescent="0.35"/>
    <row r="43" ht="20.149999999999999" customHeight="1" x14ac:dyDescent="0.35"/>
    <row r="44" ht="20.149999999999999" customHeight="1" x14ac:dyDescent="0.35"/>
    <row r="45" ht="20.149999999999999" customHeight="1" x14ac:dyDescent="0.35"/>
    <row r="46" ht="20.149999999999999" customHeight="1" x14ac:dyDescent="0.35"/>
    <row r="47" ht="20.149999999999999" customHeight="1" x14ac:dyDescent="0.35"/>
    <row r="48" ht="20.149999999999999" customHeight="1" x14ac:dyDescent="0.35"/>
    <row r="49" ht="20.149999999999999" customHeight="1" x14ac:dyDescent="0.35"/>
    <row r="50" ht="20.149999999999999" customHeight="1" x14ac:dyDescent="0.35"/>
    <row r="51" ht="20.149999999999999" customHeight="1" x14ac:dyDescent="0.35"/>
    <row r="52" ht="20.149999999999999" customHeight="1" x14ac:dyDescent="0.35"/>
    <row r="53" ht="20.149999999999999" customHeight="1" x14ac:dyDescent="0.35"/>
    <row r="54" ht="20.149999999999999" customHeight="1" x14ac:dyDescent="0.35"/>
    <row r="55" ht="20.149999999999999" customHeight="1" x14ac:dyDescent="0.35"/>
    <row r="56" ht="20.149999999999999" customHeight="1" x14ac:dyDescent="0.35"/>
    <row r="57" ht="20.149999999999999" customHeight="1" x14ac:dyDescent="0.35"/>
    <row r="58" ht="20.149999999999999" customHeight="1" x14ac:dyDescent="0.35"/>
    <row r="59" ht="20.149999999999999" customHeight="1" x14ac:dyDescent="0.35"/>
    <row r="60" ht="20.149999999999999" customHeight="1" x14ac:dyDescent="0.35"/>
    <row r="61" ht="20.149999999999999" customHeight="1" x14ac:dyDescent="0.35"/>
    <row r="62" ht="20.149999999999999" customHeight="1" x14ac:dyDescent="0.35"/>
    <row r="63" ht="20.149999999999999" customHeight="1" x14ac:dyDescent="0.35"/>
  </sheetData>
  <mergeCells count="7">
    <mergeCell ref="B7:B8"/>
    <mergeCell ref="B9:B10"/>
    <mergeCell ref="B11:B13"/>
    <mergeCell ref="B14:B15"/>
    <mergeCell ref="B5:B6"/>
    <mergeCell ref="C5:C6"/>
    <mergeCell ref="G5:H5"/>
  </mergeCells>
  <conditionalFormatting sqref="F6:F15">
    <cfRule type="cellIs" dxfId="262" priority="130" stopIfTrue="1" operator="equal">
      <formula>"-"</formula>
    </cfRule>
    <cfRule type="cellIs" dxfId="261" priority="131" operator="greaterThan">
      <formula>0</formula>
    </cfRule>
    <cfRule type="cellIs" dxfId="260" priority="132" operator="lessThan">
      <formula>0</formula>
    </cfRule>
  </conditionalFormatting>
  <conditionalFormatting sqref="G15:H15">
    <cfRule type="cellIs" dxfId="259" priority="1" stopIfTrue="1" operator="equal">
      <formula>"-"</formula>
    </cfRule>
    <cfRule type="cellIs" dxfId="258" priority="2" operator="lessThan">
      <formula>0</formula>
    </cfRule>
    <cfRule type="cellIs" dxfId="257" priority="3" operator="greaterThan">
      <formula>0</formula>
    </cfRule>
  </conditionalFormatting>
  <conditionalFormatting sqref="G7:H7">
    <cfRule type="cellIs" dxfId="256" priority="22" stopIfTrue="1" operator="equal">
      <formula>"-"</formula>
    </cfRule>
    <cfRule type="cellIs" dxfId="255" priority="23" operator="lessThan">
      <formula>0</formula>
    </cfRule>
    <cfRule type="cellIs" dxfId="254" priority="24" operator="greaterThan">
      <formula>0</formula>
    </cfRule>
  </conditionalFormatting>
  <conditionalFormatting sqref="G8:H8">
    <cfRule type="cellIs" dxfId="253" priority="25" stopIfTrue="1" operator="equal">
      <formula>"-"</formula>
    </cfRule>
    <cfRule type="cellIs" dxfId="252" priority="26" operator="lessThan">
      <formula>0</formula>
    </cfRule>
    <cfRule type="cellIs" dxfId="251" priority="27" operator="greaterThan">
      <formula>0</formula>
    </cfRule>
  </conditionalFormatting>
  <conditionalFormatting sqref="G9:H9">
    <cfRule type="cellIs" dxfId="250" priority="52" stopIfTrue="1" operator="equal">
      <formula>"-"</formula>
    </cfRule>
    <cfRule type="cellIs" dxfId="249" priority="53" operator="lessThan">
      <formula>0</formula>
    </cfRule>
    <cfRule type="cellIs" dxfId="248" priority="54" operator="greaterThan">
      <formula>0</formula>
    </cfRule>
  </conditionalFormatting>
  <conditionalFormatting sqref="G10:H10">
    <cfRule type="cellIs" dxfId="247" priority="61" stopIfTrue="1" operator="equal">
      <formula>"-"</formula>
    </cfRule>
    <cfRule type="cellIs" dxfId="246" priority="62" operator="lessThan">
      <formula>0</formula>
    </cfRule>
    <cfRule type="cellIs" dxfId="245" priority="63" operator="greaterThan">
      <formula>0</formula>
    </cfRule>
  </conditionalFormatting>
  <conditionalFormatting sqref="G11:H11">
    <cfRule type="cellIs" dxfId="244" priority="67" stopIfTrue="1" operator="equal">
      <formula>"-"</formula>
    </cfRule>
    <cfRule type="cellIs" dxfId="243" priority="68" operator="lessThan">
      <formula>0</formula>
    </cfRule>
    <cfRule type="cellIs" dxfId="242" priority="69" operator="greaterThan">
      <formula>0</formula>
    </cfRule>
  </conditionalFormatting>
  <conditionalFormatting sqref="G12:H12">
    <cfRule type="cellIs" dxfId="241" priority="70" stopIfTrue="1" operator="equal">
      <formula>"-"</formula>
    </cfRule>
    <cfRule type="cellIs" dxfId="240" priority="71" operator="lessThan">
      <formula>0</formula>
    </cfRule>
    <cfRule type="cellIs" dxfId="239" priority="72" operator="greaterThan">
      <formula>0</formula>
    </cfRule>
  </conditionalFormatting>
  <conditionalFormatting sqref="G13:H13">
    <cfRule type="cellIs" dxfId="238" priority="76" stopIfTrue="1" operator="equal">
      <formula>"-"</formula>
    </cfRule>
    <cfRule type="cellIs" dxfId="237" priority="77" operator="lessThan">
      <formula>0</formula>
    </cfRule>
    <cfRule type="cellIs" dxfId="236" priority="78" operator="greaterThan">
      <formula>0</formula>
    </cfRule>
  </conditionalFormatting>
  <conditionalFormatting sqref="G14:H14">
    <cfRule type="cellIs" dxfId="223" priority="16" stopIfTrue="1" operator="equal">
      <formula>"-"</formula>
    </cfRule>
    <cfRule type="cellIs" dxfId="222" priority="17" operator="lessThan">
      <formula>0</formula>
    </cfRule>
    <cfRule type="cellIs" dxfId="221" priority="18" operator="greaterThan">
      <formula>0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BDD7EE"/>
    <pageSetUpPr fitToPage="1"/>
  </sheetPr>
  <dimension ref="B1:P12"/>
  <sheetViews>
    <sheetView showGridLines="0" workbookViewId="0">
      <selection activeCell="C13" sqref="C13"/>
    </sheetView>
  </sheetViews>
  <sheetFormatPr defaultColWidth="9.1796875" defaultRowHeight="20" customHeight="1" x14ac:dyDescent="0.25"/>
  <cols>
    <col min="1" max="1" width="9.1796875" style="603" customWidth="1"/>
    <col min="2" max="2" width="30.7265625" style="603" customWidth="1"/>
    <col min="3" max="7" width="10.7265625" style="603" customWidth="1"/>
    <col min="8" max="8" width="9.1796875" style="603" customWidth="1"/>
    <col min="9" max="16384" width="9.1796875" style="603"/>
  </cols>
  <sheetData>
    <row r="1" spans="2:16" ht="25" customHeight="1" x14ac:dyDescent="0.25"/>
    <row r="2" spans="2:16" ht="25" customHeight="1" x14ac:dyDescent="0.25">
      <c r="B2" s="604" t="s">
        <v>601</v>
      </c>
    </row>
    <row r="3" spans="2:16" ht="25" customHeight="1" thickBot="1" x14ac:dyDescent="0.3">
      <c r="B3" s="605" t="s">
        <v>302</v>
      </c>
      <c r="C3" s="606"/>
      <c r="D3" s="606"/>
      <c r="E3" s="606"/>
      <c r="F3" s="606"/>
      <c r="G3" s="606"/>
      <c r="H3" s="606"/>
      <c r="I3" s="606"/>
      <c r="J3" s="606"/>
      <c r="K3" s="606"/>
      <c r="L3" s="606"/>
      <c r="M3" s="606"/>
      <c r="N3" s="606"/>
      <c r="O3" s="606"/>
      <c r="P3" s="606"/>
    </row>
    <row r="4" spans="2:16" ht="25" customHeight="1" thickTop="1" x14ac:dyDescent="0.25"/>
    <row r="5" spans="2:16" ht="20" customHeight="1" x14ac:dyDescent="0.25">
      <c r="B5" s="608" t="s">
        <v>512</v>
      </c>
      <c r="C5" s="609" t="s">
        <v>571</v>
      </c>
      <c r="D5" s="609" t="s">
        <v>572</v>
      </c>
      <c r="E5" s="609" t="s">
        <v>573</v>
      </c>
      <c r="F5" s="610" t="s">
        <v>574</v>
      </c>
      <c r="G5" s="611"/>
    </row>
    <row r="6" spans="2:16" ht="40" customHeight="1" thickBot="1" x14ac:dyDescent="0.3">
      <c r="B6" s="612"/>
      <c r="C6" s="613"/>
      <c r="D6" s="613"/>
      <c r="E6" s="613"/>
      <c r="F6" s="614" t="s">
        <v>575</v>
      </c>
      <c r="G6" s="615" t="s">
        <v>576</v>
      </c>
    </row>
    <row r="7" spans="2:16" ht="20" customHeight="1" x14ac:dyDescent="0.35">
      <c r="B7" s="616" t="s">
        <v>287</v>
      </c>
      <c r="C7" s="617">
        <v>111.840449511777</v>
      </c>
      <c r="D7" s="618">
        <v>126.694249069094</v>
      </c>
      <c r="E7" s="618" t="s">
        <v>261</v>
      </c>
      <c r="F7" s="619">
        <v>-11.7241308634432</v>
      </c>
      <c r="G7" s="620" t="s">
        <v>457</v>
      </c>
    </row>
    <row r="8" spans="2:16" ht="20" customHeight="1" x14ac:dyDescent="0.35">
      <c r="B8" s="616" t="s">
        <v>6</v>
      </c>
      <c r="C8" s="617" t="s">
        <v>270</v>
      </c>
      <c r="D8" s="618">
        <v>90.335370890467502</v>
      </c>
      <c r="E8" s="618" t="s">
        <v>261</v>
      </c>
      <c r="F8" s="619" t="s">
        <v>457</v>
      </c>
      <c r="G8" s="620" t="s">
        <v>457</v>
      </c>
    </row>
    <row r="9" spans="2:16" ht="20" customHeight="1" x14ac:dyDescent="0.35">
      <c r="B9" s="616" t="s">
        <v>602</v>
      </c>
      <c r="C9" s="617">
        <v>297.46394912036197</v>
      </c>
      <c r="D9" s="618">
        <v>293.98012433977402</v>
      </c>
      <c r="E9" s="618">
        <v>370.33679111701298</v>
      </c>
      <c r="F9" s="619">
        <v>1.1850545299319</v>
      </c>
      <c r="G9" s="620">
        <v>-19.677451375233701</v>
      </c>
    </row>
    <row r="10" spans="2:16" ht="20" customHeight="1" x14ac:dyDescent="0.35">
      <c r="B10" s="616" t="s">
        <v>453</v>
      </c>
      <c r="C10" s="617">
        <v>329.54628672813999</v>
      </c>
      <c r="D10" s="618">
        <v>312.331382157522</v>
      </c>
      <c r="E10" s="618" t="s">
        <v>261</v>
      </c>
      <c r="F10" s="619">
        <v>5.51174347313464</v>
      </c>
      <c r="G10" s="620" t="s">
        <v>457</v>
      </c>
    </row>
    <row r="11" spans="2:16" ht="20" customHeight="1" x14ac:dyDescent="0.35">
      <c r="B11" s="616" t="s">
        <v>603</v>
      </c>
      <c r="C11" s="617">
        <v>139.54278236786001</v>
      </c>
      <c r="D11" s="618">
        <v>139.659004812738</v>
      </c>
      <c r="E11" s="618">
        <v>205.76149424013599</v>
      </c>
      <c r="F11" s="619">
        <v>-8.3218726235480198E-2</v>
      </c>
      <c r="G11" s="620">
        <v>-32.182266228585299</v>
      </c>
    </row>
    <row r="12" spans="2:16" ht="20" customHeight="1" x14ac:dyDescent="0.35">
      <c r="B12" s="616" t="s">
        <v>454</v>
      </c>
      <c r="C12" s="617" t="s">
        <v>261</v>
      </c>
      <c r="D12" s="618">
        <v>74.670554382426204</v>
      </c>
      <c r="E12" s="618" t="s">
        <v>261</v>
      </c>
      <c r="F12" s="619" t="s">
        <v>457</v>
      </c>
      <c r="G12" s="620" t="s">
        <v>457</v>
      </c>
    </row>
  </sheetData>
  <mergeCells count="5">
    <mergeCell ref="B5:B6"/>
    <mergeCell ref="C5:C6"/>
    <mergeCell ref="D5:D6"/>
    <mergeCell ref="E5:E6"/>
    <mergeCell ref="F5:G5"/>
  </mergeCells>
  <conditionalFormatting sqref="F7:G7">
    <cfRule type="cellIs" dxfId="220" priority="7" stopIfTrue="1" operator="equal">
      <formula>"-"</formula>
    </cfRule>
    <cfRule type="cellIs" dxfId="219" priority="8" operator="lessThan">
      <formula>0</formula>
    </cfRule>
    <cfRule type="cellIs" dxfId="218" priority="9" operator="greaterThan">
      <formula>0</formula>
    </cfRule>
  </conditionalFormatting>
  <conditionalFormatting sqref="F8:G8">
    <cfRule type="cellIs" dxfId="217" priority="13" stopIfTrue="1" operator="equal">
      <formula>"-"</formula>
    </cfRule>
    <cfRule type="cellIs" dxfId="216" priority="14" operator="lessThan">
      <formula>0</formula>
    </cfRule>
    <cfRule type="cellIs" dxfId="215" priority="15" operator="greaterThan">
      <formula>0</formula>
    </cfRule>
  </conditionalFormatting>
  <conditionalFormatting sqref="F9:G9">
    <cfRule type="cellIs" dxfId="214" priority="16" stopIfTrue="1" operator="equal">
      <formula>"-"</formula>
    </cfRule>
    <cfRule type="cellIs" dxfId="213" priority="17" operator="lessThan">
      <formula>0</formula>
    </cfRule>
    <cfRule type="cellIs" dxfId="212" priority="18" operator="greaterThan">
      <formula>0</formula>
    </cfRule>
  </conditionalFormatting>
  <conditionalFormatting sqref="F10:G10">
    <cfRule type="cellIs" dxfId="211" priority="22" stopIfTrue="1" operator="equal">
      <formula>"-"</formula>
    </cfRule>
    <cfRule type="cellIs" dxfId="210" priority="23" operator="lessThan">
      <formula>0</formula>
    </cfRule>
    <cfRule type="cellIs" dxfId="209" priority="24" operator="greaterThan">
      <formula>0</formula>
    </cfRule>
  </conditionalFormatting>
  <conditionalFormatting sqref="F11:G11">
    <cfRule type="cellIs" dxfId="208" priority="25" stopIfTrue="1" operator="equal">
      <formula>"-"</formula>
    </cfRule>
    <cfRule type="cellIs" dxfId="207" priority="26" operator="lessThan">
      <formula>0</formula>
    </cfRule>
    <cfRule type="cellIs" dxfId="206" priority="27" operator="greaterThan">
      <formula>0</formula>
    </cfRule>
  </conditionalFormatting>
  <conditionalFormatting sqref="F12:G12">
    <cfRule type="cellIs" dxfId="205" priority="28" stopIfTrue="1" operator="equal">
      <formula>"-"</formula>
    </cfRule>
    <cfRule type="cellIs" dxfId="204" priority="29" operator="lessThan">
      <formula>0</formula>
    </cfRule>
    <cfRule type="cellIs" dxfId="203" priority="30" operator="greaterThan">
      <formula>0</formula>
    </cfRule>
  </conditionalFormatting>
  <pageMargins left="0.75" right="0.75" top="0.75" bottom="0.5" header="0.5" footer="0.75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E699"/>
    <pageSetUpPr fitToPage="1"/>
  </sheetPr>
  <dimension ref="B1:P39"/>
  <sheetViews>
    <sheetView showGridLines="0" workbookViewId="0">
      <selection activeCell="L7" sqref="L7"/>
    </sheetView>
  </sheetViews>
  <sheetFormatPr defaultColWidth="9.1796875" defaultRowHeight="20" customHeight="1" x14ac:dyDescent="0.25"/>
  <cols>
    <col min="1" max="1" width="9.1796875" style="603" customWidth="1"/>
    <col min="2" max="2" width="30.7265625" style="603" customWidth="1"/>
    <col min="3" max="7" width="10.7265625" style="603" customWidth="1"/>
    <col min="8" max="8" width="9.1796875" style="603" customWidth="1"/>
    <col min="9" max="16384" width="9.1796875" style="603"/>
  </cols>
  <sheetData>
    <row r="1" spans="2:16" ht="25" customHeight="1" x14ac:dyDescent="0.25"/>
    <row r="2" spans="2:16" ht="25" customHeight="1" x14ac:dyDescent="0.25">
      <c r="B2" s="604" t="s">
        <v>582</v>
      </c>
    </row>
    <row r="3" spans="2:16" ht="25" customHeight="1" thickBot="1" x14ac:dyDescent="0.3">
      <c r="B3" s="605" t="s">
        <v>302</v>
      </c>
      <c r="C3" s="606"/>
      <c r="D3" s="606"/>
      <c r="E3" s="606"/>
      <c r="F3" s="606"/>
      <c r="G3" s="606"/>
      <c r="H3" s="606"/>
      <c r="I3" s="606"/>
      <c r="J3" s="606"/>
      <c r="K3" s="606"/>
      <c r="L3" s="606"/>
      <c r="M3" s="606"/>
      <c r="N3" s="606"/>
      <c r="O3" s="606"/>
      <c r="P3" s="606"/>
    </row>
    <row r="4" spans="2:16" ht="25" customHeight="1" thickTop="1" x14ac:dyDescent="0.25"/>
    <row r="5" spans="2:16" ht="20" customHeight="1" x14ac:dyDescent="0.25">
      <c r="B5" s="607" t="s">
        <v>286</v>
      </c>
    </row>
    <row r="6" spans="2:16" ht="20" customHeight="1" x14ac:dyDescent="0.25">
      <c r="B6" s="608" t="s">
        <v>301</v>
      </c>
      <c r="C6" s="609" t="s">
        <v>571</v>
      </c>
      <c r="D6" s="609" t="s">
        <v>572</v>
      </c>
      <c r="E6" s="609" t="s">
        <v>573</v>
      </c>
      <c r="F6" s="610" t="s">
        <v>574</v>
      </c>
      <c r="G6" s="611"/>
    </row>
    <row r="7" spans="2:16" ht="40" customHeight="1" thickBot="1" x14ac:dyDescent="0.3">
      <c r="B7" s="612"/>
      <c r="C7" s="613"/>
      <c r="D7" s="613"/>
      <c r="E7" s="613"/>
      <c r="F7" s="614" t="s">
        <v>575</v>
      </c>
      <c r="G7" s="615" t="s">
        <v>576</v>
      </c>
    </row>
    <row r="8" spans="2:16" ht="20" customHeight="1" x14ac:dyDescent="0.35">
      <c r="B8" s="616" t="s">
        <v>277</v>
      </c>
      <c r="C8" s="617">
        <v>297.548431019411</v>
      </c>
      <c r="D8" s="618">
        <v>314.40844673991103</v>
      </c>
      <c r="E8" s="618">
        <v>490.11419335021901</v>
      </c>
      <c r="F8" s="619">
        <v>-5.3624563510683796</v>
      </c>
      <c r="G8" s="620">
        <v>-39.289978732202698</v>
      </c>
    </row>
    <row r="9" spans="2:16" ht="20" customHeight="1" x14ac:dyDescent="0.35">
      <c r="B9" s="616" t="s">
        <v>188</v>
      </c>
      <c r="C9" s="617">
        <v>377.03061415551798</v>
      </c>
      <c r="D9" s="618">
        <v>367.09928474339699</v>
      </c>
      <c r="E9" s="618" t="s">
        <v>261</v>
      </c>
      <c r="F9" s="619">
        <v>2.7053524277671301</v>
      </c>
      <c r="G9" s="620" t="s">
        <v>457</v>
      </c>
    </row>
    <row r="10" spans="2:16" ht="20" customHeight="1" x14ac:dyDescent="0.35">
      <c r="B10" s="616" t="s">
        <v>189</v>
      </c>
      <c r="C10" s="617">
        <v>353.50394765748098</v>
      </c>
      <c r="D10" s="618">
        <v>348.909355560395</v>
      </c>
      <c r="E10" s="618">
        <v>510.365954905796</v>
      </c>
      <c r="F10" s="619">
        <v>1.3168440524349201</v>
      </c>
      <c r="G10" s="620">
        <v>-30.735202013478499</v>
      </c>
    </row>
    <row r="11" spans="2:16" ht="20" customHeight="1" x14ac:dyDescent="0.35">
      <c r="B11" s="616" t="s">
        <v>190</v>
      </c>
      <c r="C11" s="617">
        <v>343.32004872916502</v>
      </c>
      <c r="D11" s="618">
        <v>343.74974709302302</v>
      </c>
      <c r="E11" s="618">
        <v>477.38649214960202</v>
      </c>
      <c r="F11" s="619">
        <v>-0.12500325236354601</v>
      </c>
      <c r="G11" s="620">
        <v>-28.083417864790199</v>
      </c>
    </row>
    <row r="12" spans="2:16" ht="20" customHeight="1" x14ac:dyDescent="0.35">
      <c r="B12" s="616" t="s">
        <v>197</v>
      </c>
      <c r="C12" s="617">
        <v>275.82317178799002</v>
      </c>
      <c r="D12" s="618">
        <v>286.26126352492997</v>
      </c>
      <c r="E12" s="618">
        <v>491.29945587446701</v>
      </c>
      <c r="F12" s="619">
        <v>-3.64635145126126</v>
      </c>
      <c r="G12" s="620">
        <v>-43.858441427122898</v>
      </c>
    </row>
    <row r="13" spans="2:16" ht="20" customHeight="1" x14ac:dyDescent="0.35">
      <c r="B13" s="616" t="s">
        <v>168</v>
      </c>
      <c r="C13" s="617">
        <v>334.666029034953</v>
      </c>
      <c r="D13" s="618">
        <v>312.05518281172999</v>
      </c>
      <c r="E13" s="618">
        <v>506.15278430451099</v>
      </c>
      <c r="F13" s="619">
        <v>7.2457845498642897</v>
      </c>
      <c r="G13" s="620">
        <v>-33.880433060383702</v>
      </c>
    </row>
    <row r="14" spans="2:16" ht="20" customHeight="1" x14ac:dyDescent="0.35">
      <c r="B14" s="616" t="s">
        <v>583</v>
      </c>
      <c r="C14" s="617" t="s">
        <v>270</v>
      </c>
      <c r="D14" s="618" t="s">
        <v>270</v>
      </c>
      <c r="E14" s="618" t="s">
        <v>270</v>
      </c>
      <c r="F14" s="619" t="s">
        <v>457</v>
      </c>
      <c r="G14" s="620" t="s">
        <v>457</v>
      </c>
    </row>
    <row r="15" spans="2:16" ht="20" customHeight="1" x14ac:dyDescent="0.35">
      <c r="B15" s="616" t="s">
        <v>201</v>
      </c>
      <c r="C15" s="617" t="s">
        <v>270</v>
      </c>
      <c r="D15" s="618" t="s">
        <v>270</v>
      </c>
      <c r="E15" s="618" t="s">
        <v>270</v>
      </c>
      <c r="F15" s="619" t="s">
        <v>457</v>
      </c>
      <c r="G15" s="620" t="s">
        <v>457</v>
      </c>
    </row>
    <row r="16" spans="2:16" ht="20" customHeight="1" x14ac:dyDescent="0.35">
      <c r="B16" s="616" t="s">
        <v>584</v>
      </c>
      <c r="C16" s="617" t="s">
        <v>270</v>
      </c>
      <c r="D16" s="618" t="s">
        <v>270</v>
      </c>
      <c r="E16" s="618" t="s">
        <v>270</v>
      </c>
      <c r="F16" s="619" t="s">
        <v>457</v>
      </c>
      <c r="G16" s="620" t="s">
        <v>457</v>
      </c>
    </row>
    <row r="17" spans="2:7" ht="20" customHeight="1" x14ac:dyDescent="0.35">
      <c r="B17" s="616" t="s">
        <v>585</v>
      </c>
      <c r="C17" s="617" t="s">
        <v>270</v>
      </c>
      <c r="D17" s="618" t="s">
        <v>270</v>
      </c>
      <c r="E17" s="618" t="s">
        <v>270</v>
      </c>
      <c r="F17" s="619" t="s">
        <v>457</v>
      </c>
      <c r="G17" s="620" t="s">
        <v>457</v>
      </c>
    </row>
    <row r="18" spans="2:7" ht="20" customHeight="1" x14ac:dyDescent="0.35">
      <c r="B18" s="616" t="s">
        <v>200</v>
      </c>
      <c r="C18" s="617" t="s">
        <v>270</v>
      </c>
      <c r="D18" s="618" t="s">
        <v>270</v>
      </c>
      <c r="E18" s="618" t="s">
        <v>270</v>
      </c>
      <c r="F18" s="619" t="s">
        <v>457</v>
      </c>
      <c r="G18" s="620" t="s">
        <v>457</v>
      </c>
    </row>
    <row r="19" spans="2:7" ht="20" customHeight="1" x14ac:dyDescent="0.35">
      <c r="B19" s="616" t="s">
        <v>586</v>
      </c>
      <c r="C19" s="617" t="s">
        <v>270</v>
      </c>
      <c r="D19" s="618" t="s">
        <v>270</v>
      </c>
      <c r="E19" s="618" t="s">
        <v>270</v>
      </c>
      <c r="F19" s="619" t="s">
        <v>457</v>
      </c>
      <c r="G19" s="620" t="s">
        <v>457</v>
      </c>
    </row>
    <row r="20" spans="2:7" ht="20" customHeight="1" x14ac:dyDescent="0.35">
      <c r="B20" s="621" t="s">
        <v>169</v>
      </c>
      <c r="C20" s="622">
        <v>309.50568048779297</v>
      </c>
      <c r="D20" s="623">
        <v>322.61499444548502</v>
      </c>
      <c r="E20" s="623">
        <v>497.11175536139802</v>
      </c>
      <c r="F20" s="624">
        <v>-4.0634546389338304</v>
      </c>
      <c r="G20" s="625">
        <v>-37.739215146343902</v>
      </c>
    </row>
    <row r="22" spans="2:7" ht="20" customHeight="1" x14ac:dyDescent="0.25">
      <c r="B22" s="607" t="s">
        <v>279</v>
      </c>
    </row>
    <row r="23" spans="2:7" ht="20" customHeight="1" x14ac:dyDescent="0.25">
      <c r="B23" s="608" t="s">
        <v>301</v>
      </c>
      <c r="C23" s="609" t="s">
        <v>571</v>
      </c>
      <c r="D23" s="609" t="s">
        <v>572</v>
      </c>
      <c r="E23" s="609" t="s">
        <v>573</v>
      </c>
      <c r="F23" s="610" t="s">
        <v>574</v>
      </c>
      <c r="G23" s="611"/>
    </row>
    <row r="24" spans="2:7" ht="40" customHeight="1" thickBot="1" x14ac:dyDescent="0.3">
      <c r="B24" s="612"/>
      <c r="C24" s="613"/>
      <c r="D24" s="613"/>
      <c r="E24" s="613"/>
      <c r="F24" s="614" t="s">
        <v>575</v>
      </c>
      <c r="G24" s="615" t="s">
        <v>576</v>
      </c>
    </row>
    <row r="25" spans="2:7" ht="20" customHeight="1" x14ac:dyDescent="0.35">
      <c r="B25" s="616" t="s">
        <v>455</v>
      </c>
      <c r="C25" s="617" t="s">
        <v>261</v>
      </c>
      <c r="D25" s="618" t="s">
        <v>261</v>
      </c>
      <c r="E25" s="618" t="s">
        <v>270</v>
      </c>
      <c r="F25" s="619" t="s">
        <v>457</v>
      </c>
      <c r="G25" s="620" t="s">
        <v>457</v>
      </c>
    </row>
    <row r="26" spans="2:7" ht="20" customHeight="1" x14ac:dyDescent="0.35">
      <c r="B26" s="616" t="s">
        <v>587</v>
      </c>
      <c r="C26" s="617">
        <v>508.08633619045003</v>
      </c>
      <c r="D26" s="618">
        <v>463.50490239307902</v>
      </c>
      <c r="E26" s="618">
        <v>524.55594134656405</v>
      </c>
      <c r="F26" s="619">
        <v>9.6183305866231592</v>
      </c>
      <c r="G26" s="620">
        <v>-3.1397233084112699</v>
      </c>
    </row>
    <row r="27" spans="2:7" ht="20" customHeight="1" x14ac:dyDescent="0.35">
      <c r="B27" s="616" t="s">
        <v>588</v>
      </c>
      <c r="C27" s="617">
        <v>519.38688175258005</v>
      </c>
      <c r="D27" s="618">
        <v>452.48426764519701</v>
      </c>
      <c r="E27" s="618">
        <v>535.55278471636495</v>
      </c>
      <c r="F27" s="619">
        <v>14.7856221511424</v>
      </c>
      <c r="G27" s="620">
        <v>-3.0185452162939601</v>
      </c>
    </row>
    <row r="28" spans="2:7" ht="20" customHeight="1" x14ac:dyDescent="0.35">
      <c r="B28" s="616" t="s">
        <v>589</v>
      </c>
      <c r="C28" s="617" t="s">
        <v>261</v>
      </c>
      <c r="D28" s="618" t="s">
        <v>261</v>
      </c>
      <c r="E28" s="618" t="s">
        <v>261</v>
      </c>
      <c r="F28" s="619" t="s">
        <v>457</v>
      </c>
      <c r="G28" s="620" t="s">
        <v>457</v>
      </c>
    </row>
    <row r="29" spans="2:7" ht="20" customHeight="1" x14ac:dyDescent="0.35">
      <c r="B29" s="616" t="s">
        <v>590</v>
      </c>
      <c r="C29" s="617" t="s">
        <v>261</v>
      </c>
      <c r="D29" s="618" t="s">
        <v>261</v>
      </c>
      <c r="E29" s="618" t="s">
        <v>261</v>
      </c>
      <c r="F29" s="619" t="s">
        <v>457</v>
      </c>
      <c r="G29" s="620" t="s">
        <v>457</v>
      </c>
    </row>
    <row r="30" spans="2:7" ht="20" customHeight="1" x14ac:dyDescent="0.35">
      <c r="B30" s="616" t="s">
        <v>591</v>
      </c>
      <c r="C30" s="617" t="s">
        <v>270</v>
      </c>
      <c r="D30" s="618" t="s">
        <v>270</v>
      </c>
      <c r="E30" s="618" t="s">
        <v>270</v>
      </c>
      <c r="F30" s="619" t="s">
        <v>457</v>
      </c>
      <c r="G30" s="620" t="s">
        <v>457</v>
      </c>
    </row>
    <row r="31" spans="2:7" ht="20" customHeight="1" x14ac:dyDescent="0.35">
      <c r="B31" s="616" t="s">
        <v>592</v>
      </c>
      <c r="C31" s="617" t="s">
        <v>261</v>
      </c>
      <c r="D31" s="618" t="s">
        <v>261</v>
      </c>
      <c r="E31" s="618" t="s">
        <v>261</v>
      </c>
      <c r="F31" s="619" t="s">
        <v>457</v>
      </c>
      <c r="G31" s="620" t="s">
        <v>457</v>
      </c>
    </row>
    <row r="32" spans="2:7" ht="20" customHeight="1" x14ac:dyDescent="0.35">
      <c r="B32" s="616" t="s">
        <v>593</v>
      </c>
      <c r="C32" s="617" t="s">
        <v>270</v>
      </c>
      <c r="D32" s="618" t="s">
        <v>270</v>
      </c>
      <c r="E32" s="618" t="s">
        <v>270</v>
      </c>
      <c r="F32" s="619" t="s">
        <v>457</v>
      </c>
      <c r="G32" s="620" t="s">
        <v>457</v>
      </c>
    </row>
    <row r="33" spans="2:7" ht="20" customHeight="1" x14ac:dyDescent="0.35">
      <c r="B33" s="616" t="s">
        <v>594</v>
      </c>
      <c r="C33" s="617" t="s">
        <v>261</v>
      </c>
      <c r="D33" s="618" t="s">
        <v>261</v>
      </c>
      <c r="E33" s="618" t="s">
        <v>261</v>
      </c>
      <c r="F33" s="619" t="s">
        <v>457</v>
      </c>
      <c r="G33" s="620" t="s">
        <v>457</v>
      </c>
    </row>
    <row r="34" spans="2:7" ht="20" customHeight="1" x14ac:dyDescent="0.35">
      <c r="B34" s="616" t="s">
        <v>595</v>
      </c>
      <c r="C34" s="617">
        <v>640.54356382749495</v>
      </c>
      <c r="D34" s="618">
        <v>622.06133400327803</v>
      </c>
      <c r="E34" s="618">
        <v>824.66524202337303</v>
      </c>
      <c r="F34" s="619">
        <v>2.9711266098593798</v>
      </c>
      <c r="G34" s="620">
        <v>-22.326838675063101</v>
      </c>
    </row>
    <row r="35" spans="2:7" ht="20" customHeight="1" x14ac:dyDescent="0.35">
      <c r="B35" s="616" t="s">
        <v>596</v>
      </c>
      <c r="C35" s="617">
        <v>860.85158759664205</v>
      </c>
      <c r="D35" s="618">
        <v>720.21216187481605</v>
      </c>
      <c r="E35" s="618" t="s">
        <v>261</v>
      </c>
      <c r="F35" s="619">
        <v>19.527499418466</v>
      </c>
      <c r="G35" s="620" t="s">
        <v>457</v>
      </c>
    </row>
    <row r="36" spans="2:7" ht="20" customHeight="1" x14ac:dyDescent="0.35">
      <c r="B36" s="616" t="s">
        <v>597</v>
      </c>
      <c r="C36" s="617">
        <v>663.28117857313498</v>
      </c>
      <c r="D36" s="618">
        <v>649.73998924298098</v>
      </c>
      <c r="E36" s="618">
        <v>817.67447378347799</v>
      </c>
      <c r="F36" s="619">
        <v>2.0840935688644699</v>
      </c>
      <c r="G36" s="620">
        <v>-18.8820001309258</v>
      </c>
    </row>
    <row r="37" spans="2:7" ht="20" customHeight="1" x14ac:dyDescent="0.35">
      <c r="B37" s="616" t="s">
        <v>598</v>
      </c>
      <c r="C37" s="617">
        <v>576.24762849065701</v>
      </c>
      <c r="D37" s="618">
        <v>577.85231221098297</v>
      </c>
      <c r="E37" s="618">
        <v>880.52710283034696</v>
      </c>
      <c r="F37" s="619">
        <v>-0.27769789726833799</v>
      </c>
      <c r="G37" s="620">
        <v>-34.556514315302898</v>
      </c>
    </row>
    <row r="38" spans="2:7" ht="20" customHeight="1" x14ac:dyDescent="0.35">
      <c r="B38" s="616" t="s">
        <v>599</v>
      </c>
      <c r="C38" s="617" t="s">
        <v>270</v>
      </c>
      <c r="D38" s="618" t="s">
        <v>270</v>
      </c>
      <c r="E38" s="618" t="s">
        <v>270</v>
      </c>
      <c r="F38" s="619" t="s">
        <v>457</v>
      </c>
      <c r="G38" s="620" t="s">
        <v>457</v>
      </c>
    </row>
    <row r="39" spans="2:7" ht="20" customHeight="1" x14ac:dyDescent="0.35">
      <c r="B39" s="621" t="s">
        <v>600</v>
      </c>
      <c r="C39" s="622">
        <v>584.70119533164802</v>
      </c>
      <c r="D39" s="623">
        <v>632.89743629372595</v>
      </c>
      <c r="E39" s="623">
        <v>875.339714529356</v>
      </c>
      <c r="F39" s="624">
        <v>-7.6151739915896499</v>
      </c>
      <c r="G39" s="625">
        <v>-33.2029398841998</v>
      </c>
    </row>
  </sheetData>
  <mergeCells count="10">
    <mergeCell ref="B6:B7"/>
    <mergeCell ref="C6:C7"/>
    <mergeCell ref="D6:D7"/>
    <mergeCell ref="E6:E7"/>
    <mergeCell ref="F6:G6"/>
    <mergeCell ref="B23:B24"/>
    <mergeCell ref="C23:C24"/>
    <mergeCell ref="D23:D24"/>
    <mergeCell ref="E23:E24"/>
    <mergeCell ref="F23:G23"/>
  </mergeCells>
  <conditionalFormatting sqref="F8:G8">
    <cfRule type="cellIs" dxfId="202" priority="1" stopIfTrue="1" operator="equal">
      <formula>"-"</formula>
    </cfRule>
    <cfRule type="cellIs" dxfId="201" priority="2" operator="lessThan">
      <formula>0</formula>
    </cfRule>
    <cfRule type="cellIs" dxfId="200" priority="3" operator="greaterThan">
      <formula>0</formula>
    </cfRule>
  </conditionalFormatting>
  <conditionalFormatting sqref="F9:G9">
    <cfRule type="cellIs" dxfId="199" priority="4" stopIfTrue="1" operator="equal">
      <formula>"-"</formula>
    </cfRule>
    <cfRule type="cellIs" dxfId="198" priority="5" operator="lessThan">
      <formula>0</formula>
    </cfRule>
    <cfRule type="cellIs" dxfId="197" priority="6" operator="greaterThan">
      <formula>0</formula>
    </cfRule>
  </conditionalFormatting>
  <conditionalFormatting sqref="F10:G10">
    <cfRule type="cellIs" dxfId="196" priority="7" stopIfTrue="1" operator="equal">
      <formula>"-"</formula>
    </cfRule>
    <cfRule type="cellIs" dxfId="195" priority="8" operator="lessThan">
      <formula>0</formula>
    </cfRule>
    <cfRule type="cellIs" dxfId="194" priority="9" operator="greaterThan">
      <formula>0</formula>
    </cfRule>
  </conditionalFormatting>
  <conditionalFormatting sqref="F11:G11">
    <cfRule type="cellIs" dxfId="193" priority="10" stopIfTrue="1" operator="equal">
      <formula>"-"</formula>
    </cfRule>
    <cfRule type="cellIs" dxfId="192" priority="11" operator="lessThan">
      <formula>0</formula>
    </cfRule>
    <cfRule type="cellIs" dxfId="191" priority="12" operator="greaterThan">
      <formula>0</formula>
    </cfRule>
  </conditionalFormatting>
  <conditionalFormatting sqref="F12:G12">
    <cfRule type="cellIs" dxfId="190" priority="13" stopIfTrue="1" operator="equal">
      <formula>"-"</formula>
    </cfRule>
    <cfRule type="cellIs" dxfId="189" priority="14" operator="lessThan">
      <formula>0</formula>
    </cfRule>
    <cfRule type="cellIs" dxfId="188" priority="15" operator="greaterThan">
      <formula>0</formula>
    </cfRule>
  </conditionalFormatting>
  <conditionalFormatting sqref="F13:G13">
    <cfRule type="cellIs" dxfId="187" priority="16" stopIfTrue="1" operator="equal">
      <formula>"-"</formula>
    </cfRule>
    <cfRule type="cellIs" dxfId="186" priority="17" operator="lessThan">
      <formula>0</formula>
    </cfRule>
    <cfRule type="cellIs" dxfId="185" priority="18" operator="greaterThan">
      <formula>0</formula>
    </cfRule>
  </conditionalFormatting>
  <conditionalFormatting sqref="F14:G14">
    <cfRule type="cellIs" dxfId="184" priority="19" stopIfTrue="1" operator="equal">
      <formula>"-"</formula>
    </cfRule>
    <cfRule type="cellIs" dxfId="183" priority="20" operator="lessThan">
      <formula>0</formula>
    </cfRule>
    <cfRule type="cellIs" dxfId="182" priority="21" operator="greaterThan">
      <formula>0</formula>
    </cfRule>
  </conditionalFormatting>
  <conditionalFormatting sqref="F15:G15">
    <cfRule type="cellIs" dxfId="181" priority="22" stopIfTrue="1" operator="equal">
      <formula>"-"</formula>
    </cfRule>
    <cfRule type="cellIs" dxfId="180" priority="23" operator="lessThan">
      <formula>0</formula>
    </cfRule>
    <cfRule type="cellIs" dxfId="179" priority="24" operator="greaterThan">
      <formula>0</formula>
    </cfRule>
  </conditionalFormatting>
  <conditionalFormatting sqref="F16:G16">
    <cfRule type="cellIs" dxfId="178" priority="25" stopIfTrue="1" operator="equal">
      <formula>"-"</formula>
    </cfRule>
    <cfRule type="cellIs" dxfId="177" priority="26" operator="lessThan">
      <formula>0</formula>
    </cfRule>
    <cfRule type="cellIs" dxfId="176" priority="27" operator="greaterThan">
      <formula>0</formula>
    </cfRule>
  </conditionalFormatting>
  <conditionalFormatting sqref="F17:G17">
    <cfRule type="cellIs" dxfId="175" priority="28" stopIfTrue="1" operator="equal">
      <formula>"-"</formula>
    </cfRule>
    <cfRule type="cellIs" dxfId="174" priority="29" operator="lessThan">
      <formula>0</formula>
    </cfRule>
    <cfRule type="cellIs" dxfId="173" priority="30" operator="greaterThan">
      <formula>0</formula>
    </cfRule>
  </conditionalFormatting>
  <conditionalFormatting sqref="F18:G18">
    <cfRule type="cellIs" dxfId="172" priority="31" stopIfTrue="1" operator="equal">
      <formula>"-"</formula>
    </cfRule>
    <cfRule type="cellIs" dxfId="171" priority="32" operator="lessThan">
      <formula>0</formula>
    </cfRule>
    <cfRule type="cellIs" dxfId="170" priority="33" operator="greaterThan">
      <formula>0</formula>
    </cfRule>
  </conditionalFormatting>
  <conditionalFormatting sqref="F19:G19">
    <cfRule type="cellIs" dxfId="169" priority="34" stopIfTrue="1" operator="equal">
      <formula>"-"</formula>
    </cfRule>
    <cfRule type="cellIs" dxfId="168" priority="35" operator="lessThan">
      <formula>0</formula>
    </cfRule>
    <cfRule type="cellIs" dxfId="167" priority="36" operator="greaterThan">
      <formula>0</formula>
    </cfRule>
  </conditionalFormatting>
  <conditionalFormatting sqref="F20:G20">
    <cfRule type="cellIs" dxfId="166" priority="37" stopIfTrue="1" operator="equal">
      <formula>"-"</formula>
    </cfRule>
    <cfRule type="cellIs" dxfId="165" priority="38" operator="lessThan">
      <formula>0</formula>
    </cfRule>
    <cfRule type="cellIs" dxfId="164" priority="39" operator="greaterThan">
      <formula>0</formula>
    </cfRule>
  </conditionalFormatting>
  <conditionalFormatting sqref="F25:G25">
    <cfRule type="cellIs" dxfId="163" priority="40" stopIfTrue="1" operator="equal">
      <formula>"-"</formula>
    </cfRule>
    <cfRule type="cellIs" dxfId="162" priority="41" operator="lessThan">
      <formula>0</formula>
    </cfRule>
    <cfRule type="cellIs" dxfId="161" priority="42" operator="greaterThan">
      <formula>0</formula>
    </cfRule>
  </conditionalFormatting>
  <conditionalFormatting sqref="F26:G26">
    <cfRule type="cellIs" dxfId="160" priority="43" stopIfTrue="1" operator="equal">
      <formula>"-"</formula>
    </cfRule>
    <cfRule type="cellIs" dxfId="159" priority="44" operator="lessThan">
      <formula>0</formula>
    </cfRule>
    <cfRule type="cellIs" dxfId="158" priority="45" operator="greaterThan">
      <formula>0</formula>
    </cfRule>
  </conditionalFormatting>
  <conditionalFormatting sqref="F27:G27">
    <cfRule type="cellIs" dxfId="157" priority="46" stopIfTrue="1" operator="equal">
      <formula>"-"</formula>
    </cfRule>
    <cfRule type="cellIs" dxfId="156" priority="47" operator="lessThan">
      <formula>0</formula>
    </cfRule>
    <cfRule type="cellIs" dxfId="155" priority="48" operator="greaterThan">
      <formula>0</formula>
    </cfRule>
  </conditionalFormatting>
  <conditionalFormatting sqref="F28:G28">
    <cfRule type="cellIs" dxfId="154" priority="49" stopIfTrue="1" operator="equal">
      <formula>"-"</formula>
    </cfRule>
    <cfRule type="cellIs" dxfId="153" priority="50" operator="lessThan">
      <formula>0</formula>
    </cfRule>
    <cfRule type="cellIs" dxfId="152" priority="51" operator="greaterThan">
      <formula>0</formula>
    </cfRule>
  </conditionalFormatting>
  <conditionalFormatting sqref="F29:G29">
    <cfRule type="cellIs" dxfId="151" priority="52" stopIfTrue="1" operator="equal">
      <formula>"-"</formula>
    </cfRule>
    <cfRule type="cellIs" dxfId="150" priority="53" operator="lessThan">
      <formula>0</formula>
    </cfRule>
    <cfRule type="cellIs" dxfId="149" priority="54" operator="greaterThan">
      <formula>0</formula>
    </cfRule>
  </conditionalFormatting>
  <conditionalFormatting sqref="F30:G30">
    <cfRule type="cellIs" dxfId="148" priority="55" stopIfTrue="1" operator="equal">
      <formula>"-"</formula>
    </cfRule>
    <cfRule type="cellIs" dxfId="147" priority="56" operator="lessThan">
      <formula>0</formula>
    </cfRule>
    <cfRule type="cellIs" dxfId="146" priority="57" operator="greaterThan">
      <formula>0</formula>
    </cfRule>
  </conditionalFormatting>
  <conditionalFormatting sqref="F31:G31">
    <cfRule type="cellIs" dxfId="145" priority="58" stopIfTrue="1" operator="equal">
      <formula>"-"</formula>
    </cfRule>
    <cfRule type="cellIs" dxfId="144" priority="59" operator="lessThan">
      <formula>0</formula>
    </cfRule>
    <cfRule type="cellIs" dxfId="143" priority="60" operator="greaterThan">
      <formula>0</formula>
    </cfRule>
  </conditionalFormatting>
  <conditionalFormatting sqref="F32:G32">
    <cfRule type="cellIs" dxfId="142" priority="61" stopIfTrue="1" operator="equal">
      <formula>"-"</formula>
    </cfRule>
    <cfRule type="cellIs" dxfId="141" priority="62" operator="lessThan">
      <formula>0</formula>
    </cfRule>
    <cfRule type="cellIs" dxfId="140" priority="63" operator="greaterThan">
      <formula>0</formula>
    </cfRule>
  </conditionalFormatting>
  <conditionalFormatting sqref="F33:G33">
    <cfRule type="cellIs" dxfId="139" priority="64" stopIfTrue="1" operator="equal">
      <formula>"-"</formula>
    </cfRule>
    <cfRule type="cellIs" dxfId="138" priority="65" operator="lessThan">
      <formula>0</formula>
    </cfRule>
    <cfRule type="cellIs" dxfId="137" priority="66" operator="greaterThan">
      <formula>0</formula>
    </cfRule>
  </conditionalFormatting>
  <conditionalFormatting sqref="F34:G34">
    <cfRule type="cellIs" dxfId="136" priority="67" stopIfTrue="1" operator="equal">
      <formula>"-"</formula>
    </cfRule>
    <cfRule type="cellIs" dxfId="135" priority="68" operator="lessThan">
      <formula>0</formula>
    </cfRule>
    <cfRule type="cellIs" dxfId="134" priority="69" operator="greaterThan">
      <formula>0</formula>
    </cfRule>
  </conditionalFormatting>
  <conditionalFormatting sqref="F35:G35">
    <cfRule type="cellIs" dxfId="133" priority="70" stopIfTrue="1" operator="equal">
      <formula>"-"</formula>
    </cfRule>
    <cfRule type="cellIs" dxfId="132" priority="71" operator="lessThan">
      <formula>0</formula>
    </cfRule>
    <cfRule type="cellIs" dxfId="131" priority="72" operator="greaterThan">
      <formula>0</formula>
    </cfRule>
  </conditionalFormatting>
  <conditionalFormatting sqref="F36:G36">
    <cfRule type="cellIs" dxfId="130" priority="73" stopIfTrue="1" operator="equal">
      <formula>"-"</formula>
    </cfRule>
    <cfRule type="cellIs" dxfId="129" priority="74" operator="lessThan">
      <formula>0</formula>
    </cfRule>
    <cfRule type="cellIs" dxfId="128" priority="75" operator="greaterThan">
      <formula>0</formula>
    </cfRule>
  </conditionalFormatting>
  <conditionalFormatting sqref="F37:G37">
    <cfRule type="cellIs" dxfId="127" priority="76" stopIfTrue="1" operator="equal">
      <formula>"-"</formula>
    </cfRule>
    <cfRule type="cellIs" dxfId="126" priority="77" operator="lessThan">
      <formula>0</formula>
    </cfRule>
    <cfRule type="cellIs" dxfId="125" priority="78" operator="greaterThan">
      <formula>0</formula>
    </cfRule>
  </conditionalFormatting>
  <conditionalFormatting sqref="F38:G38">
    <cfRule type="cellIs" dxfId="124" priority="79" stopIfTrue="1" operator="equal">
      <formula>"-"</formula>
    </cfRule>
    <cfRule type="cellIs" dxfId="123" priority="80" operator="lessThan">
      <formula>0</formula>
    </cfRule>
    <cfRule type="cellIs" dxfId="122" priority="81" operator="greaterThan">
      <formula>0</formula>
    </cfRule>
  </conditionalFormatting>
  <conditionalFormatting sqref="F39:G39">
    <cfRule type="cellIs" dxfId="121" priority="82" stopIfTrue="1" operator="equal">
      <formula>"-"</formula>
    </cfRule>
    <cfRule type="cellIs" dxfId="120" priority="83" operator="lessThan">
      <formula>0</formula>
    </cfRule>
    <cfRule type="cellIs" dxfId="119" priority="84" operator="greaterThan">
      <formula>0</formula>
    </cfRule>
  </conditionalFormatting>
  <pageMargins left="0.75" right="0.75" top="0.75" bottom="0.5" header="0.5" footer="0.75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E699"/>
    <pageSetUpPr fitToPage="1"/>
  </sheetPr>
  <dimension ref="B1:P27"/>
  <sheetViews>
    <sheetView showGridLines="0" workbookViewId="0"/>
  </sheetViews>
  <sheetFormatPr defaultColWidth="9.1796875" defaultRowHeight="20" customHeight="1" x14ac:dyDescent="0.25"/>
  <cols>
    <col min="1" max="1" width="9.1796875" style="603" customWidth="1"/>
    <col min="2" max="2" width="30.7265625" style="603" customWidth="1"/>
    <col min="3" max="7" width="10.7265625" style="603" customWidth="1"/>
    <col min="8" max="8" width="9.1796875" style="603" customWidth="1"/>
    <col min="9" max="16384" width="9.1796875" style="603"/>
  </cols>
  <sheetData>
    <row r="1" spans="2:16" ht="25" customHeight="1" x14ac:dyDescent="0.25"/>
    <row r="2" spans="2:16" ht="25" customHeight="1" x14ac:dyDescent="0.25">
      <c r="B2" s="604" t="s">
        <v>604</v>
      </c>
    </row>
    <row r="3" spans="2:16" ht="25" customHeight="1" thickBot="1" x14ac:dyDescent="0.3">
      <c r="B3" s="605" t="s">
        <v>302</v>
      </c>
      <c r="C3" s="606"/>
      <c r="D3" s="606"/>
      <c r="E3" s="606"/>
      <c r="F3" s="606"/>
      <c r="G3" s="606"/>
      <c r="H3" s="606"/>
      <c r="I3" s="606"/>
      <c r="J3" s="606"/>
      <c r="K3" s="606"/>
      <c r="L3" s="606"/>
      <c r="M3" s="606"/>
      <c r="N3" s="606"/>
      <c r="O3" s="606"/>
      <c r="P3" s="606"/>
    </row>
    <row r="4" spans="2:16" ht="25" customHeight="1" thickTop="1" x14ac:dyDescent="0.25"/>
    <row r="5" spans="2:16" ht="20" customHeight="1" x14ac:dyDescent="0.25">
      <c r="B5" s="607" t="s">
        <v>280</v>
      </c>
    </row>
    <row r="6" spans="2:16" ht="20" customHeight="1" x14ac:dyDescent="0.25">
      <c r="B6" s="608" t="s">
        <v>301</v>
      </c>
      <c r="C6" s="609" t="s">
        <v>571</v>
      </c>
      <c r="D6" s="609" t="s">
        <v>572</v>
      </c>
      <c r="E6" s="609" t="s">
        <v>573</v>
      </c>
      <c r="F6" s="610" t="s">
        <v>574</v>
      </c>
      <c r="G6" s="611"/>
    </row>
    <row r="7" spans="2:16" ht="40" customHeight="1" thickBot="1" x14ac:dyDescent="0.3">
      <c r="B7" s="612"/>
      <c r="C7" s="613"/>
      <c r="D7" s="613"/>
      <c r="E7" s="613"/>
      <c r="F7" s="614" t="s">
        <v>575</v>
      </c>
      <c r="G7" s="615" t="s">
        <v>576</v>
      </c>
    </row>
    <row r="8" spans="2:16" ht="20" customHeight="1" x14ac:dyDescent="0.35">
      <c r="B8" s="616" t="s">
        <v>5</v>
      </c>
      <c r="C8" s="617">
        <v>216.65981444308599</v>
      </c>
      <c r="D8" s="618">
        <v>225.186064553693</v>
      </c>
      <c r="E8" s="618" t="s">
        <v>270</v>
      </c>
      <c r="F8" s="619">
        <v>-3.7863133882217999</v>
      </c>
      <c r="G8" s="620" t="s">
        <v>457</v>
      </c>
    </row>
    <row r="9" spans="2:16" ht="20" customHeight="1" x14ac:dyDescent="0.35">
      <c r="B9" s="616" t="s">
        <v>7</v>
      </c>
      <c r="C9" s="617">
        <v>186.137478335742</v>
      </c>
      <c r="D9" s="618">
        <v>200.144269068265</v>
      </c>
      <c r="E9" s="618">
        <v>175.12024847466401</v>
      </c>
      <c r="F9" s="619">
        <v>-6.9983471411540297</v>
      </c>
      <c r="G9" s="620">
        <v>6.2912369968865898</v>
      </c>
    </row>
    <row r="10" spans="2:16" ht="20" customHeight="1" x14ac:dyDescent="0.35">
      <c r="B10" s="616" t="s">
        <v>196</v>
      </c>
      <c r="C10" s="617">
        <v>377.41714894409603</v>
      </c>
      <c r="D10" s="618">
        <v>469.98539514249899</v>
      </c>
      <c r="E10" s="618" t="s">
        <v>270</v>
      </c>
      <c r="F10" s="619">
        <v>-19.695983567816299</v>
      </c>
      <c r="G10" s="620" t="s">
        <v>457</v>
      </c>
    </row>
    <row r="11" spans="2:16" ht="20" customHeight="1" x14ac:dyDescent="0.35">
      <c r="B11" s="616" t="s">
        <v>21</v>
      </c>
      <c r="C11" s="617">
        <v>734.07443799884504</v>
      </c>
      <c r="D11" s="618">
        <v>760.81494777513001</v>
      </c>
      <c r="E11" s="618" t="s">
        <v>270</v>
      </c>
      <c r="F11" s="619">
        <v>-3.5147192959974398</v>
      </c>
      <c r="G11" s="620" t="s">
        <v>457</v>
      </c>
    </row>
    <row r="12" spans="2:16" ht="20" customHeight="1" x14ac:dyDescent="0.35">
      <c r="B12" s="616" t="s">
        <v>187</v>
      </c>
      <c r="C12" s="617">
        <v>522.05043726852603</v>
      </c>
      <c r="D12" s="618">
        <v>482.011302626136</v>
      </c>
      <c r="E12" s="618">
        <v>450.31465286546899</v>
      </c>
      <c r="F12" s="619">
        <v>8.3066796202174693</v>
      </c>
      <c r="G12" s="620">
        <v>15.9301466089508</v>
      </c>
    </row>
    <row r="13" spans="2:16" ht="20" customHeight="1" x14ac:dyDescent="0.35">
      <c r="B13" s="616" t="s">
        <v>265</v>
      </c>
      <c r="C13" s="617">
        <v>502.60143614587798</v>
      </c>
      <c r="D13" s="618">
        <v>386.043465745297</v>
      </c>
      <c r="E13" s="618">
        <v>412.00885115273002</v>
      </c>
      <c r="F13" s="619">
        <v>30.192965493031899</v>
      </c>
      <c r="G13" s="620">
        <v>21.988019126211899</v>
      </c>
    </row>
    <row r="14" spans="2:16" ht="20" customHeight="1" x14ac:dyDescent="0.35">
      <c r="B14" s="616" t="s">
        <v>262</v>
      </c>
      <c r="C14" s="617">
        <v>1012.7966652117</v>
      </c>
      <c r="D14" s="618">
        <v>898.30736817325806</v>
      </c>
      <c r="E14" s="618" t="s">
        <v>261</v>
      </c>
      <c r="F14" s="619">
        <v>12.7450025564477</v>
      </c>
      <c r="G14" s="620" t="s">
        <v>457</v>
      </c>
    </row>
    <row r="15" spans="2:16" ht="20" customHeight="1" x14ac:dyDescent="0.35">
      <c r="B15" s="621" t="s">
        <v>17</v>
      </c>
      <c r="C15" s="622">
        <v>106.93314893797</v>
      </c>
      <c r="D15" s="623">
        <v>106.354080052244</v>
      </c>
      <c r="E15" s="623">
        <v>116.579721139442</v>
      </c>
      <c r="F15" s="624">
        <v>0.54447265722314997</v>
      </c>
      <c r="G15" s="625">
        <v>-8.2746571249162297</v>
      </c>
    </row>
    <row r="17" spans="2:7" ht="20" customHeight="1" x14ac:dyDescent="0.25">
      <c r="B17" s="607" t="s">
        <v>281</v>
      </c>
    </row>
    <row r="18" spans="2:7" ht="20" customHeight="1" x14ac:dyDescent="0.25">
      <c r="B18" s="608" t="s">
        <v>301</v>
      </c>
      <c r="C18" s="609" t="s">
        <v>571</v>
      </c>
      <c r="D18" s="609" t="s">
        <v>572</v>
      </c>
      <c r="E18" s="609" t="s">
        <v>573</v>
      </c>
      <c r="F18" s="610" t="s">
        <v>574</v>
      </c>
      <c r="G18" s="611"/>
    </row>
    <row r="19" spans="2:7" ht="40" customHeight="1" thickBot="1" x14ac:dyDescent="0.3">
      <c r="B19" s="612"/>
      <c r="C19" s="613"/>
      <c r="D19" s="613"/>
      <c r="E19" s="613"/>
      <c r="F19" s="614" t="s">
        <v>575</v>
      </c>
      <c r="G19" s="615" t="s">
        <v>576</v>
      </c>
    </row>
    <row r="20" spans="2:7" ht="20" customHeight="1" x14ac:dyDescent="0.35">
      <c r="B20" s="616" t="s">
        <v>5</v>
      </c>
      <c r="C20" s="617" t="s">
        <v>261</v>
      </c>
      <c r="D20" s="618" t="s">
        <v>261</v>
      </c>
      <c r="E20" s="618" t="s">
        <v>270</v>
      </c>
      <c r="F20" s="619" t="s">
        <v>457</v>
      </c>
      <c r="G20" s="620" t="s">
        <v>457</v>
      </c>
    </row>
    <row r="21" spans="2:7" ht="20" customHeight="1" x14ac:dyDescent="0.35">
      <c r="B21" s="616" t="s">
        <v>7</v>
      </c>
      <c r="C21" s="617" t="s">
        <v>261</v>
      </c>
      <c r="D21" s="618" t="s">
        <v>261</v>
      </c>
      <c r="E21" s="618" t="s">
        <v>261</v>
      </c>
      <c r="F21" s="619" t="s">
        <v>457</v>
      </c>
      <c r="G21" s="620" t="s">
        <v>457</v>
      </c>
    </row>
    <row r="22" spans="2:7" ht="20" customHeight="1" x14ac:dyDescent="0.35">
      <c r="B22" s="616" t="s">
        <v>196</v>
      </c>
      <c r="C22" s="617" t="s">
        <v>270</v>
      </c>
      <c r="D22" s="618" t="s">
        <v>270</v>
      </c>
      <c r="E22" s="618" t="s">
        <v>270</v>
      </c>
      <c r="F22" s="619" t="s">
        <v>457</v>
      </c>
      <c r="G22" s="620" t="s">
        <v>457</v>
      </c>
    </row>
    <row r="23" spans="2:7" ht="20" customHeight="1" x14ac:dyDescent="0.35">
      <c r="B23" s="616" t="s">
        <v>21</v>
      </c>
      <c r="C23" s="617">
        <v>596.87487458464204</v>
      </c>
      <c r="D23" s="618">
        <v>863.31167656074194</v>
      </c>
      <c r="E23" s="618" t="s">
        <v>270</v>
      </c>
      <c r="F23" s="619">
        <v>-30.862179814076999</v>
      </c>
      <c r="G23" s="620" t="s">
        <v>457</v>
      </c>
    </row>
    <row r="24" spans="2:7" ht="20" customHeight="1" x14ac:dyDescent="0.35">
      <c r="B24" s="616" t="s">
        <v>187</v>
      </c>
      <c r="C24" s="617" t="s">
        <v>261</v>
      </c>
      <c r="D24" s="618">
        <v>928.42674913409201</v>
      </c>
      <c r="E24" s="618" t="s">
        <v>261</v>
      </c>
      <c r="F24" s="619" t="s">
        <v>457</v>
      </c>
      <c r="G24" s="620" t="s">
        <v>457</v>
      </c>
    </row>
    <row r="25" spans="2:7" ht="20" customHeight="1" x14ac:dyDescent="0.35">
      <c r="B25" s="616" t="s">
        <v>265</v>
      </c>
      <c r="C25" s="617">
        <v>624.959865847326</v>
      </c>
      <c r="D25" s="618">
        <v>558.65982118525699</v>
      </c>
      <c r="E25" s="618" t="s">
        <v>261</v>
      </c>
      <c r="F25" s="619">
        <v>11.8676951783298</v>
      </c>
      <c r="G25" s="620" t="s">
        <v>457</v>
      </c>
    </row>
    <row r="26" spans="2:7" ht="20" customHeight="1" x14ac:dyDescent="0.35">
      <c r="B26" s="616" t="s">
        <v>262</v>
      </c>
      <c r="C26" s="617" t="s">
        <v>261</v>
      </c>
      <c r="D26" s="618" t="s">
        <v>261</v>
      </c>
      <c r="E26" s="618">
        <v>1530.4797128825101</v>
      </c>
      <c r="F26" s="619" t="s">
        <v>457</v>
      </c>
      <c r="G26" s="620" t="s">
        <v>457</v>
      </c>
    </row>
    <row r="27" spans="2:7" ht="20" customHeight="1" x14ac:dyDescent="0.35">
      <c r="B27" s="621" t="s">
        <v>17</v>
      </c>
      <c r="C27" s="622" t="s">
        <v>261</v>
      </c>
      <c r="D27" s="623" t="s">
        <v>261</v>
      </c>
      <c r="E27" s="623" t="s">
        <v>261</v>
      </c>
      <c r="F27" s="624" t="s">
        <v>457</v>
      </c>
      <c r="G27" s="625" t="s">
        <v>457</v>
      </c>
    </row>
  </sheetData>
  <mergeCells count="10">
    <mergeCell ref="B6:B7"/>
    <mergeCell ref="C6:C7"/>
    <mergeCell ref="D6:D7"/>
    <mergeCell ref="E6:E7"/>
    <mergeCell ref="F6:G6"/>
    <mergeCell ref="B18:B19"/>
    <mergeCell ref="C18:C19"/>
    <mergeCell ref="D18:D19"/>
    <mergeCell ref="E18:E19"/>
    <mergeCell ref="F18:G18"/>
  </mergeCells>
  <conditionalFormatting sqref="F8:G8">
    <cfRule type="cellIs" dxfId="118" priority="1" stopIfTrue="1" operator="equal">
      <formula>"-"</formula>
    </cfRule>
    <cfRule type="cellIs" dxfId="117" priority="2" operator="lessThan">
      <formula>0</formula>
    </cfRule>
    <cfRule type="cellIs" dxfId="116" priority="3" operator="greaterThan">
      <formula>0</formula>
    </cfRule>
  </conditionalFormatting>
  <conditionalFormatting sqref="F9:G9">
    <cfRule type="cellIs" dxfId="115" priority="4" stopIfTrue="1" operator="equal">
      <formula>"-"</formula>
    </cfRule>
    <cfRule type="cellIs" dxfId="114" priority="5" operator="lessThan">
      <formula>0</formula>
    </cfRule>
    <cfRule type="cellIs" dxfId="113" priority="6" operator="greaterThan">
      <formula>0</formula>
    </cfRule>
  </conditionalFormatting>
  <conditionalFormatting sqref="F10:G10">
    <cfRule type="cellIs" dxfId="112" priority="7" stopIfTrue="1" operator="equal">
      <formula>"-"</formula>
    </cfRule>
    <cfRule type="cellIs" dxfId="111" priority="8" operator="lessThan">
      <formula>0</formula>
    </cfRule>
    <cfRule type="cellIs" dxfId="110" priority="9" operator="greaterThan">
      <formula>0</formula>
    </cfRule>
  </conditionalFormatting>
  <conditionalFormatting sqref="F11:G11">
    <cfRule type="cellIs" dxfId="109" priority="10" stopIfTrue="1" operator="equal">
      <formula>"-"</formula>
    </cfRule>
    <cfRule type="cellIs" dxfId="108" priority="11" operator="lessThan">
      <formula>0</formula>
    </cfRule>
    <cfRule type="cellIs" dxfId="107" priority="12" operator="greaterThan">
      <formula>0</formula>
    </cfRule>
  </conditionalFormatting>
  <conditionalFormatting sqref="F12:G12">
    <cfRule type="cellIs" dxfId="106" priority="13" stopIfTrue="1" operator="equal">
      <formula>"-"</formula>
    </cfRule>
    <cfRule type="cellIs" dxfId="105" priority="14" operator="lessThan">
      <formula>0</formula>
    </cfRule>
    <cfRule type="cellIs" dxfId="104" priority="15" operator="greaterThan">
      <formula>0</formula>
    </cfRule>
  </conditionalFormatting>
  <conditionalFormatting sqref="F13:G13">
    <cfRule type="cellIs" dxfId="103" priority="16" stopIfTrue="1" operator="equal">
      <formula>"-"</formula>
    </cfRule>
    <cfRule type="cellIs" dxfId="102" priority="17" operator="lessThan">
      <formula>0</formula>
    </cfRule>
    <cfRule type="cellIs" dxfId="101" priority="18" operator="greaterThan">
      <formula>0</formula>
    </cfRule>
  </conditionalFormatting>
  <conditionalFormatting sqref="F14:G14">
    <cfRule type="cellIs" dxfId="100" priority="19" stopIfTrue="1" operator="equal">
      <formula>"-"</formula>
    </cfRule>
    <cfRule type="cellIs" dxfId="99" priority="20" operator="lessThan">
      <formula>0</formula>
    </cfRule>
    <cfRule type="cellIs" dxfId="98" priority="21" operator="greaterThan">
      <formula>0</formula>
    </cfRule>
  </conditionalFormatting>
  <conditionalFormatting sqref="F15:G15">
    <cfRule type="cellIs" dxfId="97" priority="22" stopIfTrue="1" operator="equal">
      <formula>"-"</formula>
    </cfRule>
    <cfRule type="cellIs" dxfId="96" priority="23" operator="lessThan">
      <formula>0</formula>
    </cfRule>
    <cfRule type="cellIs" dxfId="95" priority="24" operator="greaterThan">
      <formula>0</formula>
    </cfRule>
  </conditionalFormatting>
  <conditionalFormatting sqref="F20:G20">
    <cfRule type="cellIs" dxfId="94" priority="25" stopIfTrue="1" operator="equal">
      <formula>"-"</formula>
    </cfRule>
    <cfRule type="cellIs" dxfId="93" priority="26" operator="lessThan">
      <formula>0</formula>
    </cfRule>
    <cfRule type="cellIs" dxfId="92" priority="27" operator="greaterThan">
      <formula>0</formula>
    </cfRule>
  </conditionalFormatting>
  <conditionalFormatting sqref="F21:G21">
    <cfRule type="cellIs" dxfId="91" priority="28" stopIfTrue="1" operator="equal">
      <formula>"-"</formula>
    </cfRule>
    <cfRule type="cellIs" dxfId="90" priority="29" operator="lessThan">
      <formula>0</formula>
    </cfRule>
    <cfRule type="cellIs" dxfId="89" priority="30" operator="greaterThan">
      <formula>0</formula>
    </cfRule>
  </conditionalFormatting>
  <conditionalFormatting sqref="F22:G22">
    <cfRule type="cellIs" dxfId="88" priority="31" stopIfTrue="1" operator="equal">
      <formula>"-"</formula>
    </cfRule>
    <cfRule type="cellIs" dxfId="87" priority="32" operator="lessThan">
      <formula>0</formula>
    </cfRule>
    <cfRule type="cellIs" dxfId="86" priority="33" operator="greaterThan">
      <formula>0</formula>
    </cfRule>
  </conditionalFormatting>
  <conditionalFormatting sqref="F23:G23">
    <cfRule type="cellIs" dxfId="85" priority="34" stopIfTrue="1" operator="equal">
      <formula>"-"</formula>
    </cfRule>
    <cfRule type="cellIs" dxfId="84" priority="35" operator="lessThan">
      <formula>0</formula>
    </cfRule>
    <cfRule type="cellIs" dxfId="83" priority="36" operator="greaterThan">
      <formula>0</formula>
    </cfRule>
  </conditionalFormatting>
  <conditionalFormatting sqref="F24:G24">
    <cfRule type="cellIs" dxfId="82" priority="37" stopIfTrue="1" operator="equal">
      <formula>"-"</formula>
    </cfRule>
    <cfRule type="cellIs" dxfId="81" priority="38" operator="lessThan">
      <formula>0</formula>
    </cfRule>
    <cfRule type="cellIs" dxfId="80" priority="39" operator="greaterThan">
      <formula>0</formula>
    </cfRule>
  </conditionalFormatting>
  <conditionalFormatting sqref="F25:G25">
    <cfRule type="cellIs" dxfId="79" priority="40" stopIfTrue="1" operator="equal">
      <formula>"-"</formula>
    </cfRule>
    <cfRule type="cellIs" dxfId="78" priority="41" operator="lessThan">
      <formula>0</formula>
    </cfRule>
    <cfRule type="cellIs" dxfId="77" priority="42" operator="greaterThan">
      <formula>0</formula>
    </cfRule>
  </conditionalFormatting>
  <conditionalFormatting sqref="F26:G26">
    <cfRule type="cellIs" dxfId="76" priority="43" stopIfTrue="1" operator="equal">
      <formula>"-"</formula>
    </cfRule>
    <cfRule type="cellIs" dxfId="75" priority="44" operator="lessThan">
      <formula>0</formula>
    </cfRule>
    <cfRule type="cellIs" dxfId="74" priority="45" operator="greaterThan">
      <formula>0</formula>
    </cfRule>
  </conditionalFormatting>
  <conditionalFormatting sqref="F27:G27">
    <cfRule type="cellIs" dxfId="73" priority="46" stopIfTrue="1" operator="equal">
      <formula>"-"</formula>
    </cfRule>
    <cfRule type="cellIs" dxfId="72" priority="47" operator="lessThan">
      <formula>0</formula>
    </cfRule>
    <cfRule type="cellIs" dxfId="71" priority="48" operator="greaterThan">
      <formula>0</formula>
    </cfRule>
  </conditionalFormatting>
  <pageMargins left="0.75" right="0.75" top="0.75" bottom="0.5" header="0.5" footer="0.75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E699"/>
    <pageSetUpPr fitToPage="1"/>
  </sheetPr>
  <dimension ref="B1:P27"/>
  <sheetViews>
    <sheetView showGridLines="0" workbookViewId="0"/>
  </sheetViews>
  <sheetFormatPr defaultColWidth="9.1796875" defaultRowHeight="20" customHeight="1" x14ac:dyDescent="0.25"/>
  <cols>
    <col min="1" max="1" width="9.1796875" style="603" customWidth="1"/>
    <col min="2" max="2" width="30.7265625" style="603" customWidth="1"/>
    <col min="3" max="7" width="10.7265625" style="603" customWidth="1"/>
    <col min="8" max="8" width="9.1796875" style="603" customWidth="1"/>
    <col min="9" max="16384" width="9.1796875" style="603"/>
  </cols>
  <sheetData>
    <row r="1" spans="2:16" ht="25" customHeight="1" x14ac:dyDescent="0.25"/>
    <row r="2" spans="2:16" ht="25" customHeight="1" x14ac:dyDescent="0.25">
      <c r="B2" s="604" t="s">
        <v>605</v>
      </c>
    </row>
    <row r="3" spans="2:16" ht="25" customHeight="1" thickBot="1" x14ac:dyDescent="0.3">
      <c r="B3" s="605" t="s">
        <v>302</v>
      </c>
      <c r="C3" s="606"/>
      <c r="D3" s="606"/>
      <c r="E3" s="606"/>
      <c r="F3" s="606"/>
      <c r="G3" s="606"/>
      <c r="H3" s="606"/>
      <c r="I3" s="606"/>
      <c r="J3" s="606"/>
      <c r="K3" s="606"/>
      <c r="L3" s="606"/>
      <c r="M3" s="606"/>
      <c r="N3" s="606"/>
      <c r="O3" s="606"/>
      <c r="P3" s="606"/>
    </row>
    <row r="4" spans="2:16" ht="25" customHeight="1" thickTop="1" x14ac:dyDescent="0.25"/>
    <row r="5" spans="2:16" ht="20" customHeight="1" x14ac:dyDescent="0.25">
      <c r="B5" s="607" t="s">
        <v>282</v>
      </c>
    </row>
    <row r="6" spans="2:16" ht="20" customHeight="1" x14ac:dyDescent="0.25">
      <c r="B6" s="608" t="s">
        <v>301</v>
      </c>
      <c r="C6" s="609" t="s">
        <v>571</v>
      </c>
      <c r="D6" s="609" t="s">
        <v>572</v>
      </c>
      <c r="E6" s="609" t="s">
        <v>573</v>
      </c>
      <c r="F6" s="610" t="s">
        <v>574</v>
      </c>
      <c r="G6" s="611"/>
    </row>
    <row r="7" spans="2:16" ht="40" customHeight="1" thickBot="1" x14ac:dyDescent="0.3">
      <c r="B7" s="612"/>
      <c r="C7" s="613"/>
      <c r="D7" s="613"/>
      <c r="E7" s="613"/>
      <c r="F7" s="614" t="s">
        <v>575</v>
      </c>
      <c r="G7" s="615" t="s">
        <v>576</v>
      </c>
    </row>
    <row r="8" spans="2:16" ht="20" customHeight="1" x14ac:dyDescent="0.35">
      <c r="B8" s="616" t="s">
        <v>5</v>
      </c>
      <c r="C8" s="617">
        <v>211.911790312238</v>
      </c>
      <c r="D8" s="618">
        <v>222.017295263562</v>
      </c>
      <c r="E8" s="618" t="s">
        <v>270</v>
      </c>
      <c r="F8" s="619">
        <v>-4.5516746518905098</v>
      </c>
      <c r="G8" s="620" t="s">
        <v>457</v>
      </c>
    </row>
    <row r="9" spans="2:16" ht="20" customHeight="1" x14ac:dyDescent="0.35">
      <c r="B9" s="616" t="s">
        <v>7</v>
      </c>
      <c r="C9" s="617">
        <v>334.75458388262803</v>
      </c>
      <c r="D9" s="618">
        <v>447.37230861603098</v>
      </c>
      <c r="E9" s="618">
        <v>324.93243828497202</v>
      </c>
      <c r="F9" s="619">
        <v>-25.173155013056501</v>
      </c>
      <c r="G9" s="620">
        <v>3.0228270373677</v>
      </c>
    </row>
    <row r="10" spans="2:16" ht="20" customHeight="1" x14ac:dyDescent="0.35">
      <c r="B10" s="616" t="s">
        <v>196</v>
      </c>
      <c r="C10" s="617" t="s">
        <v>270</v>
      </c>
      <c r="D10" s="618" t="s">
        <v>270</v>
      </c>
      <c r="E10" s="618" t="s">
        <v>270</v>
      </c>
      <c r="F10" s="619" t="s">
        <v>457</v>
      </c>
      <c r="G10" s="620" t="s">
        <v>457</v>
      </c>
    </row>
    <row r="11" spans="2:16" ht="20" customHeight="1" x14ac:dyDescent="0.35">
      <c r="B11" s="616" t="s">
        <v>21</v>
      </c>
      <c r="C11" s="617">
        <v>1610.32192729552</v>
      </c>
      <c r="D11" s="618">
        <v>1447.4193505143401</v>
      </c>
      <c r="E11" s="618" t="s">
        <v>270</v>
      </c>
      <c r="F11" s="619">
        <v>11.254691097179</v>
      </c>
      <c r="G11" s="620" t="s">
        <v>457</v>
      </c>
    </row>
    <row r="12" spans="2:16" ht="20" customHeight="1" x14ac:dyDescent="0.35">
      <c r="B12" s="616" t="s">
        <v>187</v>
      </c>
      <c r="C12" s="617">
        <v>760.558920759785</v>
      </c>
      <c r="D12" s="618">
        <v>652.34402954816801</v>
      </c>
      <c r="E12" s="618">
        <v>655.37098160706398</v>
      </c>
      <c r="F12" s="619">
        <v>16.5886229213394</v>
      </c>
      <c r="G12" s="620">
        <v>16.050136808740699</v>
      </c>
    </row>
    <row r="13" spans="2:16" ht="20" customHeight="1" x14ac:dyDescent="0.35">
      <c r="B13" s="616" t="s">
        <v>265</v>
      </c>
      <c r="C13" s="617">
        <v>1147.99926987718</v>
      </c>
      <c r="D13" s="618">
        <v>1082.41445064801</v>
      </c>
      <c r="E13" s="618">
        <v>1113.86527768929</v>
      </c>
      <c r="F13" s="619">
        <v>6.0591226576762098</v>
      </c>
      <c r="G13" s="620">
        <v>3.0644632588521001</v>
      </c>
    </row>
    <row r="14" spans="2:16" ht="20" customHeight="1" x14ac:dyDescent="0.35">
      <c r="B14" s="616" t="s">
        <v>262</v>
      </c>
      <c r="C14" s="617">
        <v>1684.4921162026501</v>
      </c>
      <c r="D14" s="618">
        <v>1561.02339726165</v>
      </c>
      <c r="E14" s="618">
        <v>1520.77569632775</v>
      </c>
      <c r="F14" s="619">
        <v>7.9094726675834499</v>
      </c>
      <c r="G14" s="620">
        <v>10.7653232669507</v>
      </c>
    </row>
    <row r="15" spans="2:16" ht="20" customHeight="1" x14ac:dyDescent="0.35">
      <c r="B15" s="621" t="s">
        <v>17</v>
      </c>
      <c r="C15" s="622">
        <v>177.41482461204399</v>
      </c>
      <c r="D15" s="623">
        <v>179.253007855183</v>
      </c>
      <c r="E15" s="623">
        <v>206.232669710381</v>
      </c>
      <c r="F15" s="624">
        <v>-1.0254685626385101</v>
      </c>
      <c r="G15" s="625">
        <v>-13.9734626617629</v>
      </c>
    </row>
    <row r="17" spans="2:7" ht="20" customHeight="1" x14ac:dyDescent="0.25">
      <c r="B17" s="607" t="s">
        <v>283</v>
      </c>
    </row>
    <row r="18" spans="2:7" ht="20" customHeight="1" x14ac:dyDescent="0.25">
      <c r="B18" s="608" t="s">
        <v>301</v>
      </c>
      <c r="C18" s="609" t="s">
        <v>571</v>
      </c>
      <c r="D18" s="609" t="s">
        <v>572</v>
      </c>
      <c r="E18" s="609" t="s">
        <v>573</v>
      </c>
      <c r="F18" s="610" t="s">
        <v>574</v>
      </c>
      <c r="G18" s="611"/>
    </row>
    <row r="19" spans="2:7" ht="40" customHeight="1" thickBot="1" x14ac:dyDescent="0.3">
      <c r="B19" s="612"/>
      <c r="C19" s="613"/>
      <c r="D19" s="613"/>
      <c r="E19" s="613"/>
      <c r="F19" s="614" t="s">
        <v>575</v>
      </c>
      <c r="G19" s="615" t="s">
        <v>576</v>
      </c>
    </row>
    <row r="20" spans="2:7" ht="20" customHeight="1" x14ac:dyDescent="0.35">
      <c r="B20" s="616" t="s">
        <v>5</v>
      </c>
      <c r="C20" s="617">
        <v>855.46291237113405</v>
      </c>
      <c r="D20" s="618">
        <v>901.46138827023003</v>
      </c>
      <c r="E20" s="618" t="s">
        <v>270</v>
      </c>
      <c r="F20" s="619">
        <v>-5.1026562532378996</v>
      </c>
      <c r="G20" s="620" t="s">
        <v>457</v>
      </c>
    </row>
    <row r="21" spans="2:7" ht="20" customHeight="1" x14ac:dyDescent="0.35">
      <c r="B21" s="616" t="s">
        <v>7</v>
      </c>
      <c r="C21" s="617" t="s">
        <v>261</v>
      </c>
      <c r="D21" s="618" t="s">
        <v>261</v>
      </c>
      <c r="E21" s="618" t="s">
        <v>261</v>
      </c>
      <c r="F21" s="619" t="s">
        <v>457</v>
      </c>
      <c r="G21" s="620" t="s">
        <v>457</v>
      </c>
    </row>
    <row r="22" spans="2:7" ht="20" customHeight="1" x14ac:dyDescent="0.35">
      <c r="B22" s="616" t="s">
        <v>196</v>
      </c>
      <c r="C22" s="617" t="s">
        <v>261</v>
      </c>
      <c r="D22" s="618" t="s">
        <v>261</v>
      </c>
      <c r="E22" s="618" t="s">
        <v>270</v>
      </c>
      <c r="F22" s="619" t="s">
        <v>457</v>
      </c>
      <c r="G22" s="620" t="s">
        <v>457</v>
      </c>
    </row>
    <row r="23" spans="2:7" ht="20" customHeight="1" x14ac:dyDescent="0.35">
      <c r="B23" s="616" t="s">
        <v>21</v>
      </c>
      <c r="C23" s="617">
        <v>594.88804531789299</v>
      </c>
      <c r="D23" s="618">
        <v>1537.4648935344301</v>
      </c>
      <c r="E23" s="618" t="s">
        <v>270</v>
      </c>
      <c r="F23" s="619">
        <v>-61.3072111226994</v>
      </c>
      <c r="G23" s="620" t="s">
        <v>457</v>
      </c>
    </row>
    <row r="24" spans="2:7" ht="20" customHeight="1" x14ac:dyDescent="0.35">
      <c r="B24" s="616" t="s">
        <v>187</v>
      </c>
      <c r="C24" s="617" t="s">
        <v>261</v>
      </c>
      <c r="D24" s="618" t="s">
        <v>261</v>
      </c>
      <c r="E24" s="618" t="s">
        <v>261</v>
      </c>
      <c r="F24" s="619" t="s">
        <v>457</v>
      </c>
      <c r="G24" s="620" t="s">
        <v>457</v>
      </c>
    </row>
    <row r="25" spans="2:7" ht="20" customHeight="1" x14ac:dyDescent="0.35">
      <c r="B25" s="616" t="s">
        <v>265</v>
      </c>
      <c r="C25" s="617" t="s">
        <v>261</v>
      </c>
      <c r="D25" s="618" t="s">
        <v>261</v>
      </c>
      <c r="E25" s="618" t="s">
        <v>261</v>
      </c>
      <c r="F25" s="619" t="s">
        <v>457</v>
      </c>
      <c r="G25" s="620" t="s">
        <v>457</v>
      </c>
    </row>
    <row r="26" spans="2:7" ht="20" customHeight="1" x14ac:dyDescent="0.35">
      <c r="B26" s="616" t="s">
        <v>262</v>
      </c>
      <c r="C26" s="617">
        <v>680.43690004270002</v>
      </c>
      <c r="D26" s="618">
        <v>1336.9850528064401</v>
      </c>
      <c r="E26" s="618">
        <v>1276.4329371210799</v>
      </c>
      <c r="F26" s="619">
        <v>-49.106618760291298</v>
      </c>
      <c r="G26" s="620">
        <v>-46.692311029094398</v>
      </c>
    </row>
    <row r="27" spans="2:7" ht="20" customHeight="1" x14ac:dyDescent="0.35">
      <c r="B27" s="621" t="s">
        <v>17</v>
      </c>
      <c r="C27" s="622" t="s">
        <v>270</v>
      </c>
      <c r="D27" s="623" t="s">
        <v>270</v>
      </c>
      <c r="E27" s="623" t="s">
        <v>270</v>
      </c>
      <c r="F27" s="624" t="s">
        <v>457</v>
      </c>
      <c r="G27" s="625" t="s">
        <v>457</v>
      </c>
    </row>
  </sheetData>
  <mergeCells count="10">
    <mergeCell ref="B6:B7"/>
    <mergeCell ref="C6:C7"/>
    <mergeCell ref="D6:D7"/>
    <mergeCell ref="E6:E7"/>
    <mergeCell ref="F6:G6"/>
    <mergeCell ref="B18:B19"/>
    <mergeCell ref="C18:C19"/>
    <mergeCell ref="D18:D19"/>
    <mergeCell ref="E18:E19"/>
    <mergeCell ref="F18:G18"/>
  </mergeCells>
  <conditionalFormatting sqref="F8:G8">
    <cfRule type="cellIs" dxfId="70" priority="1" stopIfTrue="1" operator="equal">
      <formula>"-"</formula>
    </cfRule>
    <cfRule type="cellIs" dxfId="69" priority="2" operator="lessThan">
      <formula>0</formula>
    </cfRule>
    <cfRule type="cellIs" dxfId="68" priority="3" operator="greaterThan">
      <formula>0</formula>
    </cfRule>
  </conditionalFormatting>
  <conditionalFormatting sqref="F9:G9">
    <cfRule type="cellIs" dxfId="67" priority="4" stopIfTrue="1" operator="equal">
      <formula>"-"</formula>
    </cfRule>
    <cfRule type="cellIs" dxfId="66" priority="5" operator="lessThan">
      <formula>0</formula>
    </cfRule>
    <cfRule type="cellIs" dxfId="65" priority="6" operator="greaterThan">
      <formula>0</formula>
    </cfRule>
  </conditionalFormatting>
  <conditionalFormatting sqref="F10:G10">
    <cfRule type="cellIs" dxfId="64" priority="7" stopIfTrue="1" operator="equal">
      <formula>"-"</formula>
    </cfRule>
    <cfRule type="cellIs" dxfId="63" priority="8" operator="lessThan">
      <formula>0</formula>
    </cfRule>
    <cfRule type="cellIs" dxfId="62" priority="9" operator="greaterThan">
      <formula>0</formula>
    </cfRule>
  </conditionalFormatting>
  <conditionalFormatting sqref="F11:G11">
    <cfRule type="cellIs" dxfId="61" priority="10" stopIfTrue="1" operator="equal">
      <formula>"-"</formula>
    </cfRule>
    <cfRule type="cellIs" dxfId="60" priority="11" operator="lessThan">
      <formula>0</formula>
    </cfRule>
    <cfRule type="cellIs" dxfId="59" priority="12" operator="greaterThan">
      <formula>0</formula>
    </cfRule>
  </conditionalFormatting>
  <conditionalFormatting sqref="F12:G12">
    <cfRule type="cellIs" dxfId="58" priority="13" stopIfTrue="1" operator="equal">
      <formula>"-"</formula>
    </cfRule>
    <cfRule type="cellIs" dxfId="57" priority="14" operator="lessThan">
      <formula>0</formula>
    </cfRule>
    <cfRule type="cellIs" dxfId="56" priority="15" operator="greaterThan">
      <formula>0</formula>
    </cfRule>
  </conditionalFormatting>
  <conditionalFormatting sqref="F13:G13">
    <cfRule type="cellIs" dxfId="55" priority="16" stopIfTrue="1" operator="equal">
      <formula>"-"</formula>
    </cfRule>
    <cfRule type="cellIs" dxfId="54" priority="17" operator="lessThan">
      <formula>0</formula>
    </cfRule>
    <cfRule type="cellIs" dxfId="53" priority="18" operator="greaterThan">
      <formula>0</formula>
    </cfRule>
  </conditionalFormatting>
  <conditionalFormatting sqref="F14:G14">
    <cfRule type="cellIs" dxfId="52" priority="19" stopIfTrue="1" operator="equal">
      <formula>"-"</formula>
    </cfRule>
    <cfRule type="cellIs" dxfId="51" priority="20" operator="lessThan">
      <formula>0</formula>
    </cfRule>
    <cfRule type="cellIs" dxfId="50" priority="21" operator="greaterThan">
      <formula>0</formula>
    </cfRule>
  </conditionalFormatting>
  <conditionalFormatting sqref="F15:G15">
    <cfRule type="cellIs" dxfId="49" priority="22" stopIfTrue="1" operator="equal">
      <formula>"-"</formula>
    </cfRule>
    <cfRule type="cellIs" dxfId="48" priority="23" operator="lessThan">
      <formula>0</formula>
    </cfRule>
    <cfRule type="cellIs" dxfId="47" priority="24" operator="greaterThan">
      <formula>0</formula>
    </cfRule>
  </conditionalFormatting>
  <conditionalFormatting sqref="F20:G20">
    <cfRule type="cellIs" dxfId="46" priority="25" stopIfTrue="1" operator="equal">
      <formula>"-"</formula>
    </cfRule>
    <cfRule type="cellIs" dxfId="45" priority="26" operator="lessThan">
      <formula>0</formula>
    </cfRule>
    <cfRule type="cellIs" dxfId="44" priority="27" operator="greaterThan">
      <formula>0</formula>
    </cfRule>
  </conditionalFormatting>
  <conditionalFormatting sqref="F21:G21">
    <cfRule type="cellIs" dxfId="43" priority="28" stopIfTrue="1" operator="equal">
      <formula>"-"</formula>
    </cfRule>
    <cfRule type="cellIs" dxfId="42" priority="29" operator="lessThan">
      <formula>0</formula>
    </cfRule>
    <cfRule type="cellIs" dxfId="41" priority="30" operator="greaterThan">
      <formula>0</formula>
    </cfRule>
  </conditionalFormatting>
  <conditionalFormatting sqref="F22:G22">
    <cfRule type="cellIs" dxfId="40" priority="31" stopIfTrue="1" operator="equal">
      <formula>"-"</formula>
    </cfRule>
    <cfRule type="cellIs" dxfId="39" priority="32" operator="lessThan">
      <formula>0</formula>
    </cfRule>
    <cfRule type="cellIs" dxfId="38" priority="33" operator="greaterThan">
      <formula>0</formula>
    </cfRule>
  </conditionalFormatting>
  <conditionalFormatting sqref="F23:G23">
    <cfRule type="cellIs" dxfId="37" priority="34" stopIfTrue="1" operator="equal">
      <formula>"-"</formula>
    </cfRule>
    <cfRule type="cellIs" dxfId="36" priority="35" operator="lessThan">
      <formula>0</formula>
    </cfRule>
    <cfRule type="cellIs" dxfId="35" priority="36" operator="greaterThan">
      <formula>0</formula>
    </cfRule>
  </conditionalFormatting>
  <conditionalFormatting sqref="F24:G24">
    <cfRule type="cellIs" dxfId="34" priority="37" stopIfTrue="1" operator="equal">
      <formula>"-"</formula>
    </cfRule>
    <cfRule type="cellIs" dxfId="33" priority="38" operator="lessThan">
      <formula>0</formula>
    </cfRule>
    <cfRule type="cellIs" dxfId="32" priority="39" operator="greaterThan">
      <formula>0</formula>
    </cfRule>
  </conditionalFormatting>
  <conditionalFormatting sqref="F25:G25">
    <cfRule type="cellIs" dxfId="31" priority="40" stopIfTrue="1" operator="equal">
      <formula>"-"</formula>
    </cfRule>
    <cfRule type="cellIs" dxfId="30" priority="41" operator="lessThan">
      <formula>0</formula>
    </cfRule>
    <cfRule type="cellIs" dxfId="29" priority="42" operator="greaterThan">
      <formula>0</formula>
    </cfRule>
  </conditionalFormatting>
  <conditionalFormatting sqref="F26:G26">
    <cfRule type="cellIs" dxfId="28" priority="43" stopIfTrue="1" operator="equal">
      <formula>"-"</formula>
    </cfRule>
    <cfRule type="cellIs" dxfId="27" priority="44" operator="lessThan">
      <formula>0</formula>
    </cfRule>
    <cfRule type="cellIs" dxfId="26" priority="45" operator="greaterThan">
      <formula>0</formula>
    </cfRule>
  </conditionalFormatting>
  <conditionalFormatting sqref="F27:G27">
    <cfRule type="cellIs" dxfId="25" priority="46" stopIfTrue="1" operator="equal">
      <formula>"-"</formula>
    </cfRule>
    <cfRule type="cellIs" dxfId="24" priority="47" operator="lessThan">
      <formula>0</formula>
    </cfRule>
    <cfRule type="cellIs" dxfId="23" priority="48" operator="greaterThan">
      <formula>0</formula>
    </cfRule>
  </conditionalFormatting>
  <pageMargins left="0.75" right="0.75" top="0.75" bottom="0.5" header="0.5" footer="0.75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59999389629810485"/>
  </sheetPr>
  <dimension ref="A1:M72"/>
  <sheetViews>
    <sheetView showGridLines="0" workbookViewId="0">
      <selection activeCell="B1" sqref="B1"/>
    </sheetView>
  </sheetViews>
  <sheetFormatPr defaultColWidth="9.1796875" defaultRowHeight="15.5" x14ac:dyDescent="0.35"/>
  <cols>
    <col min="1" max="20" width="10.7265625" style="57" customWidth="1"/>
    <col min="21" max="16384" width="9.1796875" style="57"/>
  </cols>
  <sheetData>
    <row r="1" spans="1:13" s="33" customFormat="1" ht="25" customHeight="1" x14ac:dyDescent="0.35">
      <c r="B1" s="57"/>
      <c r="D1" s="34"/>
      <c r="H1" s="35"/>
      <c r="I1" s="36"/>
    </row>
    <row r="2" spans="1:13" s="33" customFormat="1" ht="25" customHeight="1" x14ac:dyDescent="0.25">
      <c r="A2" s="251"/>
      <c r="B2" s="38" t="s">
        <v>193</v>
      </c>
      <c r="C2" s="284"/>
      <c r="D2" s="284"/>
      <c r="E2" s="284"/>
      <c r="F2" s="284"/>
      <c r="G2" s="284"/>
      <c r="H2" s="35"/>
      <c r="I2" s="35"/>
      <c r="J2" s="35"/>
      <c r="L2" s="35"/>
    </row>
    <row r="3" spans="1:13" s="33" customFormat="1" ht="25" customHeight="1" thickBot="1" x14ac:dyDescent="0.3">
      <c r="B3" s="41"/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</row>
    <row r="4" spans="1:13" s="33" customFormat="1" ht="25" customHeight="1" thickTop="1" x14ac:dyDescent="0.35">
      <c r="B4" s="578"/>
      <c r="C4" s="51"/>
      <c r="D4" s="52"/>
      <c r="E4" s="112"/>
      <c r="F4" s="285"/>
      <c r="G4" s="285"/>
      <c r="H4" s="252"/>
      <c r="I4" s="55"/>
      <c r="K4" s="56"/>
      <c r="L4" s="35"/>
      <c r="M4" s="187" t="str">
        <f>POMOC!B5</f>
        <v>Notowania 17 - 23.08.2026 / Tydzień 33</v>
      </c>
    </row>
    <row r="5" spans="1:13" ht="20.149999999999999" customHeight="1" x14ac:dyDescent="0.35"/>
    <row r="6" spans="1:13" ht="20.149999999999999" customHeight="1" x14ac:dyDescent="0.35"/>
    <row r="7" spans="1:13" ht="20.149999999999999" customHeight="1" x14ac:dyDescent="0.35"/>
    <row r="8" spans="1:13" ht="20.149999999999999" customHeight="1" x14ac:dyDescent="0.35"/>
    <row r="9" spans="1:13" ht="20.149999999999999" customHeight="1" x14ac:dyDescent="0.35"/>
    <row r="10" spans="1:13" ht="20.149999999999999" customHeight="1" x14ac:dyDescent="0.35"/>
    <row r="11" spans="1:13" ht="20.149999999999999" customHeight="1" x14ac:dyDescent="0.35"/>
    <row r="12" spans="1:13" ht="20.149999999999999" customHeight="1" x14ac:dyDescent="0.35"/>
    <row r="13" spans="1:13" ht="20.149999999999999" customHeight="1" x14ac:dyDescent="0.35"/>
    <row r="14" spans="1:13" ht="20.149999999999999" customHeight="1" x14ac:dyDescent="0.35"/>
    <row r="15" spans="1:13" ht="20.149999999999999" customHeight="1" x14ac:dyDescent="0.35"/>
    <row r="16" spans="1:13" ht="20.149999999999999" customHeight="1" x14ac:dyDescent="0.35"/>
    <row r="17" ht="20.149999999999999" customHeight="1" x14ac:dyDescent="0.35"/>
    <row r="18" ht="20.149999999999999" customHeight="1" x14ac:dyDescent="0.35"/>
    <row r="19" ht="20.149999999999999" customHeight="1" x14ac:dyDescent="0.35"/>
    <row r="20" ht="20.149999999999999" customHeight="1" x14ac:dyDescent="0.35"/>
    <row r="21" ht="20.149999999999999" customHeight="1" x14ac:dyDescent="0.35"/>
    <row r="22" ht="20.149999999999999" customHeight="1" x14ac:dyDescent="0.35"/>
    <row r="23" ht="20.149999999999999" customHeight="1" x14ac:dyDescent="0.35"/>
    <row r="24" ht="20.149999999999999" customHeight="1" x14ac:dyDescent="0.35"/>
    <row r="25" ht="20.149999999999999" customHeight="1" x14ac:dyDescent="0.35"/>
    <row r="26" ht="20.149999999999999" customHeight="1" x14ac:dyDescent="0.35"/>
    <row r="27" ht="20.149999999999999" customHeight="1" x14ac:dyDescent="0.35"/>
    <row r="28" ht="20.149999999999999" customHeight="1" x14ac:dyDescent="0.35"/>
    <row r="63" spans="1:4" x14ac:dyDescent="0.35">
      <c r="A63"/>
      <c r="B63"/>
      <c r="C63"/>
      <c r="D63"/>
    </row>
    <row r="64" spans="1:4" x14ac:dyDescent="0.35">
      <c r="A64"/>
      <c r="B64"/>
      <c r="C64"/>
      <c r="D64"/>
    </row>
    <row r="65" spans="1:10" x14ac:dyDescent="0.35">
      <c r="A65"/>
      <c r="B65"/>
      <c r="C65"/>
      <c r="D65"/>
    </row>
    <row r="66" spans="1:10" x14ac:dyDescent="0.35">
      <c r="A66"/>
      <c r="B66"/>
      <c r="C66"/>
      <c r="D66"/>
      <c r="G66" s="33"/>
      <c r="H66" s="33"/>
      <c r="I66" s="33"/>
      <c r="J66" s="33"/>
    </row>
    <row r="67" spans="1:10" x14ac:dyDescent="0.35">
      <c r="A67"/>
      <c r="B67"/>
      <c r="C67"/>
      <c r="D67"/>
      <c r="G67" s="33"/>
      <c r="H67" s="33"/>
      <c r="I67" s="33"/>
      <c r="J67" s="33"/>
    </row>
    <row r="68" spans="1:10" x14ac:dyDescent="0.35">
      <c r="A68"/>
      <c r="B68"/>
      <c r="C68"/>
      <c r="D68"/>
      <c r="G68" s="33"/>
      <c r="H68" s="33"/>
      <c r="I68" s="33"/>
      <c r="J68" s="33"/>
    </row>
    <row r="69" spans="1:10" x14ac:dyDescent="0.35">
      <c r="A69"/>
      <c r="B69"/>
      <c r="C69"/>
      <c r="D69"/>
      <c r="G69" s="33"/>
      <c r="H69" s="33"/>
      <c r="I69" s="33"/>
      <c r="J69" s="33"/>
    </row>
    <row r="70" spans="1:10" x14ac:dyDescent="0.35">
      <c r="A70"/>
      <c r="B70"/>
      <c r="C70"/>
      <c r="D70"/>
      <c r="G70" s="33"/>
      <c r="H70" s="33"/>
      <c r="I70" s="33"/>
      <c r="J70" s="33"/>
    </row>
    <row r="71" spans="1:10" x14ac:dyDescent="0.35">
      <c r="G71" s="33"/>
      <c r="H71" s="33"/>
      <c r="I71" s="33"/>
      <c r="J71" s="33"/>
    </row>
    <row r="72" spans="1:10" x14ac:dyDescent="0.35">
      <c r="G72" s="33"/>
      <c r="H72" s="33"/>
      <c r="I72" s="33"/>
      <c r="J72" s="33"/>
    </row>
  </sheetData>
  <pageMargins left="0.7" right="0.7" top="0.75" bottom="0.75" header="0.3" footer="0.3"/>
  <pageSetup paperSize="9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59999389629810485"/>
  </sheetPr>
  <dimension ref="A1:M64"/>
  <sheetViews>
    <sheetView showGridLines="0" workbookViewId="0">
      <selection activeCell="B1" sqref="B1"/>
    </sheetView>
  </sheetViews>
  <sheetFormatPr defaultColWidth="9.1796875" defaultRowHeight="15.5" x14ac:dyDescent="0.35"/>
  <cols>
    <col min="1" max="1" width="10.7265625" style="57" customWidth="1"/>
    <col min="2" max="2" width="12.7265625" style="57" customWidth="1"/>
    <col min="3" max="3" width="11.54296875" style="57" bestFit="1" customWidth="1"/>
    <col min="4" max="4" width="10.1796875" style="57" bestFit="1" customWidth="1"/>
    <col min="5" max="16384" width="9.1796875" style="57"/>
  </cols>
  <sheetData>
    <row r="1" spans="1:13" s="33" customFormat="1" ht="25" customHeight="1" x14ac:dyDescent="0.35">
      <c r="B1" s="57"/>
      <c r="D1" s="34"/>
      <c r="H1" s="35"/>
      <c r="I1" s="36"/>
    </row>
    <row r="2" spans="1:13" s="33" customFormat="1" ht="25" customHeight="1" x14ac:dyDescent="0.25">
      <c r="A2" s="251"/>
      <c r="B2" s="38" t="s">
        <v>192</v>
      </c>
      <c r="C2" s="284"/>
      <c r="D2" s="284"/>
      <c r="E2" s="284"/>
      <c r="F2" s="284"/>
      <c r="G2" s="284"/>
      <c r="H2" s="35"/>
      <c r="I2" s="35"/>
      <c r="J2" s="35"/>
      <c r="L2" s="35"/>
    </row>
    <row r="3" spans="1:13" s="33" customFormat="1" ht="25" customHeight="1" thickBot="1" x14ac:dyDescent="0.3">
      <c r="B3" s="41"/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</row>
    <row r="4" spans="1:13" s="33" customFormat="1" ht="25" customHeight="1" thickTop="1" x14ac:dyDescent="0.35">
      <c r="B4" s="578"/>
      <c r="C4" s="51"/>
      <c r="D4" s="52"/>
      <c r="E4" s="112"/>
      <c r="F4" s="285"/>
      <c r="G4" s="285"/>
      <c r="H4" s="252"/>
      <c r="I4" s="55"/>
      <c r="K4" s="56"/>
      <c r="L4" s="35"/>
      <c r="M4" s="187" t="str">
        <f>POMOC!B5</f>
        <v>Notowania 17 - 23.08.2026 / Tydzień 33</v>
      </c>
    </row>
    <row r="60" spans="1:5" x14ac:dyDescent="0.35">
      <c r="A60" s="286"/>
      <c r="B60" s="287" t="s">
        <v>463</v>
      </c>
      <c r="C60" s="287" t="s">
        <v>464</v>
      </c>
      <c r="D60" s="288"/>
    </row>
    <row r="61" spans="1:5" x14ac:dyDescent="0.35">
      <c r="A61" s="286" t="s">
        <v>7</v>
      </c>
      <c r="B61" s="289">
        <v>2.48</v>
      </c>
      <c r="C61" s="289">
        <v>2.56</v>
      </c>
      <c r="D61" s="290"/>
      <c r="E61" s="288"/>
    </row>
    <row r="62" spans="1:5" x14ac:dyDescent="0.35">
      <c r="A62" s="286" t="s">
        <v>187</v>
      </c>
      <c r="B62" s="289">
        <v>4.2069999999999999</v>
      </c>
      <c r="C62" s="289">
        <v>3.86</v>
      </c>
      <c r="D62" s="290"/>
      <c r="E62" s="290"/>
    </row>
    <row r="63" spans="1:5" x14ac:dyDescent="0.35">
      <c r="A63" s="286" t="s">
        <v>17</v>
      </c>
      <c r="B63" s="289">
        <v>1.2589999999999999</v>
      </c>
      <c r="C63" s="289">
        <v>1.43</v>
      </c>
      <c r="E63" s="290"/>
    </row>
    <row r="64" spans="1:5" x14ac:dyDescent="0.35">
      <c r="E64" s="290"/>
    </row>
  </sheetData>
  <pageMargins left="0.7" right="0.7" top="0.75" bottom="0.75" header="0.3" footer="0.3"/>
  <pageSetup paperSize="9" orientation="portrait" verticalDpi="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3"/>
  <sheetViews>
    <sheetView showGridLines="0" topLeftCell="E4" zoomScaleNormal="100" workbookViewId="0">
      <selection activeCell="K7" sqref="K7:L7"/>
    </sheetView>
  </sheetViews>
  <sheetFormatPr defaultColWidth="8.81640625" defaultRowHeight="13" x14ac:dyDescent="0.3"/>
  <cols>
    <col min="1" max="1" width="10.7265625" style="21" customWidth="1"/>
    <col min="2" max="2" width="20.1796875" style="17" bestFit="1" customWidth="1"/>
    <col min="3" max="11" width="15.7265625" style="17" customWidth="1"/>
    <col min="12" max="12" width="9.26953125" style="17" bestFit="1" customWidth="1"/>
    <col min="13" max="232" width="8.81640625" style="17"/>
    <col min="233" max="233" width="18.7265625" style="17" bestFit="1" customWidth="1"/>
    <col min="234" max="234" width="17.26953125" style="17" customWidth="1"/>
    <col min="235" max="235" width="13.7265625" style="17" customWidth="1"/>
    <col min="236" max="236" width="15.26953125" style="17" customWidth="1"/>
    <col min="237" max="237" width="13.7265625" style="17" customWidth="1"/>
    <col min="238" max="238" width="15.54296875" style="17" customWidth="1"/>
    <col min="239" max="239" width="14.54296875" style="17" customWidth="1"/>
    <col min="240" max="240" width="13.7265625" style="17" customWidth="1"/>
    <col min="241" max="241" width="15.1796875" style="17" customWidth="1"/>
    <col min="242" max="242" width="16" style="17" customWidth="1"/>
    <col min="243" max="243" width="19" style="17" customWidth="1"/>
    <col min="244" max="245" width="11.81640625" style="17" customWidth="1"/>
    <col min="246" max="488" width="8.81640625" style="17"/>
    <col min="489" max="489" width="18.7265625" style="17" bestFit="1" customWidth="1"/>
    <col min="490" max="490" width="17.26953125" style="17" customWidth="1"/>
    <col min="491" max="491" width="13.7265625" style="17" customWidth="1"/>
    <col min="492" max="492" width="15.26953125" style="17" customWidth="1"/>
    <col min="493" max="493" width="13.7265625" style="17" customWidth="1"/>
    <col min="494" max="494" width="15.54296875" style="17" customWidth="1"/>
    <col min="495" max="495" width="14.54296875" style="17" customWidth="1"/>
    <col min="496" max="496" width="13.7265625" style="17" customWidth="1"/>
    <col min="497" max="497" width="15.1796875" style="17" customWidth="1"/>
    <col min="498" max="498" width="16" style="17" customWidth="1"/>
    <col min="499" max="499" width="19" style="17" customWidth="1"/>
    <col min="500" max="501" width="11.81640625" style="17" customWidth="1"/>
    <col min="502" max="744" width="8.81640625" style="17"/>
    <col min="745" max="745" width="18.7265625" style="17" bestFit="1" customWidth="1"/>
    <col min="746" max="746" width="17.26953125" style="17" customWidth="1"/>
    <col min="747" max="747" width="13.7265625" style="17" customWidth="1"/>
    <col min="748" max="748" width="15.26953125" style="17" customWidth="1"/>
    <col min="749" max="749" width="13.7265625" style="17" customWidth="1"/>
    <col min="750" max="750" width="15.54296875" style="17" customWidth="1"/>
    <col min="751" max="751" width="14.54296875" style="17" customWidth="1"/>
    <col min="752" max="752" width="13.7265625" style="17" customWidth="1"/>
    <col min="753" max="753" width="15.1796875" style="17" customWidth="1"/>
    <col min="754" max="754" width="16" style="17" customWidth="1"/>
    <col min="755" max="755" width="19" style="17" customWidth="1"/>
    <col min="756" max="757" width="11.81640625" style="17" customWidth="1"/>
    <col min="758" max="1000" width="8.81640625" style="17"/>
    <col min="1001" max="1001" width="18.7265625" style="17" bestFit="1" customWidth="1"/>
    <col min="1002" max="1002" width="17.26953125" style="17" customWidth="1"/>
    <col min="1003" max="1003" width="13.7265625" style="17" customWidth="1"/>
    <col min="1004" max="1004" width="15.26953125" style="17" customWidth="1"/>
    <col min="1005" max="1005" width="13.7265625" style="17" customWidth="1"/>
    <col min="1006" max="1006" width="15.54296875" style="17" customWidth="1"/>
    <col min="1007" max="1007" width="14.54296875" style="17" customWidth="1"/>
    <col min="1008" max="1008" width="13.7265625" style="17" customWidth="1"/>
    <col min="1009" max="1009" width="15.1796875" style="17" customWidth="1"/>
    <col min="1010" max="1010" width="16" style="17" customWidth="1"/>
    <col min="1011" max="1011" width="19" style="17" customWidth="1"/>
    <col min="1012" max="1013" width="11.81640625" style="17" customWidth="1"/>
    <col min="1014" max="1256" width="8.81640625" style="17"/>
    <col min="1257" max="1257" width="18.7265625" style="17" bestFit="1" customWidth="1"/>
    <col min="1258" max="1258" width="17.26953125" style="17" customWidth="1"/>
    <col min="1259" max="1259" width="13.7265625" style="17" customWidth="1"/>
    <col min="1260" max="1260" width="15.26953125" style="17" customWidth="1"/>
    <col min="1261" max="1261" width="13.7265625" style="17" customWidth="1"/>
    <col min="1262" max="1262" width="15.54296875" style="17" customWidth="1"/>
    <col min="1263" max="1263" width="14.54296875" style="17" customWidth="1"/>
    <col min="1264" max="1264" width="13.7265625" style="17" customWidth="1"/>
    <col min="1265" max="1265" width="15.1796875" style="17" customWidth="1"/>
    <col min="1266" max="1266" width="16" style="17" customWidth="1"/>
    <col min="1267" max="1267" width="19" style="17" customWidth="1"/>
    <col min="1268" max="1269" width="11.81640625" style="17" customWidth="1"/>
    <col min="1270" max="1512" width="8.81640625" style="17"/>
    <col min="1513" max="1513" width="18.7265625" style="17" bestFit="1" customWidth="1"/>
    <col min="1514" max="1514" width="17.26953125" style="17" customWidth="1"/>
    <col min="1515" max="1515" width="13.7265625" style="17" customWidth="1"/>
    <col min="1516" max="1516" width="15.26953125" style="17" customWidth="1"/>
    <col min="1517" max="1517" width="13.7265625" style="17" customWidth="1"/>
    <col min="1518" max="1518" width="15.54296875" style="17" customWidth="1"/>
    <col min="1519" max="1519" width="14.54296875" style="17" customWidth="1"/>
    <col min="1520" max="1520" width="13.7265625" style="17" customWidth="1"/>
    <col min="1521" max="1521" width="15.1796875" style="17" customWidth="1"/>
    <col min="1522" max="1522" width="16" style="17" customWidth="1"/>
    <col min="1523" max="1523" width="19" style="17" customWidth="1"/>
    <col min="1524" max="1525" width="11.81640625" style="17" customWidth="1"/>
    <col min="1526" max="1768" width="8.81640625" style="17"/>
    <col min="1769" max="1769" width="18.7265625" style="17" bestFit="1" customWidth="1"/>
    <col min="1770" max="1770" width="17.26953125" style="17" customWidth="1"/>
    <col min="1771" max="1771" width="13.7265625" style="17" customWidth="1"/>
    <col min="1772" max="1772" width="15.26953125" style="17" customWidth="1"/>
    <col min="1773" max="1773" width="13.7265625" style="17" customWidth="1"/>
    <col min="1774" max="1774" width="15.54296875" style="17" customWidth="1"/>
    <col min="1775" max="1775" width="14.54296875" style="17" customWidth="1"/>
    <col min="1776" max="1776" width="13.7265625" style="17" customWidth="1"/>
    <col min="1777" max="1777" width="15.1796875" style="17" customWidth="1"/>
    <col min="1778" max="1778" width="16" style="17" customWidth="1"/>
    <col min="1779" max="1779" width="19" style="17" customWidth="1"/>
    <col min="1780" max="1781" width="11.81640625" style="17" customWidth="1"/>
    <col min="1782" max="2024" width="8.81640625" style="17"/>
    <col min="2025" max="2025" width="18.7265625" style="17" bestFit="1" customWidth="1"/>
    <col min="2026" max="2026" width="17.26953125" style="17" customWidth="1"/>
    <col min="2027" max="2027" width="13.7265625" style="17" customWidth="1"/>
    <col min="2028" max="2028" width="15.26953125" style="17" customWidth="1"/>
    <col min="2029" max="2029" width="13.7265625" style="17" customWidth="1"/>
    <col min="2030" max="2030" width="15.54296875" style="17" customWidth="1"/>
    <col min="2031" max="2031" width="14.54296875" style="17" customWidth="1"/>
    <col min="2032" max="2032" width="13.7265625" style="17" customWidth="1"/>
    <col min="2033" max="2033" width="15.1796875" style="17" customWidth="1"/>
    <col min="2034" max="2034" width="16" style="17" customWidth="1"/>
    <col min="2035" max="2035" width="19" style="17" customWidth="1"/>
    <col min="2036" max="2037" width="11.81640625" style="17" customWidth="1"/>
    <col min="2038" max="2280" width="8.81640625" style="17"/>
    <col min="2281" max="2281" width="18.7265625" style="17" bestFit="1" customWidth="1"/>
    <col min="2282" max="2282" width="17.26953125" style="17" customWidth="1"/>
    <col min="2283" max="2283" width="13.7265625" style="17" customWidth="1"/>
    <col min="2284" max="2284" width="15.26953125" style="17" customWidth="1"/>
    <col min="2285" max="2285" width="13.7265625" style="17" customWidth="1"/>
    <col min="2286" max="2286" width="15.54296875" style="17" customWidth="1"/>
    <col min="2287" max="2287" width="14.54296875" style="17" customWidth="1"/>
    <col min="2288" max="2288" width="13.7265625" style="17" customWidth="1"/>
    <col min="2289" max="2289" width="15.1796875" style="17" customWidth="1"/>
    <col min="2290" max="2290" width="16" style="17" customWidth="1"/>
    <col min="2291" max="2291" width="19" style="17" customWidth="1"/>
    <col min="2292" max="2293" width="11.81640625" style="17" customWidth="1"/>
    <col min="2294" max="2536" width="8.81640625" style="17"/>
    <col min="2537" max="2537" width="18.7265625" style="17" bestFit="1" customWidth="1"/>
    <col min="2538" max="2538" width="17.26953125" style="17" customWidth="1"/>
    <col min="2539" max="2539" width="13.7265625" style="17" customWidth="1"/>
    <col min="2540" max="2540" width="15.26953125" style="17" customWidth="1"/>
    <col min="2541" max="2541" width="13.7265625" style="17" customWidth="1"/>
    <col min="2542" max="2542" width="15.54296875" style="17" customWidth="1"/>
    <col min="2543" max="2543" width="14.54296875" style="17" customWidth="1"/>
    <col min="2544" max="2544" width="13.7265625" style="17" customWidth="1"/>
    <col min="2545" max="2545" width="15.1796875" style="17" customWidth="1"/>
    <col min="2546" max="2546" width="16" style="17" customWidth="1"/>
    <col min="2547" max="2547" width="19" style="17" customWidth="1"/>
    <col min="2548" max="2549" width="11.81640625" style="17" customWidth="1"/>
    <col min="2550" max="2792" width="8.81640625" style="17"/>
    <col min="2793" max="2793" width="18.7265625" style="17" bestFit="1" customWidth="1"/>
    <col min="2794" max="2794" width="17.26953125" style="17" customWidth="1"/>
    <col min="2795" max="2795" width="13.7265625" style="17" customWidth="1"/>
    <col min="2796" max="2796" width="15.26953125" style="17" customWidth="1"/>
    <col min="2797" max="2797" width="13.7265625" style="17" customWidth="1"/>
    <col min="2798" max="2798" width="15.54296875" style="17" customWidth="1"/>
    <col min="2799" max="2799" width="14.54296875" style="17" customWidth="1"/>
    <col min="2800" max="2800" width="13.7265625" style="17" customWidth="1"/>
    <col min="2801" max="2801" width="15.1796875" style="17" customWidth="1"/>
    <col min="2802" max="2802" width="16" style="17" customWidth="1"/>
    <col min="2803" max="2803" width="19" style="17" customWidth="1"/>
    <col min="2804" max="2805" width="11.81640625" style="17" customWidth="1"/>
    <col min="2806" max="3048" width="8.81640625" style="17"/>
    <col min="3049" max="3049" width="18.7265625" style="17" bestFit="1" customWidth="1"/>
    <col min="3050" max="3050" width="17.26953125" style="17" customWidth="1"/>
    <col min="3051" max="3051" width="13.7265625" style="17" customWidth="1"/>
    <col min="3052" max="3052" width="15.26953125" style="17" customWidth="1"/>
    <col min="3053" max="3053" width="13.7265625" style="17" customWidth="1"/>
    <col min="3054" max="3054" width="15.54296875" style="17" customWidth="1"/>
    <col min="3055" max="3055" width="14.54296875" style="17" customWidth="1"/>
    <col min="3056" max="3056" width="13.7265625" style="17" customWidth="1"/>
    <col min="3057" max="3057" width="15.1796875" style="17" customWidth="1"/>
    <col min="3058" max="3058" width="16" style="17" customWidth="1"/>
    <col min="3059" max="3059" width="19" style="17" customWidth="1"/>
    <col min="3060" max="3061" width="11.81640625" style="17" customWidth="1"/>
    <col min="3062" max="3304" width="8.81640625" style="17"/>
    <col min="3305" max="3305" width="18.7265625" style="17" bestFit="1" customWidth="1"/>
    <col min="3306" max="3306" width="17.26953125" style="17" customWidth="1"/>
    <col min="3307" max="3307" width="13.7265625" style="17" customWidth="1"/>
    <col min="3308" max="3308" width="15.26953125" style="17" customWidth="1"/>
    <col min="3309" max="3309" width="13.7265625" style="17" customWidth="1"/>
    <col min="3310" max="3310" width="15.54296875" style="17" customWidth="1"/>
    <col min="3311" max="3311" width="14.54296875" style="17" customWidth="1"/>
    <col min="3312" max="3312" width="13.7265625" style="17" customWidth="1"/>
    <col min="3313" max="3313" width="15.1796875" style="17" customWidth="1"/>
    <col min="3314" max="3314" width="16" style="17" customWidth="1"/>
    <col min="3315" max="3315" width="19" style="17" customWidth="1"/>
    <col min="3316" max="3317" width="11.81640625" style="17" customWidth="1"/>
    <col min="3318" max="3560" width="8.81640625" style="17"/>
    <col min="3561" max="3561" width="18.7265625" style="17" bestFit="1" customWidth="1"/>
    <col min="3562" max="3562" width="17.26953125" style="17" customWidth="1"/>
    <col min="3563" max="3563" width="13.7265625" style="17" customWidth="1"/>
    <col min="3564" max="3564" width="15.26953125" style="17" customWidth="1"/>
    <col min="3565" max="3565" width="13.7265625" style="17" customWidth="1"/>
    <col min="3566" max="3566" width="15.54296875" style="17" customWidth="1"/>
    <col min="3567" max="3567" width="14.54296875" style="17" customWidth="1"/>
    <col min="3568" max="3568" width="13.7265625" style="17" customWidth="1"/>
    <col min="3569" max="3569" width="15.1796875" style="17" customWidth="1"/>
    <col min="3570" max="3570" width="16" style="17" customWidth="1"/>
    <col min="3571" max="3571" width="19" style="17" customWidth="1"/>
    <col min="3572" max="3573" width="11.81640625" style="17" customWidth="1"/>
    <col min="3574" max="3816" width="8.81640625" style="17"/>
    <col min="3817" max="3817" width="18.7265625" style="17" bestFit="1" customWidth="1"/>
    <col min="3818" max="3818" width="17.26953125" style="17" customWidth="1"/>
    <col min="3819" max="3819" width="13.7265625" style="17" customWidth="1"/>
    <col min="3820" max="3820" width="15.26953125" style="17" customWidth="1"/>
    <col min="3821" max="3821" width="13.7265625" style="17" customWidth="1"/>
    <col min="3822" max="3822" width="15.54296875" style="17" customWidth="1"/>
    <col min="3823" max="3823" width="14.54296875" style="17" customWidth="1"/>
    <col min="3824" max="3824" width="13.7265625" style="17" customWidth="1"/>
    <col min="3825" max="3825" width="15.1796875" style="17" customWidth="1"/>
    <col min="3826" max="3826" width="16" style="17" customWidth="1"/>
    <col min="3827" max="3827" width="19" style="17" customWidth="1"/>
    <col min="3828" max="3829" width="11.81640625" style="17" customWidth="1"/>
    <col min="3830" max="4072" width="8.81640625" style="17"/>
    <col min="4073" max="4073" width="18.7265625" style="17" bestFit="1" customWidth="1"/>
    <col min="4074" max="4074" width="17.26953125" style="17" customWidth="1"/>
    <col min="4075" max="4075" width="13.7265625" style="17" customWidth="1"/>
    <col min="4076" max="4076" width="15.26953125" style="17" customWidth="1"/>
    <col min="4077" max="4077" width="13.7265625" style="17" customWidth="1"/>
    <col min="4078" max="4078" width="15.54296875" style="17" customWidth="1"/>
    <col min="4079" max="4079" width="14.54296875" style="17" customWidth="1"/>
    <col min="4080" max="4080" width="13.7265625" style="17" customWidth="1"/>
    <col min="4081" max="4081" width="15.1796875" style="17" customWidth="1"/>
    <col min="4082" max="4082" width="16" style="17" customWidth="1"/>
    <col min="4083" max="4083" width="19" style="17" customWidth="1"/>
    <col min="4084" max="4085" width="11.81640625" style="17" customWidth="1"/>
    <col min="4086" max="4328" width="8.81640625" style="17"/>
    <col min="4329" max="4329" width="18.7265625" style="17" bestFit="1" customWidth="1"/>
    <col min="4330" max="4330" width="17.26953125" style="17" customWidth="1"/>
    <col min="4331" max="4331" width="13.7265625" style="17" customWidth="1"/>
    <col min="4332" max="4332" width="15.26953125" style="17" customWidth="1"/>
    <col min="4333" max="4333" width="13.7265625" style="17" customWidth="1"/>
    <col min="4334" max="4334" width="15.54296875" style="17" customWidth="1"/>
    <col min="4335" max="4335" width="14.54296875" style="17" customWidth="1"/>
    <col min="4336" max="4336" width="13.7265625" style="17" customWidth="1"/>
    <col min="4337" max="4337" width="15.1796875" style="17" customWidth="1"/>
    <col min="4338" max="4338" width="16" style="17" customWidth="1"/>
    <col min="4339" max="4339" width="19" style="17" customWidth="1"/>
    <col min="4340" max="4341" width="11.81640625" style="17" customWidth="1"/>
    <col min="4342" max="4584" width="8.81640625" style="17"/>
    <col min="4585" max="4585" width="18.7265625" style="17" bestFit="1" customWidth="1"/>
    <col min="4586" max="4586" width="17.26953125" style="17" customWidth="1"/>
    <col min="4587" max="4587" width="13.7265625" style="17" customWidth="1"/>
    <col min="4588" max="4588" width="15.26953125" style="17" customWidth="1"/>
    <col min="4589" max="4589" width="13.7265625" style="17" customWidth="1"/>
    <col min="4590" max="4590" width="15.54296875" style="17" customWidth="1"/>
    <col min="4591" max="4591" width="14.54296875" style="17" customWidth="1"/>
    <col min="4592" max="4592" width="13.7265625" style="17" customWidth="1"/>
    <col min="4593" max="4593" width="15.1796875" style="17" customWidth="1"/>
    <col min="4594" max="4594" width="16" style="17" customWidth="1"/>
    <col min="4595" max="4595" width="19" style="17" customWidth="1"/>
    <col min="4596" max="4597" width="11.81640625" style="17" customWidth="1"/>
    <col min="4598" max="4840" width="8.81640625" style="17"/>
    <col min="4841" max="4841" width="18.7265625" style="17" bestFit="1" customWidth="1"/>
    <col min="4842" max="4842" width="17.26953125" style="17" customWidth="1"/>
    <col min="4843" max="4843" width="13.7265625" style="17" customWidth="1"/>
    <col min="4844" max="4844" width="15.26953125" style="17" customWidth="1"/>
    <col min="4845" max="4845" width="13.7265625" style="17" customWidth="1"/>
    <col min="4846" max="4846" width="15.54296875" style="17" customWidth="1"/>
    <col min="4847" max="4847" width="14.54296875" style="17" customWidth="1"/>
    <col min="4848" max="4848" width="13.7265625" style="17" customWidth="1"/>
    <col min="4849" max="4849" width="15.1796875" style="17" customWidth="1"/>
    <col min="4850" max="4850" width="16" style="17" customWidth="1"/>
    <col min="4851" max="4851" width="19" style="17" customWidth="1"/>
    <col min="4852" max="4853" width="11.81640625" style="17" customWidth="1"/>
    <col min="4854" max="5096" width="8.81640625" style="17"/>
    <col min="5097" max="5097" width="18.7265625" style="17" bestFit="1" customWidth="1"/>
    <col min="5098" max="5098" width="17.26953125" style="17" customWidth="1"/>
    <col min="5099" max="5099" width="13.7265625" style="17" customWidth="1"/>
    <col min="5100" max="5100" width="15.26953125" style="17" customWidth="1"/>
    <col min="5101" max="5101" width="13.7265625" style="17" customWidth="1"/>
    <col min="5102" max="5102" width="15.54296875" style="17" customWidth="1"/>
    <col min="5103" max="5103" width="14.54296875" style="17" customWidth="1"/>
    <col min="5104" max="5104" width="13.7265625" style="17" customWidth="1"/>
    <col min="5105" max="5105" width="15.1796875" style="17" customWidth="1"/>
    <col min="5106" max="5106" width="16" style="17" customWidth="1"/>
    <col min="5107" max="5107" width="19" style="17" customWidth="1"/>
    <col min="5108" max="5109" width="11.81640625" style="17" customWidth="1"/>
    <col min="5110" max="5352" width="8.81640625" style="17"/>
    <col min="5353" max="5353" width="18.7265625" style="17" bestFit="1" customWidth="1"/>
    <col min="5354" max="5354" width="17.26953125" style="17" customWidth="1"/>
    <col min="5355" max="5355" width="13.7265625" style="17" customWidth="1"/>
    <col min="5356" max="5356" width="15.26953125" style="17" customWidth="1"/>
    <col min="5357" max="5357" width="13.7265625" style="17" customWidth="1"/>
    <col min="5358" max="5358" width="15.54296875" style="17" customWidth="1"/>
    <col min="5359" max="5359" width="14.54296875" style="17" customWidth="1"/>
    <col min="5360" max="5360" width="13.7265625" style="17" customWidth="1"/>
    <col min="5361" max="5361" width="15.1796875" style="17" customWidth="1"/>
    <col min="5362" max="5362" width="16" style="17" customWidth="1"/>
    <col min="5363" max="5363" width="19" style="17" customWidth="1"/>
    <col min="5364" max="5365" width="11.81640625" style="17" customWidth="1"/>
    <col min="5366" max="5608" width="8.81640625" style="17"/>
    <col min="5609" max="5609" width="18.7265625" style="17" bestFit="1" customWidth="1"/>
    <col min="5610" max="5610" width="17.26953125" style="17" customWidth="1"/>
    <col min="5611" max="5611" width="13.7265625" style="17" customWidth="1"/>
    <col min="5612" max="5612" width="15.26953125" style="17" customWidth="1"/>
    <col min="5613" max="5613" width="13.7265625" style="17" customWidth="1"/>
    <col min="5614" max="5614" width="15.54296875" style="17" customWidth="1"/>
    <col min="5615" max="5615" width="14.54296875" style="17" customWidth="1"/>
    <col min="5616" max="5616" width="13.7265625" style="17" customWidth="1"/>
    <col min="5617" max="5617" width="15.1796875" style="17" customWidth="1"/>
    <col min="5618" max="5618" width="16" style="17" customWidth="1"/>
    <col min="5619" max="5619" width="19" style="17" customWidth="1"/>
    <col min="5620" max="5621" width="11.81640625" style="17" customWidth="1"/>
    <col min="5622" max="5864" width="8.81640625" style="17"/>
    <col min="5865" max="5865" width="18.7265625" style="17" bestFit="1" customWidth="1"/>
    <col min="5866" max="5866" width="17.26953125" style="17" customWidth="1"/>
    <col min="5867" max="5867" width="13.7265625" style="17" customWidth="1"/>
    <col min="5868" max="5868" width="15.26953125" style="17" customWidth="1"/>
    <col min="5869" max="5869" width="13.7265625" style="17" customWidth="1"/>
    <col min="5870" max="5870" width="15.54296875" style="17" customWidth="1"/>
    <col min="5871" max="5871" width="14.54296875" style="17" customWidth="1"/>
    <col min="5872" max="5872" width="13.7265625" style="17" customWidth="1"/>
    <col min="5873" max="5873" width="15.1796875" style="17" customWidth="1"/>
    <col min="5874" max="5874" width="16" style="17" customWidth="1"/>
    <col min="5875" max="5875" width="19" style="17" customWidth="1"/>
    <col min="5876" max="5877" width="11.81640625" style="17" customWidth="1"/>
    <col min="5878" max="6120" width="8.81640625" style="17"/>
    <col min="6121" max="6121" width="18.7265625" style="17" bestFit="1" customWidth="1"/>
    <col min="6122" max="6122" width="17.26953125" style="17" customWidth="1"/>
    <col min="6123" max="6123" width="13.7265625" style="17" customWidth="1"/>
    <col min="6124" max="6124" width="15.26953125" style="17" customWidth="1"/>
    <col min="6125" max="6125" width="13.7265625" style="17" customWidth="1"/>
    <col min="6126" max="6126" width="15.54296875" style="17" customWidth="1"/>
    <col min="6127" max="6127" width="14.54296875" style="17" customWidth="1"/>
    <col min="6128" max="6128" width="13.7265625" style="17" customWidth="1"/>
    <col min="6129" max="6129" width="15.1796875" style="17" customWidth="1"/>
    <col min="6130" max="6130" width="16" style="17" customWidth="1"/>
    <col min="6131" max="6131" width="19" style="17" customWidth="1"/>
    <col min="6132" max="6133" width="11.81640625" style="17" customWidth="1"/>
    <col min="6134" max="6376" width="8.81640625" style="17"/>
    <col min="6377" max="6377" width="18.7265625" style="17" bestFit="1" customWidth="1"/>
    <col min="6378" max="6378" width="17.26953125" style="17" customWidth="1"/>
    <col min="6379" max="6379" width="13.7265625" style="17" customWidth="1"/>
    <col min="6380" max="6380" width="15.26953125" style="17" customWidth="1"/>
    <col min="6381" max="6381" width="13.7265625" style="17" customWidth="1"/>
    <col min="6382" max="6382" width="15.54296875" style="17" customWidth="1"/>
    <col min="6383" max="6383" width="14.54296875" style="17" customWidth="1"/>
    <col min="6384" max="6384" width="13.7265625" style="17" customWidth="1"/>
    <col min="6385" max="6385" width="15.1796875" style="17" customWidth="1"/>
    <col min="6386" max="6386" width="16" style="17" customWidth="1"/>
    <col min="6387" max="6387" width="19" style="17" customWidth="1"/>
    <col min="6388" max="6389" width="11.81640625" style="17" customWidth="1"/>
    <col min="6390" max="6632" width="8.81640625" style="17"/>
    <col min="6633" max="6633" width="18.7265625" style="17" bestFit="1" customWidth="1"/>
    <col min="6634" max="6634" width="17.26953125" style="17" customWidth="1"/>
    <col min="6635" max="6635" width="13.7265625" style="17" customWidth="1"/>
    <col min="6636" max="6636" width="15.26953125" style="17" customWidth="1"/>
    <col min="6637" max="6637" width="13.7265625" style="17" customWidth="1"/>
    <col min="6638" max="6638" width="15.54296875" style="17" customWidth="1"/>
    <col min="6639" max="6639" width="14.54296875" style="17" customWidth="1"/>
    <col min="6640" max="6640" width="13.7265625" style="17" customWidth="1"/>
    <col min="6641" max="6641" width="15.1796875" style="17" customWidth="1"/>
    <col min="6642" max="6642" width="16" style="17" customWidth="1"/>
    <col min="6643" max="6643" width="19" style="17" customWidth="1"/>
    <col min="6644" max="6645" width="11.81640625" style="17" customWidth="1"/>
    <col min="6646" max="6888" width="8.81640625" style="17"/>
    <col min="6889" max="6889" width="18.7265625" style="17" bestFit="1" customWidth="1"/>
    <col min="6890" max="6890" width="17.26953125" style="17" customWidth="1"/>
    <col min="6891" max="6891" width="13.7265625" style="17" customWidth="1"/>
    <col min="6892" max="6892" width="15.26953125" style="17" customWidth="1"/>
    <col min="6893" max="6893" width="13.7265625" style="17" customWidth="1"/>
    <col min="6894" max="6894" width="15.54296875" style="17" customWidth="1"/>
    <col min="6895" max="6895" width="14.54296875" style="17" customWidth="1"/>
    <col min="6896" max="6896" width="13.7265625" style="17" customWidth="1"/>
    <col min="6897" max="6897" width="15.1796875" style="17" customWidth="1"/>
    <col min="6898" max="6898" width="16" style="17" customWidth="1"/>
    <col min="6899" max="6899" width="19" style="17" customWidth="1"/>
    <col min="6900" max="6901" width="11.81640625" style="17" customWidth="1"/>
    <col min="6902" max="7144" width="8.81640625" style="17"/>
    <col min="7145" max="7145" width="18.7265625" style="17" bestFit="1" customWidth="1"/>
    <col min="7146" max="7146" width="17.26953125" style="17" customWidth="1"/>
    <col min="7147" max="7147" width="13.7265625" style="17" customWidth="1"/>
    <col min="7148" max="7148" width="15.26953125" style="17" customWidth="1"/>
    <col min="7149" max="7149" width="13.7265625" style="17" customWidth="1"/>
    <col min="7150" max="7150" width="15.54296875" style="17" customWidth="1"/>
    <col min="7151" max="7151" width="14.54296875" style="17" customWidth="1"/>
    <col min="7152" max="7152" width="13.7265625" style="17" customWidth="1"/>
    <col min="7153" max="7153" width="15.1796875" style="17" customWidth="1"/>
    <col min="7154" max="7154" width="16" style="17" customWidth="1"/>
    <col min="7155" max="7155" width="19" style="17" customWidth="1"/>
    <col min="7156" max="7157" width="11.81640625" style="17" customWidth="1"/>
    <col min="7158" max="7400" width="8.81640625" style="17"/>
    <col min="7401" max="7401" width="18.7265625" style="17" bestFit="1" customWidth="1"/>
    <col min="7402" max="7402" width="17.26953125" style="17" customWidth="1"/>
    <col min="7403" max="7403" width="13.7265625" style="17" customWidth="1"/>
    <col min="7404" max="7404" width="15.26953125" style="17" customWidth="1"/>
    <col min="7405" max="7405" width="13.7265625" style="17" customWidth="1"/>
    <col min="7406" max="7406" width="15.54296875" style="17" customWidth="1"/>
    <col min="7407" max="7407" width="14.54296875" style="17" customWidth="1"/>
    <col min="7408" max="7408" width="13.7265625" style="17" customWidth="1"/>
    <col min="7409" max="7409" width="15.1796875" style="17" customWidth="1"/>
    <col min="7410" max="7410" width="16" style="17" customWidth="1"/>
    <col min="7411" max="7411" width="19" style="17" customWidth="1"/>
    <col min="7412" max="7413" width="11.81640625" style="17" customWidth="1"/>
    <col min="7414" max="7656" width="8.81640625" style="17"/>
    <col min="7657" max="7657" width="18.7265625" style="17" bestFit="1" customWidth="1"/>
    <col min="7658" max="7658" width="17.26953125" style="17" customWidth="1"/>
    <col min="7659" max="7659" width="13.7265625" style="17" customWidth="1"/>
    <col min="7660" max="7660" width="15.26953125" style="17" customWidth="1"/>
    <col min="7661" max="7661" width="13.7265625" style="17" customWidth="1"/>
    <col min="7662" max="7662" width="15.54296875" style="17" customWidth="1"/>
    <col min="7663" max="7663" width="14.54296875" style="17" customWidth="1"/>
    <col min="7664" max="7664" width="13.7265625" style="17" customWidth="1"/>
    <col min="7665" max="7665" width="15.1796875" style="17" customWidth="1"/>
    <col min="7666" max="7666" width="16" style="17" customWidth="1"/>
    <col min="7667" max="7667" width="19" style="17" customWidth="1"/>
    <col min="7668" max="7669" width="11.81640625" style="17" customWidth="1"/>
    <col min="7670" max="7912" width="8.81640625" style="17"/>
    <col min="7913" max="7913" width="18.7265625" style="17" bestFit="1" customWidth="1"/>
    <col min="7914" max="7914" width="17.26953125" style="17" customWidth="1"/>
    <col min="7915" max="7915" width="13.7265625" style="17" customWidth="1"/>
    <col min="7916" max="7916" width="15.26953125" style="17" customWidth="1"/>
    <col min="7917" max="7917" width="13.7265625" style="17" customWidth="1"/>
    <col min="7918" max="7918" width="15.54296875" style="17" customWidth="1"/>
    <col min="7919" max="7919" width="14.54296875" style="17" customWidth="1"/>
    <col min="7920" max="7920" width="13.7265625" style="17" customWidth="1"/>
    <col min="7921" max="7921" width="15.1796875" style="17" customWidth="1"/>
    <col min="7922" max="7922" width="16" style="17" customWidth="1"/>
    <col min="7923" max="7923" width="19" style="17" customWidth="1"/>
    <col min="7924" max="7925" width="11.81640625" style="17" customWidth="1"/>
    <col min="7926" max="8168" width="8.81640625" style="17"/>
    <col min="8169" max="8169" width="18.7265625" style="17" bestFit="1" customWidth="1"/>
    <col min="8170" max="8170" width="17.26953125" style="17" customWidth="1"/>
    <col min="8171" max="8171" width="13.7265625" style="17" customWidth="1"/>
    <col min="8172" max="8172" width="15.26953125" style="17" customWidth="1"/>
    <col min="8173" max="8173" width="13.7265625" style="17" customWidth="1"/>
    <col min="8174" max="8174" width="15.54296875" style="17" customWidth="1"/>
    <col min="8175" max="8175" width="14.54296875" style="17" customWidth="1"/>
    <col min="8176" max="8176" width="13.7265625" style="17" customWidth="1"/>
    <col min="8177" max="8177" width="15.1796875" style="17" customWidth="1"/>
    <col min="8178" max="8178" width="16" style="17" customWidth="1"/>
    <col min="8179" max="8179" width="19" style="17" customWidth="1"/>
    <col min="8180" max="8181" width="11.81640625" style="17" customWidth="1"/>
    <col min="8182" max="8424" width="8.81640625" style="17"/>
    <col min="8425" max="8425" width="18.7265625" style="17" bestFit="1" customWidth="1"/>
    <col min="8426" max="8426" width="17.26953125" style="17" customWidth="1"/>
    <col min="8427" max="8427" width="13.7265625" style="17" customWidth="1"/>
    <col min="8428" max="8428" width="15.26953125" style="17" customWidth="1"/>
    <col min="8429" max="8429" width="13.7265625" style="17" customWidth="1"/>
    <col min="8430" max="8430" width="15.54296875" style="17" customWidth="1"/>
    <col min="8431" max="8431" width="14.54296875" style="17" customWidth="1"/>
    <col min="8432" max="8432" width="13.7265625" style="17" customWidth="1"/>
    <col min="8433" max="8433" width="15.1796875" style="17" customWidth="1"/>
    <col min="8434" max="8434" width="16" style="17" customWidth="1"/>
    <col min="8435" max="8435" width="19" style="17" customWidth="1"/>
    <col min="8436" max="8437" width="11.81640625" style="17" customWidth="1"/>
    <col min="8438" max="8680" width="8.81640625" style="17"/>
    <col min="8681" max="8681" width="18.7265625" style="17" bestFit="1" customWidth="1"/>
    <col min="8682" max="8682" width="17.26953125" style="17" customWidth="1"/>
    <col min="8683" max="8683" width="13.7265625" style="17" customWidth="1"/>
    <col min="8684" max="8684" width="15.26953125" style="17" customWidth="1"/>
    <col min="8685" max="8685" width="13.7265625" style="17" customWidth="1"/>
    <col min="8686" max="8686" width="15.54296875" style="17" customWidth="1"/>
    <col min="8687" max="8687" width="14.54296875" style="17" customWidth="1"/>
    <col min="8688" max="8688" width="13.7265625" style="17" customWidth="1"/>
    <col min="8689" max="8689" width="15.1796875" style="17" customWidth="1"/>
    <col min="8690" max="8690" width="16" style="17" customWidth="1"/>
    <col min="8691" max="8691" width="19" style="17" customWidth="1"/>
    <col min="8692" max="8693" width="11.81640625" style="17" customWidth="1"/>
    <col min="8694" max="8936" width="8.81640625" style="17"/>
    <col min="8937" max="8937" width="18.7265625" style="17" bestFit="1" customWidth="1"/>
    <col min="8938" max="8938" width="17.26953125" style="17" customWidth="1"/>
    <col min="8939" max="8939" width="13.7265625" style="17" customWidth="1"/>
    <col min="8940" max="8940" width="15.26953125" style="17" customWidth="1"/>
    <col min="8941" max="8941" width="13.7265625" style="17" customWidth="1"/>
    <col min="8942" max="8942" width="15.54296875" style="17" customWidth="1"/>
    <col min="8943" max="8943" width="14.54296875" style="17" customWidth="1"/>
    <col min="8944" max="8944" width="13.7265625" style="17" customWidth="1"/>
    <col min="8945" max="8945" width="15.1796875" style="17" customWidth="1"/>
    <col min="8946" max="8946" width="16" style="17" customWidth="1"/>
    <col min="8947" max="8947" width="19" style="17" customWidth="1"/>
    <col min="8948" max="8949" width="11.81640625" style="17" customWidth="1"/>
    <col min="8950" max="9192" width="8.81640625" style="17"/>
    <col min="9193" max="9193" width="18.7265625" style="17" bestFit="1" customWidth="1"/>
    <col min="9194" max="9194" width="17.26953125" style="17" customWidth="1"/>
    <col min="9195" max="9195" width="13.7265625" style="17" customWidth="1"/>
    <col min="9196" max="9196" width="15.26953125" style="17" customWidth="1"/>
    <col min="9197" max="9197" width="13.7265625" style="17" customWidth="1"/>
    <col min="9198" max="9198" width="15.54296875" style="17" customWidth="1"/>
    <col min="9199" max="9199" width="14.54296875" style="17" customWidth="1"/>
    <col min="9200" max="9200" width="13.7265625" style="17" customWidth="1"/>
    <col min="9201" max="9201" width="15.1796875" style="17" customWidth="1"/>
    <col min="9202" max="9202" width="16" style="17" customWidth="1"/>
    <col min="9203" max="9203" width="19" style="17" customWidth="1"/>
    <col min="9204" max="9205" width="11.81640625" style="17" customWidth="1"/>
    <col min="9206" max="9448" width="8.81640625" style="17"/>
    <col min="9449" max="9449" width="18.7265625" style="17" bestFit="1" customWidth="1"/>
    <col min="9450" max="9450" width="17.26953125" style="17" customWidth="1"/>
    <col min="9451" max="9451" width="13.7265625" style="17" customWidth="1"/>
    <col min="9452" max="9452" width="15.26953125" style="17" customWidth="1"/>
    <col min="9453" max="9453" width="13.7265625" style="17" customWidth="1"/>
    <col min="9454" max="9454" width="15.54296875" style="17" customWidth="1"/>
    <col min="9455" max="9455" width="14.54296875" style="17" customWidth="1"/>
    <col min="9456" max="9456" width="13.7265625" style="17" customWidth="1"/>
    <col min="9457" max="9457" width="15.1796875" style="17" customWidth="1"/>
    <col min="9458" max="9458" width="16" style="17" customWidth="1"/>
    <col min="9459" max="9459" width="19" style="17" customWidth="1"/>
    <col min="9460" max="9461" width="11.81640625" style="17" customWidth="1"/>
    <col min="9462" max="9704" width="8.81640625" style="17"/>
    <col min="9705" max="9705" width="18.7265625" style="17" bestFit="1" customWidth="1"/>
    <col min="9706" max="9706" width="17.26953125" style="17" customWidth="1"/>
    <col min="9707" max="9707" width="13.7265625" style="17" customWidth="1"/>
    <col min="9708" max="9708" width="15.26953125" style="17" customWidth="1"/>
    <col min="9709" max="9709" width="13.7265625" style="17" customWidth="1"/>
    <col min="9710" max="9710" width="15.54296875" style="17" customWidth="1"/>
    <col min="9711" max="9711" width="14.54296875" style="17" customWidth="1"/>
    <col min="9712" max="9712" width="13.7265625" style="17" customWidth="1"/>
    <col min="9713" max="9713" width="15.1796875" style="17" customWidth="1"/>
    <col min="9714" max="9714" width="16" style="17" customWidth="1"/>
    <col min="9715" max="9715" width="19" style="17" customWidth="1"/>
    <col min="9716" max="9717" width="11.81640625" style="17" customWidth="1"/>
    <col min="9718" max="9960" width="8.81640625" style="17"/>
    <col min="9961" max="9961" width="18.7265625" style="17" bestFit="1" customWidth="1"/>
    <col min="9962" max="9962" width="17.26953125" style="17" customWidth="1"/>
    <col min="9963" max="9963" width="13.7265625" style="17" customWidth="1"/>
    <col min="9964" max="9964" width="15.26953125" style="17" customWidth="1"/>
    <col min="9965" max="9965" width="13.7265625" style="17" customWidth="1"/>
    <col min="9966" max="9966" width="15.54296875" style="17" customWidth="1"/>
    <col min="9967" max="9967" width="14.54296875" style="17" customWidth="1"/>
    <col min="9968" max="9968" width="13.7265625" style="17" customWidth="1"/>
    <col min="9969" max="9969" width="15.1796875" style="17" customWidth="1"/>
    <col min="9970" max="9970" width="16" style="17" customWidth="1"/>
    <col min="9971" max="9971" width="19" style="17" customWidth="1"/>
    <col min="9972" max="9973" width="11.81640625" style="17" customWidth="1"/>
    <col min="9974" max="10216" width="8.81640625" style="17"/>
    <col min="10217" max="10217" width="18.7265625" style="17" bestFit="1" customWidth="1"/>
    <col min="10218" max="10218" width="17.26953125" style="17" customWidth="1"/>
    <col min="10219" max="10219" width="13.7265625" style="17" customWidth="1"/>
    <col min="10220" max="10220" width="15.26953125" style="17" customWidth="1"/>
    <col min="10221" max="10221" width="13.7265625" style="17" customWidth="1"/>
    <col min="10222" max="10222" width="15.54296875" style="17" customWidth="1"/>
    <col min="10223" max="10223" width="14.54296875" style="17" customWidth="1"/>
    <col min="10224" max="10224" width="13.7265625" style="17" customWidth="1"/>
    <col min="10225" max="10225" width="15.1796875" style="17" customWidth="1"/>
    <col min="10226" max="10226" width="16" style="17" customWidth="1"/>
    <col min="10227" max="10227" width="19" style="17" customWidth="1"/>
    <col min="10228" max="10229" width="11.81640625" style="17" customWidth="1"/>
    <col min="10230" max="10472" width="8.81640625" style="17"/>
    <col min="10473" max="10473" width="18.7265625" style="17" bestFit="1" customWidth="1"/>
    <col min="10474" max="10474" width="17.26953125" style="17" customWidth="1"/>
    <col min="10475" max="10475" width="13.7265625" style="17" customWidth="1"/>
    <col min="10476" max="10476" width="15.26953125" style="17" customWidth="1"/>
    <col min="10477" max="10477" width="13.7265625" style="17" customWidth="1"/>
    <col min="10478" max="10478" width="15.54296875" style="17" customWidth="1"/>
    <col min="10479" max="10479" width="14.54296875" style="17" customWidth="1"/>
    <col min="10480" max="10480" width="13.7265625" style="17" customWidth="1"/>
    <col min="10481" max="10481" width="15.1796875" style="17" customWidth="1"/>
    <col min="10482" max="10482" width="16" style="17" customWidth="1"/>
    <col min="10483" max="10483" width="19" style="17" customWidth="1"/>
    <col min="10484" max="10485" width="11.81640625" style="17" customWidth="1"/>
    <col min="10486" max="10728" width="8.81640625" style="17"/>
    <col min="10729" max="10729" width="18.7265625" style="17" bestFit="1" customWidth="1"/>
    <col min="10730" max="10730" width="17.26953125" style="17" customWidth="1"/>
    <col min="10731" max="10731" width="13.7265625" style="17" customWidth="1"/>
    <col min="10732" max="10732" width="15.26953125" style="17" customWidth="1"/>
    <col min="10733" max="10733" width="13.7265625" style="17" customWidth="1"/>
    <col min="10734" max="10734" width="15.54296875" style="17" customWidth="1"/>
    <col min="10735" max="10735" width="14.54296875" style="17" customWidth="1"/>
    <col min="10736" max="10736" width="13.7265625" style="17" customWidth="1"/>
    <col min="10737" max="10737" width="15.1796875" style="17" customWidth="1"/>
    <col min="10738" max="10738" width="16" style="17" customWidth="1"/>
    <col min="10739" max="10739" width="19" style="17" customWidth="1"/>
    <col min="10740" max="10741" width="11.81640625" style="17" customWidth="1"/>
    <col min="10742" max="10984" width="8.81640625" style="17"/>
    <col min="10985" max="10985" width="18.7265625" style="17" bestFit="1" customWidth="1"/>
    <col min="10986" max="10986" width="17.26953125" style="17" customWidth="1"/>
    <col min="10987" max="10987" width="13.7265625" style="17" customWidth="1"/>
    <col min="10988" max="10988" width="15.26953125" style="17" customWidth="1"/>
    <col min="10989" max="10989" width="13.7265625" style="17" customWidth="1"/>
    <col min="10990" max="10990" width="15.54296875" style="17" customWidth="1"/>
    <col min="10991" max="10991" width="14.54296875" style="17" customWidth="1"/>
    <col min="10992" max="10992" width="13.7265625" style="17" customWidth="1"/>
    <col min="10993" max="10993" width="15.1796875" style="17" customWidth="1"/>
    <col min="10994" max="10994" width="16" style="17" customWidth="1"/>
    <col min="10995" max="10995" width="19" style="17" customWidth="1"/>
    <col min="10996" max="10997" width="11.81640625" style="17" customWidth="1"/>
    <col min="10998" max="11240" width="8.81640625" style="17"/>
    <col min="11241" max="11241" width="18.7265625" style="17" bestFit="1" customWidth="1"/>
    <col min="11242" max="11242" width="17.26953125" style="17" customWidth="1"/>
    <col min="11243" max="11243" width="13.7265625" style="17" customWidth="1"/>
    <col min="11244" max="11244" width="15.26953125" style="17" customWidth="1"/>
    <col min="11245" max="11245" width="13.7265625" style="17" customWidth="1"/>
    <col min="11246" max="11246" width="15.54296875" style="17" customWidth="1"/>
    <col min="11247" max="11247" width="14.54296875" style="17" customWidth="1"/>
    <col min="11248" max="11248" width="13.7265625" style="17" customWidth="1"/>
    <col min="11249" max="11249" width="15.1796875" style="17" customWidth="1"/>
    <col min="11250" max="11250" width="16" style="17" customWidth="1"/>
    <col min="11251" max="11251" width="19" style="17" customWidth="1"/>
    <col min="11252" max="11253" width="11.81640625" style="17" customWidth="1"/>
    <col min="11254" max="11496" width="8.81640625" style="17"/>
    <col min="11497" max="11497" width="18.7265625" style="17" bestFit="1" customWidth="1"/>
    <col min="11498" max="11498" width="17.26953125" style="17" customWidth="1"/>
    <col min="11499" max="11499" width="13.7265625" style="17" customWidth="1"/>
    <col min="11500" max="11500" width="15.26953125" style="17" customWidth="1"/>
    <col min="11501" max="11501" width="13.7265625" style="17" customWidth="1"/>
    <col min="11502" max="11502" width="15.54296875" style="17" customWidth="1"/>
    <col min="11503" max="11503" width="14.54296875" style="17" customWidth="1"/>
    <col min="11504" max="11504" width="13.7265625" style="17" customWidth="1"/>
    <col min="11505" max="11505" width="15.1796875" style="17" customWidth="1"/>
    <col min="11506" max="11506" width="16" style="17" customWidth="1"/>
    <col min="11507" max="11507" width="19" style="17" customWidth="1"/>
    <col min="11508" max="11509" width="11.81640625" style="17" customWidth="1"/>
    <col min="11510" max="11752" width="8.81640625" style="17"/>
    <col min="11753" max="11753" width="18.7265625" style="17" bestFit="1" customWidth="1"/>
    <col min="11754" max="11754" width="17.26953125" style="17" customWidth="1"/>
    <col min="11755" max="11755" width="13.7265625" style="17" customWidth="1"/>
    <col min="11756" max="11756" width="15.26953125" style="17" customWidth="1"/>
    <col min="11757" max="11757" width="13.7265625" style="17" customWidth="1"/>
    <col min="11758" max="11758" width="15.54296875" style="17" customWidth="1"/>
    <col min="11759" max="11759" width="14.54296875" style="17" customWidth="1"/>
    <col min="11760" max="11760" width="13.7265625" style="17" customWidth="1"/>
    <col min="11761" max="11761" width="15.1796875" style="17" customWidth="1"/>
    <col min="11762" max="11762" width="16" style="17" customWidth="1"/>
    <col min="11763" max="11763" width="19" style="17" customWidth="1"/>
    <col min="11764" max="11765" width="11.81640625" style="17" customWidth="1"/>
    <col min="11766" max="12008" width="8.81640625" style="17"/>
    <col min="12009" max="12009" width="18.7265625" style="17" bestFit="1" customWidth="1"/>
    <col min="12010" max="12010" width="17.26953125" style="17" customWidth="1"/>
    <col min="12011" max="12011" width="13.7265625" style="17" customWidth="1"/>
    <col min="12012" max="12012" width="15.26953125" style="17" customWidth="1"/>
    <col min="12013" max="12013" width="13.7265625" style="17" customWidth="1"/>
    <col min="12014" max="12014" width="15.54296875" style="17" customWidth="1"/>
    <col min="12015" max="12015" width="14.54296875" style="17" customWidth="1"/>
    <col min="12016" max="12016" width="13.7265625" style="17" customWidth="1"/>
    <col min="12017" max="12017" width="15.1796875" style="17" customWidth="1"/>
    <col min="12018" max="12018" width="16" style="17" customWidth="1"/>
    <col min="12019" max="12019" width="19" style="17" customWidth="1"/>
    <col min="12020" max="12021" width="11.81640625" style="17" customWidth="1"/>
    <col min="12022" max="12264" width="8.81640625" style="17"/>
    <col min="12265" max="12265" width="18.7265625" style="17" bestFit="1" customWidth="1"/>
    <col min="12266" max="12266" width="17.26953125" style="17" customWidth="1"/>
    <col min="12267" max="12267" width="13.7265625" style="17" customWidth="1"/>
    <col min="12268" max="12268" width="15.26953125" style="17" customWidth="1"/>
    <col min="12269" max="12269" width="13.7265625" style="17" customWidth="1"/>
    <col min="12270" max="12270" width="15.54296875" style="17" customWidth="1"/>
    <col min="12271" max="12271" width="14.54296875" style="17" customWidth="1"/>
    <col min="12272" max="12272" width="13.7265625" style="17" customWidth="1"/>
    <col min="12273" max="12273" width="15.1796875" style="17" customWidth="1"/>
    <col min="12274" max="12274" width="16" style="17" customWidth="1"/>
    <col min="12275" max="12275" width="19" style="17" customWidth="1"/>
    <col min="12276" max="12277" width="11.81640625" style="17" customWidth="1"/>
    <col min="12278" max="12520" width="8.81640625" style="17"/>
    <col min="12521" max="12521" width="18.7265625" style="17" bestFit="1" customWidth="1"/>
    <col min="12522" max="12522" width="17.26953125" style="17" customWidth="1"/>
    <col min="12523" max="12523" width="13.7265625" style="17" customWidth="1"/>
    <col min="12524" max="12524" width="15.26953125" style="17" customWidth="1"/>
    <col min="12525" max="12525" width="13.7265625" style="17" customWidth="1"/>
    <col min="12526" max="12526" width="15.54296875" style="17" customWidth="1"/>
    <col min="12527" max="12527" width="14.54296875" style="17" customWidth="1"/>
    <col min="12528" max="12528" width="13.7265625" style="17" customWidth="1"/>
    <col min="12529" max="12529" width="15.1796875" style="17" customWidth="1"/>
    <col min="12530" max="12530" width="16" style="17" customWidth="1"/>
    <col min="12531" max="12531" width="19" style="17" customWidth="1"/>
    <col min="12532" max="12533" width="11.81640625" style="17" customWidth="1"/>
    <col min="12534" max="12776" width="8.81640625" style="17"/>
    <col min="12777" max="12777" width="18.7265625" style="17" bestFit="1" customWidth="1"/>
    <col min="12778" max="12778" width="17.26953125" style="17" customWidth="1"/>
    <col min="12779" max="12779" width="13.7265625" style="17" customWidth="1"/>
    <col min="12780" max="12780" width="15.26953125" style="17" customWidth="1"/>
    <col min="12781" max="12781" width="13.7265625" style="17" customWidth="1"/>
    <col min="12782" max="12782" width="15.54296875" style="17" customWidth="1"/>
    <col min="12783" max="12783" width="14.54296875" style="17" customWidth="1"/>
    <col min="12784" max="12784" width="13.7265625" style="17" customWidth="1"/>
    <col min="12785" max="12785" width="15.1796875" style="17" customWidth="1"/>
    <col min="12786" max="12786" width="16" style="17" customWidth="1"/>
    <col min="12787" max="12787" width="19" style="17" customWidth="1"/>
    <col min="12788" max="12789" width="11.81640625" style="17" customWidth="1"/>
    <col min="12790" max="13032" width="8.81640625" style="17"/>
    <col min="13033" max="13033" width="18.7265625" style="17" bestFit="1" customWidth="1"/>
    <col min="13034" max="13034" width="17.26953125" style="17" customWidth="1"/>
    <col min="13035" max="13035" width="13.7265625" style="17" customWidth="1"/>
    <col min="13036" max="13036" width="15.26953125" style="17" customWidth="1"/>
    <col min="13037" max="13037" width="13.7265625" style="17" customWidth="1"/>
    <col min="13038" max="13038" width="15.54296875" style="17" customWidth="1"/>
    <col min="13039" max="13039" width="14.54296875" style="17" customWidth="1"/>
    <col min="13040" max="13040" width="13.7265625" style="17" customWidth="1"/>
    <col min="13041" max="13041" width="15.1796875" style="17" customWidth="1"/>
    <col min="13042" max="13042" width="16" style="17" customWidth="1"/>
    <col min="13043" max="13043" width="19" style="17" customWidth="1"/>
    <col min="13044" max="13045" width="11.81640625" style="17" customWidth="1"/>
    <col min="13046" max="13288" width="8.81640625" style="17"/>
    <col min="13289" max="13289" width="18.7265625" style="17" bestFit="1" customWidth="1"/>
    <col min="13290" max="13290" width="17.26953125" style="17" customWidth="1"/>
    <col min="13291" max="13291" width="13.7265625" style="17" customWidth="1"/>
    <col min="13292" max="13292" width="15.26953125" style="17" customWidth="1"/>
    <col min="13293" max="13293" width="13.7265625" style="17" customWidth="1"/>
    <col min="13294" max="13294" width="15.54296875" style="17" customWidth="1"/>
    <col min="13295" max="13295" width="14.54296875" style="17" customWidth="1"/>
    <col min="13296" max="13296" width="13.7265625" style="17" customWidth="1"/>
    <col min="13297" max="13297" width="15.1796875" style="17" customWidth="1"/>
    <col min="13298" max="13298" width="16" style="17" customWidth="1"/>
    <col min="13299" max="13299" width="19" style="17" customWidth="1"/>
    <col min="13300" max="13301" width="11.81640625" style="17" customWidth="1"/>
    <col min="13302" max="13544" width="8.81640625" style="17"/>
    <col min="13545" max="13545" width="18.7265625" style="17" bestFit="1" customWidth="1"/>
    <col min="13546" max="13546" width="17.26953125" style="17" customWidth="1"/>
    <col min="13547" max="13547" width="13.7265625" style="17" customWidth="1"/>
    <col min="13548" max="13548" width="15.26953125" style="17" customWidth="1"/>
    <col min="13549" max="13549" width="13.7265625" style="17" customWidth="1"/>
    <col min="13550" max="13550" width="15.54296875" style="17" customWidth="1"/>
    <col min="13551" max="13551" width="14.54296875" style="17" customWidth="1"/>
    <col min="13552" max="13552" width="13.7265625" style="17" customWidth="1"/>
    <col min="13553" max="13553" width="15.1796875" style="17" customWidth="1"/>
    <col min="13554" max="13554" width="16" style="17" customWidth="1"/>
    <col min="13555" max="13555" width="19" style="17" customWidth="1"/>
    <col min="13556" max="13557" width="11.81640625" style="17" customWidth="1"/>
    <col min="13558" max="13800" width="8.81640625" style="17"/>
    <col min="13801" max="13801" width="18.7265625" style="17" bestFit="1" customWidth="1"/>
    <col min="13802" max="13802" width="17.26953125" style="17" customWidth="1"/>
    <col min="13803" max="13803" width="13.7265625" style="17" customWidth="1"/>
    <col min="13804" max="13804" width="15.26953125" style="17" customWidth="1"/>
    <col min="13805" max="13805" width="13.7265625" style="17" customWidth="1"/>
    <col min="13806" max="13806" width="15.54296875" style="17" customWidth="1"/>
    <col min="13807" max="13807" width="14.54296875" style="17" customWidth="1"/>
    <col min="13808" max="13808" width="13.7265625" style="17" customWidth="1"/>
    <col min="13809" max="13809" width="15.1796875" style="17" customWidth="1"/>
    <col min="13810" max="13810" width="16" style="17" customWidth="1"/>
    <col min="13811" max="13811" width="19" style="17" customWidth="1"/>
    <col min="13812" max="13813" width="11.81640625" style="17" customWidth="1"/>
    <col min="13814" max="14056" width="8.81640625" style="17"/>
    <col min="14057" max="14057" width="18.7265625" style="17" bestFit="1" customWidth="1"/>
    <col min="14058" max="14058" width="17.26953125" style="17" customWidth="1"/>
    <col min="14059" max="14059" width="13.7265625" style="17" customWidth="1"/>
    <col min="14060" max="14060" width="15.26953125" style="17" customWidth="1"/>
    <col min="14061" max="14061" width="13.7265625" style="17" customWidth="1"/>
    <col min="14062" max="14062" width="15.54296875" style="17" customWidth="1"/>
    <col min="14063" max="14063" width="14.54296875" style="17" customWidth="1"/>
    <col min="14064" max="14064" width="13.7265625" style="17" customWidth="1"/>
    <col min="14065" max="14065" width="15.1796875" style="17" customWidth="1"/>
    <col min="14066" max="14066" width="16" style="17" customWidth="1"/>
    <col min="14067" max="14067" width="19" style="17" customWidth="1"/>
    <col min="14068" max="14069" width="11.81640625" style="17" customWidth="1"/>
    <col min="14070" max="14312" width="8.81640625" style="17"/>
    <col min="14313" max="14313" width="18.7265625" style="17" bestFit="1" customWidth="1"/>
    <col min="14314" max="14314" width="17.26953125" style="17" customWidth="1"/>
    <col min="14315" max="14315" width="13.7265625" style="17" customWidth="1"/>
    <col min="14316" max="14316" width="15.26953125" style="17" customWidth="1"/>
    <col min="14317" max="14317" width="13.7265625" style="17" customWidth="1"/>
    <col min="14318" max="14318" width="15.54296875" style="17" customWidth="1"/>
    <col min="14319" max="14319" width="14.54296875" style="17" customWidth="1"/>
    <col min="14320" max="14320" width="13.7265625" style="17" customWidth="1"/>
    <col min="14321" max="14321" width="15.1796875" style="17" customWidth="1"/>
    <col min="14322" max="14322" width="16" style="17" customWidth="1"/>
    <col min="14323" max="14323" width="19" style="17" customWidth="1"/>
    <col min="14324" max="14325" width="11.81640625" style="17" customWidth="1"/>
    <col min="14326" max="14568" width="8.81640625" style="17"/>
    <col min="14569" max="14569" width="18.7265625" style="17" bestFit="1" customWidth="1"/>
    <col min="14570" max="14570" width="17.26953125" style="17" customWidth="1"/>
    <col min="14571" max="14571" width="13.7265625" style="17" customWidth="1"/>
    <col min="14572" max="14572" width="15.26953125" style="17" customWidth="1"/>
    <col min="14573" max="14573" width="13.7265625" style="17" customWidth="1"/>
    <col min="14574" max="14574" width="15.54296875" style="17" customWidth="1"/>
    <col min="14575" max="14575" width="14.54296875" style="17" customWidth="1"/>
    <col min="14576" max="14576" width="13.7265625" style="17" customWidth="1"/>
    <col min="14577" max="14577" width="15.1796875" style="17" customWidth="1"/>
    <col min="14578" max="14578" width="16" style="17" customWidth="1"/>
    <col min="14579" max="14579" width="19" style="17" customWidth="1"/>
    <col min="14580" max="14581" width="11.81640625" style="17" customWidth="1"/>
    <col min="14582" max="14824" width="8.81640625" style="17"/>
    <col min="14825" max="14825" width="18.7265625" style="17" bestFit="1" customWidth="1"/>
    <col min="14826" max="14826" width="17.26953125" style="17" customWidth="1"/>
    <col min="14827" max="14827" width="13.7265625" style="17" customWidth="1"/>
    <col min="14828" max="14828" width="15.26953125" style="17" customWidth="1"/>
    <col min="14829" max="14829" width="13.7265625" style="17" customWidth="1"/>
    <col min="14830" max="14830" width="15.54296875" style="17" customWidth="1"/>
    <col min="14831" max="14831" width="14.54296875" style="17" customWidth="1"/>
    <col min="14832" max="14832" width="13.7265625" style="17" customWidth="1"/>
    <col min="14833" max="14833" width="15.1796875" style="17" customWidth="1"/>
    <col min="14834" max="14834" width="16" style="17" customWidth="1"/>
    <col min="14835" max="14835" width="19" style="17" customWidth="1"/>
    <col min="14836" max="14837" width="11.81640625" style="17" customWidth="1"/>
    <col min="14838" max="15080" width="8.81640625" style="17"/>
    <col min="15081" max="15081" width="18.7265625" style="17" bestFit="1" customWidth="1"/>
    <col min="15082" max="15082" width="17.26953125" style="17" customWidth="1"/>
    <col min="15083" max="15083" width="13.7265625" style="17" customWidth="1"/>
    <col min="15084" max="15084" width="15.26953125" style="17" customWidth="1"/>
    <col min="15085" max="15085" width="13.7265625" style="17" customWidth="1"/>
    <col min="15086" max="15086" width="15.54296875" style="17" customWidth="1"/>
    <col min="15087" max="15087" width="14.54296875" style="17" customWidth="1"/>
    <col min="15088" max="15088" width="13.7265625" style="17" customWidth="1"/>
    <col min="15089" max="15089" width="15.1796875" style="17" customWidth="1"/>
    <col min="15090" max="15090" width="16" style="17" customWidth="1"/>
    <col min="15091" max="15091" width="19" style="17" customWidth="1"/>
    <col min="15092" max="15093" width="11.81640625" style="17" customWidth="1"/>
    <col min="15094" max="15336" width="8.81640625" style="17"/>
    <col min="15337" max="15337" width="18.7265625" style="17" bestFit="1" customWidth="1"/>
    <col min="15338" max="15338" width="17.26953125" style="17" customWidth="1"/>
    <col min="15339" max="15339" width="13.7265625" style="17" customWidth="1"/>
    <col min="15340" max="15340" width="15.26953125" style="17" customWidth="1"/>
    <col min="15341" max="15341" width="13.7265625" style="17" customWidth="1"/>
    <col min="15342" max="15342" width="15.54296875" style="17" customWidth="1"/>
    <col min="15343" max="15343" width="14.54296875" style="17" customWidth="1"/>
    <col min="15344" max="15344" width="13.7265625" style="17" customWidth="1"/>
    <col min="15345" max="15345" width="15.1796875" style="17" customWidth="1"/>
    <col min="15346" max="15346" width="16" style="17" customWidth="1"/>
    <col min="15347" max="15347" width="19" style="17" customWidth="1"/>
    <col min="15348" max="15349" width="11.81640625" style="17" customWidth="1"/>
    <col min="15350" max="15592" width="8.81640625" style="17"/>
    <col min="15593" max="15593" width="18.7265625" style="17" bestFit="1" customWidth="1"/>
    <col min="15594" max="15594" width="17.26953125" style="17" customWidth="1"/>
    <col min="15595" max="15595" width="13.7265625" style="17" customWidth="1"/>
    <col min="15596" max="15596" width="15.26953125" style="17" customWidth="1"/>
    <col min="15597" max="15597" width="13.7265625" style="17" customWidth="1"/>
    <col min="15598" max="15598" width="15.54296875" style="17" customWidth="1"/>
    <col min="15599" max="15599" width="14.54296875" style="17" customWidth="1"/>
    <col min="15600" max="15600" width="13.7265625" style="17" customWidth="1"/>
    <col min="15601" max="15601" width="15.1796875" style="17" customWidth="1"/>
    <col min="15602" max="15602" width="16" style="17" customWidth="1"/>
    <col min="15603" max="15603" width="19" style="17" customWidth="1"/>
    <col min="15604" max="15605" width="11.81640625" style="17" customWidth="1"/>
    <col min="15606" max="15848" width="8.81640625" style="17"/>
    <col min="15849" max="15849" width="18.7265625" style="17" bestFit="1" customWidth="1"/>
    <col min="15850" max="15850" width="17.26953125" style="17" customWidth="1"/>
    <col min="15851" max="15851" width="13.7265625" style="17" customWidth="1"/>
    <col min="15852" max="15852" width="15.26953125" style="17" customWidth="1"/>
    <col min="15853" max="15853" width="13.7265625" style="17" customWidth="1"/>
    <col min="15854" max="15854" width="15.54296875" style="17" customWidth="1"/>
    <col min="15855" max="15855" width="14.54296875" style="17" customWidth="1"/>
    <col min="15856" max="15856" width="13.7265625" style="17" customWidth="1"/>
    <col min="15857" max="15857" width="15.1796875" style="17" customWidth="1"/>
    <col min="15858" max="15858" width="16" style="17" customWidth="1"/>
    <col min="15859" max="15859" width="19" style="17" customWidth="1"/>
    <col min="15860" max="15861" width="11.81640625" style="17" customWidth="1"/>
    <col min="15862" max="16104" width="8.81640625" style="17"/>
    <col min="16105" max="16105" width="18.7265625" style="17" bestFit="1" customWidth="1"/>
    <col min="16106" max="16106" width="17.26953125" style="17" customWidth="1"/>
    <col min="16107" max="16107" width="13.7265625" style="17" customWidth="1"/>
    <col min="16108" max="16108" width="15.26953125" style="17" customWidth="1"/>
    <col min="16109" max="16109" width="13.7265625" style="17" customWidth="1"/>
    <col min="16110" max="16110" width="15.54296875" style="17" customWidth="1"/>
    <col min="16111" max="16111" width="14.54296875" style="17" customWidth="1"/>
    <col min="16112" max="16112" width="13.7265625" style="17" customWidth="1"/>
    <col min="16113" max="16113" width="15.1796875" style="17" customWidth="1"/>
    <col min="16114" max="16114" width="16" style="17" customWidth="1"/>
    <col min="16115" max="16115" width="19" style="17" customWidth="1"/>
    <col min="16116" max="16117" width="11.81640625" style="17" customWidth="1"/>
    <col min="16118" max="16384" width="8.81640625" style="17"/>
  </cols>
  <sheetData>
    <row r="1" spans="1:15" s="33" customFormat="1" ht="25" customHeight="1" x14ac:dyDescent="0.25">
      <c r="J1" s="35"/>
    </row>
    <row r="2" spans="1:15" customFormat="1" ht="25" customHeight="1" x14ac:dyDescent="0.25">
      <c r="A2" s="37"/>
      <c r="B2" s="38" t="s">
        <v>234</v>
      </c>
      <c r="C2" s="38"/>
      <c r="D2" s="38"/>
      <c r="E2" s="38"/>
      <c r="F2" s="38"/>
      <c r="G2" s="38"/>
      <c r="H2" s="38"/>
      <c r="I2" s="38"/>
      <c r="J2" s="40"/>
    </row>
    <row r="3" spans="1:15" customFormat="1" ht="25" customHeight="1" thickBot="1" x14ac:dyDescent="0.3">
      <c r="B3" s="41" t="s">
        <v>284</v>
      </c>
      <c r="C3" s="49"/>
      <c r="D3" s="49"/>
      <c r="E3" s="49"/>
      <c r="F3" s="49"/>
      <c r="G3" s="49"/>
      <c r="H3" s="49"/>
      <c r="I3" s="49"/>
      <c r="J3" s="49"/>
      <c r="K3" s="49"/>
    </row>
    <row r="4" spans="1:15" customFormat="1" ht="25" customHeight="1" thickTop="1" x14ac:dyDescent="0.35">
      <c r="B4" s="523" t="s">
        <v>236</v>
      </c>
      <c r="C4" s="523"/>
      <c r="D4" s="523"/>
      <c r="E4" s="523"/>
      <c r="F4" s="523"/>
      <c r="G4" s="523"/>
      <c r="H4" s="523"/>
      <c r="I4" s="523"/>
      <c r="J4" s="54"/>
    </row>
    <row r="5" spans="1:15" ht="20.149999999999999" customHeight="1" x14ac:dyDescent="0.35">
      <c r="A5" s="292"/>
      <c r="B5" s="292" t="s">
        <v>343</v>
      </c>
      <c r="C5" s="293"/>
      <c r="D5" s="293"/>
      <c r="E5" s="293"/>
      <c r="F5" s="293"/>
      <c r="G5" s="293"/>
      <c r="H5" s="293"/>
      <c r="I5" s="293"/>
    </row>
    <row r="6" spans="1:15" ht="15.5" x14ac:dyDescent="0.35">
      <c r="A6" s="17"/>
      <c r="J6" s="293"/>
    </row>
    <row r="7" spans="1:15" s="560" customFormat="1" ht="40" customHeight="1" x14ac:dyDescent="0.3">
      <c r="A7" s="17"/>
      <c r="B7" s="295" t="s">
        <v>606</v>
      </c>
      <c r="C7" s="295"/>
      <c r="D7" s="295"/>
      <c r="E7" s="295"/>
      <c r="F7" s="295"/>
      <c r="G7" s="295"/>
      <c r="H7" s="295"/>
      <c r="I7" s="295"/>
      <c r="J7" s="295"/>
      <c r="K7" s="558"/>
    </row>
    <row r="8" spans="1:15" s="563" customFormat="1" ht="42.75" customHeight="1" x14ac:dyDescent="0.35">
      <c r="A8" s="18"/>
      <c r="B8" s="339" t="s">
        <v>252</v>
      </c>
      <c r="C8" s="340" t="s">
        <v>103</v>
      </c>
      <c r="D8" s="340" t="s">
        <v>253</v>
      </c>
      <c r="E8" s="340" t="s">
        <v>373</v>
      </c>
      <c r="F8" s="340" t="s">
        <v>267</v>
      </c>
      <c r="G8" s="340" t="s">
        <v>339</v>
      </c>
      <c r="H8" s="340" t="s">
        <v>465</v>
      </c>
      <c r="I8" s="340" t="s">
        <v>386</v>
      </c>
      <c r="J8" s="340" t="s">
        <v>625</v>
      </c>
      <c r="K8" s="340" t="s">
        <v>466</v>
      </c>
      <c r="L8" s="340" t="s">
        <v>467</v>
      </c>
      <c r="M8" s="340" t="s">
        <v>626</v>
      </c>
      <c r="N8" s="340" t="s">
        <v>469</v>
      </c>
      <c r="O8" s="340" t="s">
        <v>480</v>
      </c>
    </row>
    <row r="9" spans="1:15" s="18" customFormat="1" ht="20.25" customHeight="1" x14ac:dyDescent="0.35">
      <c r="B9" s="341" t="s">
        <v>268</v>
      </c>
      <c r="C9" s="342" t="s">
        <v>627</v>
      </c>
      <c r="D9" s="342" t="s">
        <v>628</v>
      </c>
      <c r="E9" s="342" t="s">
        <v>531</v>
      </c>
      <c r="F9" s="343" t="s">
        <v>629</v>
      </c>
      <c r="G9" s="342" t="s">
        <v>529</v>
      </c>
      <c r="H9" s="342" t="s">
        <v>630</v>
      </c>
      <c r="I9" s="343"/>
      <c r="J9" s="342" t="s">
        <v>631</v>
      </c>
      <c r="K9" s="343" t="s">
        <v>632</v>
      </c>
      <c r="L9" s="342" t="s">
        <v>633</v>
      </c>
      <c r="M9" s="343"/>
      <c r="N9" s="342" t="s">
        <v>634</v>
      </c>
      <c r="O9" s="343" t="s">
        <v>635</v>
      </c>
    </row>
    <row r="10" spans="1:15" s="18" customFormat="1" ht="19.5" customHeight="1" x14ac:dyDescent="0.35">
      <c r="B10" s="341" t="s">
        <v>238</v>
      </c>
      <c r="C10" s="344" t="s">
        <v>498</v>
      </c>
      <c r="D10" s="344" t="s">
        <v>636</v>
      </c>
      <c r="E10" s="342" t="s">
        <v>499</v>
      </c>
      <c r="F10" s="342" t="s">
        <v>637</v>
      </c>
      <c r="G10" s="342"/>
      <c r="H10" s="342"/>
      <c r="I10" s="342" t="s">
        <v>638</v>
      </c>
      <c r="J10" s="342"/>
      <c r="K10" s="342"/>
      <c r="L10" s="342" t="s">
        <v>639</v>
      </c>
      <c r="M10" s="342" t="s">
        <v>640</v>
      </c>
      <c r="N10" s="342"/>
      <c r="O10" s="342"/>
    </row>
    <row r="11" spans="1:15" s="19" customFormat="1" ht="19.5" customHeight="1" x14ac:dyDescent="0.35">
      <c r="B11" s="341" t="s">
        <v>238</v>
      </c>
      <c r="C11" s="344" t="s">
        <v>641</v>
      </c>
      <c r="D11" s="344" t="s">
        <v>514</v>
      </c>
      <c r="E11" s="342"/>
      <c r="F11" s="342"/>
      <c r="G11" s="342" t="s">
        <v>513</v>
      </c>
      <c r="H11" s="342" t="s">
        <v>642</v>
      </c>
      <c r="I11" s="342"/>
      <c r="J11" s="342" t="s">
        <v>643</v>
      </c>
      <c r="K11" s="342"/>
      <c r="L11" s="342"/>
      <c r="M11" s="342"/>
      <c r="N11" s="342"/>
      <c r="O11" s="342"/>
    </row>
    <row r="12" spans="1:15" s="18" customFormat="1" ht="18" customHeight="1" x14ac:dyDescent="0.35">
      <c r="B12" s="341" t="s">
        <v>240</v>
      </c>
      <c r="C12" s="344" t="s">
        <v>644</v>
      </c>
      <c r="D12" s="344" t="s">
        <v>482</v>
      </c>
      <c r="E12" s="342"/>
      <c r="F12" s="342" t="s">
        <v>645</v>
      </c>
      <c r="G12" s="342"/>
      <c r="H12" s="342"/>
      <c r="I12" s="342" t="s">
        <v>646</v>
      </c>
      <c r="J12" s="342"/>
      <c r="K12" s="342"/>
      <c r="L12" s="342" t="s">
        <v>647</v>
      </c>
      <c r="M12" s="342" t="s">
        <v>648</v>
      </c>
      <c r="N12" s="342" t="s">
        <v>649</v>
      </c>
      <c r="O12" s="342" t="s">
        <v>650</v>
      </c>
    </row>
    <row r="13" spans="1:15" s="19" customFormat="1" ht="18" customHeight="1" x14ac:dyDescent="0.35">
      <c r="B13" s="341" t="s">
        <v>240</v>
      </c>
      <c r="C13" s="344" t="s">
        <v>651</v>
      </c>
      <c r="D13" s="344" t="s">
        <v>496</v>
      </c>
      <c r="E13" s="342"/>
      <c r="F13" s="342"/>
      <c r="G13" s="342" t="s">
        <v>652</v>
      </c>
      <c r="H13" s="342" t="s">
        <v>653</v>
      </c>
      <c r="I13" s="342" t="s">
        <v>654</v>
      </c>
      <c r="J13" s="342" t="s">
        <v>655</v>
      </c>
      <c r="K13" s="342" t="s">
        <v>656</v>
      </c>
      <c r="L13" s="342" t="s">
        <v>657</v>
      </c>
      <c r="M13" s="342"/>
      <c r="N13" s="342"/>
      <c r="O13" s="342"/>
    </row>
    <row r="14" spans="1:15" s="18" customFormat="1" ht="18" customHeight="1" x14ac:dyDescent="0.35">
      <c r="B14" s="341" t="s">
        <v>254</v>
      </c>
      <c r="C14" s="344" t="s">
        <v>658</v>
      </c>
      <c r="D14" s="344" t="s">
        <v>516</v>
      </c>
      <c r="E14" s="344" t="s">
        <v>527</v>
      </c>
      <c r="F14" s="344" t="s">
        <v>543</v>
      </c>
      <c r="G14" s="344"/>
      <c r="H14" s="344"/>
      <c r="I14" s="344" t="s">
        <v>659</v>
      </c>
      <c r="J14" s="344" t="s">
        <v>660</v>
      </c>
      <c r="K14" s="344"/>
      <c r="L14" s="344" t="s">
        <v>661</v>
      </c>
      <c r="M14" s="344"/>
      <c r="N14" s="344" t="s">
        <v>662</v>
      </c>
      <c r="O14" s="344" t="s">
        <v>663</v>
      </c>
    </row>
    <row r="15" spans="1:15" s="18" customFormat="1" ht="18" customHeight="1" x14ac:dyDescent="0.35">
      <c r="B15" s="341" t="s">
        <v>254</v>
      </c>
      <c r="C15" s="344" t="s">
        <v>664</v>
      </c>
      <c r="D15" s="345" t="s">
        <v>497</v>
      </c>
      <c r="E15" s="346"/>
      <c r="F15" s="346"/>
      <c r="G15" s="342"/>
      <c r="H15" s="342"/>
      <c r="I15" s="346" t="s">
        <v>665</v>
      </c>
      <c r="J15" s="342" t="s">
        <v>666</v>
      </c>
      <c r="K15" s="346" t="s">
        <v>667</v>
      </c>
      <c r="L15" s="342"/>
      <c r="M15" s="346" t="s">
        <v>668</v>
      </c>
      <c r="N15" s="342"/>
      <c r="O15" s="346"/>
    </row>
    <row r="16" spans="1:15" s="18" customFormat="1" ht="18" customHeight="1" x14ac:dyDescent="0.35">
      <c r="B16" s="341" t="s">
        <v>254</v>
      </c>
      <c r="C16" s="344" t="s">
        <v>669</v>
      </c>
      <c r="D16" s="345" t="s">
        <v>483</v>
      </c>
      <c r="E16" s="342"/>
      <c r="F16" s="347"/>
      <c r="G16" s="342"/>
      <c r="H16" s="342" t="s">
        <v>670</v>
      </c>
      <c r="I16" s="347" t="s">
        <v>671</v>
      </c>
      <c r="J16" s="342"/>
      <c r="K16" s="347"/>
      <c r="L16" s="342"/>
      <c r="M16" s="347"/>
      <c r="N16" s="342"/>
      <c r="O16" s="347"/>
    </row>
    <row r="17" spans="1:15" s="19" customFormat="1" ht="18" customHeight="1" x14ac:dyDescent="0.35">
      <c r="B17" s="341" t="s">
        <v>254</v>
      </c>
      <c r="C17" s="344" t="s">
        <v>498</v>
      </c>
      <c r="D17" s="345" t="s">
        <v>517</v>
      </c>
      <c r="E17" s="342" t="s">
        <v>672</v>
      </c>
      <c r="F17" s="342" t="s">
        <v>673</v>
      </c>
      <c r="G17" s="344" t="s">
        <v>674</v>
      </c>
      <c r="H17" s="344"/>
      <c r="I17" s="342"/>
      <c r="J17" s="344" t="s">
        <v>675</v>
      </c>
      <c r="K17" s="342" t="s">
        <v>676</v>
      </c>
      <c r="L17" s="344" t="s">
        <v>677</v>
      </c>
      <c r="M17" s="342"/>
      <c r="N17" s="344" t="s">
        <v>505</v>
      </c>
      <c r="O17" s="342" t="s">
        <v>678</v>
      </c>
    </row>
    <row r="18" spans="1:15" s="19" customFormat="1" ht="18" customHeight="1" x14ac:dyDescent="0.35">
      <c r="B18" s="341" t="s">
        <v>255</v>
      </c>
      <c r="C18" s="344" t="s">
        <v>500</v>
      </c>
      <c r="D18" s="344" t="s">
        <v>484</v>
      </c>
      <c r="E18" s="344"/>
      <c r="F18" s="344" t="s">
        <v>679</v>
      </c>
      <c r="G18" s="342" t="s">
        <v>680</v>
      </c>
      <c r="H18" s="342" t="s">
        <v>681</v>
      </c>
      <c r="I18" s="344" t="s">
        <v>682</v>
      </c>
      <c r="J18" s="342"/>
      <c r="K18" s="344"/>
      <c r="L18" s="342" t="s">
        <v>683</v>
      </c>
      <c r="M18" s="344" t="s">
        <v>684</v>
      </c>
      <c r="N18" s="342"/>
      <c r="O18" s="344"/>
    </row>
    <row r="19" spans="1:15" s="18" customFormat="1" ht="18" customHeight="1" x14ac:dyDescent="0.35">
      <c r="B19" s="341" t="s">
        <v>256</v>
      </c>
      <c r="C19" s="344" t="s">
        <v>501</v>
      </c>
      <c r="D19" s="344" t="s">
        <v>502</v>
      </c>
      <c r="E19" s="344" t="s">
        <v>499</v>
      </c>
      <c r="F19" s="344"/>
      <c r="G19" s="342"/>
      <c r="H19" s="342"/>
      <c r="I19" s="344" t="s">
        <v>685</v>
      </c>
      <c r="J19" s="342" t="s">
        <v>686</v>
      </c>
      <c r="K19" s="344"/>
      <c r="L19" s="342"/>
      <c r="M19" s="344"/>
      <c r="N19" s="342"/>
      <c r="O19" s="344"/>
    </row>
    <row r="20" spans="1:15" s="19" customFormat="1" ht="18" customHeight="1" x14ac:dyDescent="0.35">
      <c r="B20" s="348" t="s">
        <v>256</v>
      </c>
      <c r="C20" s="344" t="s">
        <v>481</v>
      </c>
      <c r="D20" s="349" t="s">
        <v>485</v>
      </c>
      <c r="E20" s="342"/>
      <c r="F20" s="342"/>
      <c r="G20" s="342"/>
      <c r="H20" s="342" t="s">
        <v>687</v>
      </c>
      <c r="I20" s="342"/>
      <c r="J20" s="342" t="s">
        <v>688</v>
      </c>
      <c r="K20" s="342"/>
      <c r="L20" s="342" t="s">
        <v>689</v>
      </c>
      <c r="M20" s="342"/>
      <c r="N20" s="342"/>
      <c r="O20" s="342"/>
    </row>
    <row r="21" spans="1:15" s="18" customFormat="1" ht="18" customHeight="1" x14ac:dyDescent="0.35">
      <c r="B21" s="350" t="s">
        <v>257</v>
      </c>
      <c r="C21" s="338" t="s">
        <v>690</v>
      </c>
      <c r="D21" s="338" t="s">
        <v>519</v>
      </c>
      <c r="E21" s="338" t="s">
        <v>691</v>
      </c>
      <c r="F21" s="338" t="s">
        <v>692</v>
      </c>
      <c r="G21" s="338" t="s">
        <v>693</v>
      </c>
      <c r="H21" s="338" t="s">
        <v>694</v>
      </c>
      <c r="I21" s="338" t="s">
        <v>695</v>
      </c>
      <c r="J21" s="338" t="s">
        <v>696</v>
      </c>
      <c r="K21" s="338" t="s">
        <v>697</v>
      </c>
      <c r="L21" s="338" t="s">
        <v>698</v>
      </c>
      <c r="M21" s="338" t="s">
        <v>699</v>
      </c>
      <c r="N21" s="338" t="s">
        <v>700</v>
      </c>
      <c r="O21" s="338" t="s">
        <v>701</v>
      </c>
    </row>
    <row r="22" spans="1:15" s="18" customFormat="1" ht="18" customHeight="1" x14ac:dyDescent="0.35">
      <c r="B22" s="350" t="s">
        <v>250</v>
      </c>
      <c r="C22" s="351" t="s">
        <v>518</v>
      </c>
      <c r="D22" s="351" t="s">
        <v>519</v>
      </c>
      <c r="E22" s="352" t="s">
        <v>520</v>
      </c>
      <c r="F22" s="352" t="s">
        <v>521</v>
      </c>
      <c r="G22" s="352" t="s">
        <v>522</v>
      </c>
      <c r="H22" s="352" t="s">
        <v>523</v>
      </c>
      <c r="I22" s="352" t="s">
        <v>524</v>
      </c>
      <c r="J22" s="352" t="s">
        <v>696</v>
      </c>
      <c r="K22" s="352" t="s">
        <v>697</v>
      </c>
      <c r="L22" s="352" t="s">
        <v>540</v>
      </c>
      <c r="M22" s="352" t="s">
        <v>702</v>
      </c>
      <c r="N22" s="352" t="s">
        <v>541</v>
      </c>
      <c r="O22" s="352" t="s">
        <v>542</v>
      </c>
    </row>
    <row r="23" spans="1:15" s="18" customFormat="1" ht="19.5" customHeight="1" x14ac:dyDescent="0.35">
      <c r="B23" s="353" t="s">
        <v>251</v>
      </c>
      <c r="C23" s="354" t="s">
        <v>703</v>
      </c>
      <c r="D23" s="354" t="s">
        <v>525</v>
      </c>
      <c r="E23" s="355" t="s">
        <v>704</v>
      </c>
      <c r="F23" s="355" t="s">
        <v>705</v>
      </c>
      <c r="G23" s="355" t="s">
        <v>706</v>
      </c>
      <c r="H23" s="355" t="s">
        <v>707</v>
      </c>
      <c r="I23" s="355" t="s">
        <v>526</v>
      </c>
      <c r="J23" s="355" t="s">
        <v>708</v>
      </c>
      <c r="K23" s="355" t="s">
        <v>709</v>
      </c>
      <c r="L23" s="355" t="s">
        <v>710</v>
      </c>
      <c r="M23" s="355" t="s">
        <v>711</v>
      </c>
      <c r="N23" s="355" t="s">
        <v>712</v>
      </c>
      <c r="O23" s="355" t="s">
        <v>713</v>
      </c>
    </row>
    <row r="24" spans="1:15" s="18" customFormat="1" ht="18" customHeight="1" x14ac:dyDescent="0.35">
      <c r="A24" s="294"/>
      <c r="B24" s="356"/>
      <c r="C24" s="325"/>
      <c r="D24" s="325"/>
      <c r="E24" s="325"/>
      <c r="F24" s="325"/>
      <c r="G24" s="325"/>
      <c r="H24" s="325"/>
      <c r="I24" s="325"/>
      <c r="J24" s="325"/>
      <c r="K24" s="325"/>
    </row>
    <row r="25" spans="1:15" s="18" customFormat="1" ht="40" customHeight="1" x14ac:dyDescent="0.35">
      <c r="A25"/>
      <c r="B25" s="568" t="s">
        <v>252</v>
      </c>
      <c r="C25" s="569" t="s">
        <v>258</v>
      </c>
      <c r="D25" s="569" t="s">
        <v>11</v>
      </c>
      <c r="E25" s="569" t="s">
        <v>12</v>
      </c>
      <c r="F25" s="569" t="s">
        <v>24</v>
      </c>
      <c r="G25" s="569" t="s">
        <v>271</v>
      </c>
      <c r="H25" s="569" t="s">
        <v>273</v>
      </c>
      <c r="I25" s="569" t="s">
        <v>38</v>
      </c>
      <c r="J25" s="569" t="s">
        <v>13</v>
      </c>
      <c r="K25" s="569" t="s">
        <v>361</v>
      </c>
      <c r="L25" s="569" t="s">
        <v>466</v>
      </c>
    </row>
    <row r="26" spans="1:15" s="18" customFormat="1" ht="18" customHeight="1" x14ac:dyDescent="0.35">
      <c r="A26"/>
      <c r="B26" s="341" t="s">
        <v>268</v>
      </c>
      <c r="C26" s="570" t="s">
        <v>714</v>
      </c>
      <c r="D26" s="570" t="s">
        <v>715</v>
      </c>
      <c r="E26" s="570" t="s">
        <v>716</v>
      </c>
      <c r="F26" s="570" t="s">
        <v>717</v>
      </c>
      <c r="G26" s="570" t="s">
        <v>718</v>
      </c>
      <c r="H26" s="570" t="s">
        <v>530</v>
      </c>
      <c r="I26" s="570" t="s">
        <v>719</v>
      </c>
      <c r="J26" s="570" t="s">
        <v>720</v>
      </c>
      <c r="K26" s="570" t="s">
        <v>721</v>
      </c>
      <c r="L26" s="570" t="s">
        <v>722</v>
      </c>
    </row>
    <row r="27" spans="1:15" s="19" customFormat="1" ht="18" customHeight="1" x14ac:dyDescent="0.35">
      <c r="A27"/>
      <c r="B27" s="341" t="s">
        <v>238</v>
      </c>
      <c r="C27" s="570" t="s">
        <v>723</v>
      </c>
      <c r="D27" s="570" t="s">
        <v>724</v>
      </c>
      <c r="E27" s="570" t="s">
        <v>725</v>
      </c>
      <c r="F27" s="570" t="s">
        <v>726</v>
      </c>
      <c r="G27" s="570" t="s">
        <v>727</v>
      </c>
      <c r="H27" s="570"/>
      <c r="I27" s="570" t="s">
        <v>728</v>
      </c>
      <c r="J27" s="570" t="s">
        <v>729</v>
      </c>
      <c r="K27" s="570" t="s">
        <v>730</v>
      </c>
      <c r="L27" s="570" t="s">
        <v>731</v>
      </c>
    </row>
    <row r="28" spans="1:15" s="18" customFormat="1" ht="18" customHeight="1" x14ac:dyDescent="0.35">
      <c r="A28"/>
      <c r="B28" s="341" t="s">
        <v>254</v>
      </c>
      <c r="C28" s="571" t="s">
        <v>732</v>
      </c>
      <c r="D28" s="571" t="s">
        <v>733</v>
      </c>
      <c r="E28" s="571" t="s">
        <v>734</v>
      </c>
      <c r="F28" s="571" t="s">
        <v>735</v>
      </c>
      <c r="G28" s="571"/>
      <c r="H28" s="571" t="s">
        <v>736</v>
      </c>
      <c r="I28" s="571" t="s">
        <v>737</v>
      </c>
      <c r="J28" s="571"/>
      <c r="K28" s="571" t="s">
        <v>738</v>
      </c>
      <c r="L28" s="571"/>
    </row>
    <row r="29" spans="1:15" s="18" customFormat="1" ht="18" customHeight="1" x14ac:dyDescent="0.35">
      <c r="A29"/>
      <c r="B29" s="341" t="s">
        <v>254</v>
      </c>
      <c r="C29" s="571" t="s">
        <v>739</v>
      </c>
      <c r="D29" s="572" t="s">
        <v>740</v>
      </c>
      <c r="E29" s="571" t="s">
        <v>741</v>
      </c>
      <c r="F29" s="571" t="s">
        <v>742</v>
      </c>
      <c r="G29" s="571" t="s">
        <v>743</v>
      </c>
      <c r="H29" s="571"/>
      <c r="I29" s="571" t="s">
        <v>744</v>
      </c>
      <c r="J29" s="571" t="s">
        <v>486</v>
      </c>
      <c r="K29" s="571" t="s">
        <v>745</v>
      </c>
      <c r="L29" s="571" t="s">
        <v>746</v>
      </c>
    </row>
    <row r="30" spans="1:15" s="19" customFormat="1" ht="18" customHeight="1" x14ac:dyDescent="0.35">
      <c r="A30"/>
      <c r="B30" s="341" t="s">
        <v>255</v>
      </c>
      <c r="C30" s="570" t="s">
        <v>470</v>
      </c>
      <c r="D30" s="571" t="s">
        <v>747</v>
      </c>
      <c r="E30" s="573" t="s">
        <v>748</v>
      </c>
      <c r="F30" s="570" t="s">
        <v>749</v>
      </c>
      <c r="G30" s="570" t="s">
        <v>750</v>
      </c>
      <c r="H30" s="570" t="s">
        <v>751</v>
      </c>
      <c r="I30" s="570" t="s">
        <v>752</v>
      </c>
      <c r="J30" s="570" t="s">
        <v>753</v>
      </c>
      <c r="K30" s="570" t="s">
        <v>754</v>
      </c>
      <c r="L30" s="570"/>
    </row>
    <row r="31" spans="1:15" s="19" customFormat="1" ht="18" customHeight="1" x14ac:dyDescent="0.35">
      <c r="A31"/>
      <c r="B31" s="341" t="s">
        <v>255</v>
      </c>
      <c r="C31" s="570" t="s">
        <v>755</v>
      </c>
      <c r="D31" s="570" t="s">
        <v>515</v>
      </c>
      <c r="E31" s="573" t="s">
        <v>756</v>
      </c>
      <c r="F31" s="570" t="s">
        <v>757</v>
      </c>
      <c r="G31" s="570" t="s">
        <v>758</v>
      </c>
      <c r="H31" s="570" t="s">
        <v>543</v>
      </c>
      <c r="I31" s="570" t="s">
        <v>759</v>
      </c>
      <c r="J31" s="570"/>
      <c r="K31" s="570"/>
      <c r="L31" s="570" t="s">
        <v>528</v>
      </c>
    </row>
    <row r="32" spans="1:15" s="18" customFormat="1" ht="18" customHeight="1" x14ac:dyDescent="0.35">
      <c r="A32"/>
      <c r="B32" s="341" t="s">
        <v>256</v>
      </c>
      <c r="C32" s="571" t="s">
        <v>760</v>
      </c>
      <c r="D32" s="571" t="s">
        <v>761</v>
      </c>
      <c r="E32" s="571" t="s">
        <v>762</v>
      </c>
      <c r="F32" s="571" t="s">
        <v>763</v>
      </c>
      <c r="G32" s="571"/>
      <c r="H32" s="571"/>
      <c r="I32" s="571"/>
      <c r="J32" s="571" t="s">
        <v>764</v>
      </c>
      <c r="K32" s="571" t="s">
        <v>503</v>
      </c>
      <c r="L32" s="571"/>
    </row>
    <row r="33" spans="1:12" s="19" customFormat="1" ht="18" customHeight="1" x14ac:dyDescent="0.35">
      <c r="A33"/>
      <c r="B33" s="348" t="s">
        <v>256</v>
      </c>
      <c r="C33" s="570" t="s">
        <v>765</v>
      </c>
      <c r="D33" s="570" t="s">
        <v>766</v>
      </c>
      <c r="E33" s="573" t="s">
        <v>767</v>
      </c>
      <c r="F33" s="570" t="s">
        <v>734</v>
      </c>
      <c r="G33" s="570" t="s">
        <v>768</v>
      </c>
      <c r="H33" s="570" t="s">
        <v>769</v>
      </c>
      <c r="I33" s="570" t="s">
        <v>770</v>
      </c>
      <c r="J33" s="570"/>
      <c r="K33" s="570"/>
      <c r="L33" s="570"/>
    </row>
    <row r="34" spans="1:12" s="18" customFormat="1" ht="18" customHeight="1" x14ac:dyDescent="0.35">
      <c r="A34"/>
      <c r="B34" s="574" t="s">
        <v>257</v>
      </c>
      <c r="C34" s="575" t="s">
        <v>771</v>
      </c>
      <c r="D34" s="576" t="s">
        <v>766</v>
      </c>
      <c r="E34" s="576" t="s">
        <v>772</v>
      </c>
      <c r="F34" s="576" t="s">
        <v>773</v>
      </c>
      <c r="G34" s="576" t="s">
        <v>774</v>
      </c>
      <c r="H34" s="576" t="s">
        <v>775</v>
      </c>
      <c r="I34" s="576" t="s">
        <v>776</v>
      </c>
      <c r="J34" s="576" t="s">
        <v>777</v>
      </c>
      <c r="K34" s="576" t="s">
        <v>778</v>
      </c>
      <c r="L34" s="576" t="s">
        <v>779</v>
      </c>
    </row>
    <row r="35" spans="1:12" s="20" customFormat="1" ht="18" customHeight="1" x14ac:dyDescent="0.35">
      <c r="A35"/>
      <c r="B35" s="574" t="s">
        <v>250</v>
      </c>
      <c r="C35" s="575" t="s">
        <v>532</v>
      </c>
      <c r="D35" s="576" t="s">
        <v>533</v>
      </c>
      <c r="E35" s="576" t="s">
        <v>504</v>
      </c>
      <c r="F35" s="576" t="s">
        <v>534</v>
      </c>
      <c r="G35" s="576" t="s">
        <v>535</v>
      </c>
      <c r="H35" s="576" t="s">
        <v>536</v>
      </c>
      <c r="I35" s="576" t="s">
        <v>537</v>
      </c>
      <c r="J35" s="576" t="s">
        <v>544</v>
      </c>
      <c r="K35" s="576" t="s">
        <v>545</v>
      </c>
      <c r="L35" s="576" t="s">
        <v>546</v>
      </c>
    </row>
    <row r="36" spans="1:12" s="18" customFormat="1" ht="18" customHeight="1" x14ac:dyDescent="0.35">
      <c r="A36"/>
      <c r="B36" s="353" t="s">
        <v>251</v>
      </c>
      <c r="C36" s="354" t="s">
        <v>780</v>
      </c>
      <c r="D36" s="577" t="s">
        <v>781</v>
      </c>
      <c r="E36" s="577" t="s">
        <v>782</v>
      </c>
      <c r="F36" s="335" t="s">
        <v>783</v>
      </c>
      <c r="G36" s="577" t="s">
        <v>784</v>
      </c>
      <c r="H36" s="335" t="s">
        <v>785</v>
      </c>
      <c r="I36" s="577" t="s">
        <v>786</v>
      </c>
      <c r="J36" s="335" t="s">
        <v>787</v>
      </c>
      <c r="K36" s="577" t="s">
        <v>788</v>
      </c>
      <c r="L36" s="335" t="s">
        <v>789</v>
      </c>
    </row>
    <row r="37" spans="1:12" s="18" customFormat="1" ht="18" customHeight="1" x14ac:dyDescent="0.35">
      <c r="A37"/>
      <c r="B37" s="294" t="s">
        <v>276</v>
      </c>
      <c r="C37" s="23"/>
      <c r="D37" s="23"/>
      <c r="E37" s="23"/>
      <c r="F37" s="23"/>
      <c r="G37" s="23"/>
      <c r="H37" s="23"/>
      <c r="I37" s="23"/>
      <c r="J37" s="23"/>
      <c r="K37"/>
    </row>
    <row r="38" spans="1:12" ht="18" customHeight="1" x14ac:dyDescent="0.3"/>
    <row r="39" spans="1:12" ht="18" customHeight="1" x14ac:dyDescent="0.3"/>
    <row r="40" spans="1:12" ht="18" customHeight="1" x14ac:dyDescent="0.3"/>
    <row r="41" spans="1:12" ht="18" customHeight="1" x14ac:dyDescent="0.3"/>
    <row r="42" spans="1:12" ht="18" customHeight="1" x14ac:dyDescent="0.3"/>
    <row r="43" spans="1:12" ht="18" customHeight="1" x14ac:dyDescent="0.3"/>
  </sheetData>
  <printOptions horizontalCentered="1" verticalCentered="1"/>
  <pageMargins left="7.874015748031496E-2" right="7.874015748031496E-2" top="0.82677165354330717" bottom="1.0236220472440944" header="0.51181102362204722" footer="0.51181102362204722"/>
  <pageSetup paperSize="9" scale="60" orientation="landscape" r:id="rId1"/>
  <headerFooter alignWithMargins="0">
    <oddFooter>Przygotował(a) Lukasz.Zaremba@ierigz.waw.pl;Tomasz.Smolenski@ierigz.waw.pl &amp;D&amp;RStrona &amp;P</oddFooter>
  </headerFooter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D23"/>
  <sheetViews>
    <sheetView showGridLines="0" zoomScaleNormal="100" workbookViewId="0">
      <selection activeCell="G6" sqref="G6"/>
    </sheetView>
  </sheetViews>
  <sheetFormatPr defaultRowHeight="12.5" x14ac:dyDescent="0.25"/>
  <cols>
    <col min="1" max="1" width="10.7265625" customWidth="1"/>
    <col min="2" max="6" width="20.7265625" customWidth="1"/>
    <col min="7" max="7" width="17.54296875" customWidth="1"/>
    <col min="8" max="9" width="11.26953125" bestFit="1" customWidth="1"/>
    <col min="10" max="19" width="10.7265625" customWidth="1"/>
    <col min="250" max="250" width="21" customWidth="1"/>
    <col min="251" max="251" width="16.453125" customWidth="1"/>
    <col min="252" max="252" width="17.54296875" customWidth="1"/>
    <col min="253" max="253" width="13.1796875" customWidth="1"/>
    <col min="254" max="254" width="11.26953125" customWidth="1"/>
    <col min="255" max="255" width="13.7265625" customWidth="1"/>
    <col min="506" max="506" width="21" customWidth="1"/>
    <col min="507" max="507" width="16.453125" customWidth="1"/>
    <col min="508" max="508" width="17.54296875" customWidth="1"/>
    <col min="509" max="509" width="13.1796875" customWidth="1"/>
    <col min="510" max="510" width="11.26953125" customWidth="1"/>
    <col min="511" max="511" width="13.7265625" customWidth="1"/>
    <col min="762" max="762" width="21" customWidth="1"/>
    <col min="763" max="763" width="16.453125" customWidth="1"/>
    <col min="764" max="764" width="17.54296875" customWidth="1"/>
    <col min="765" max="765" width="13.1796875" customWidth="1"/>
    <col min="766" max="766" width="11.26953125" customWidth="1"/>
    <col min="767" max="767" width="13.7265625" customWidth="1"/>
    <col min="1018" max="1018" width="21" customWidth="1"/>
    <col min="1019" max="1019" width="16.453125" customWidth="1"/>
    <col min="1020" max="1020" width="17.54296875" customWidth="1"/>
    <col min="1021" max="1021" width="13.1796875" customWidth="1"/>
    <col min="1022" max="1022" width="11.26953125" customWidth="1"/>
    <col min="1023" max="1023" width="13.7265625" customWidth="1"/>
    <col min="1274" max="1274" width="21" customWidth="1"/>
    <col min="1275" max="1275" width="16.453125" customWidth="1"/>
    <col min="1276" max="1276" width="17.54296875" customWidth="1"/>
    <col min="1277" max="1277" width="13.1796875" customWidth="1"/>
    <col min="1278" max="1278" width="11.26953125" customWidth="1"/>
    <col min="1279" max="1279" width="13.7265625" customWidth="1"/>
    <col min="1530" max="1530" width="21" customWidth="1"/>
    <col min="1531" max="1531" width="16.453125" customWidth="1"/>
    <col min="1532" max="1532" width="17.54296875" customWidth="1"/>
    <col min="1533" max="1533" width="13.1796875" customWidth="1"/>
    <col min="1534" max="1534" width="11.26953125" customWidth="1"/>
    <col min="1535" max="1535" width="13.7265625" customWidth="1"/>
    <col min="1786" max="1786" width="21" customWidth="1"/>
    <col min="1787" max="1787" width="16.453125" customWidth="1"/>
    <col min="1788" max="1788" width="17.54296875" customWidth="1"/>
    <col min="1789" max="1789" width="13.1796875" customWidth="1"/>
    <col min="1790" max="1790" width="11.26953125" customWidth="1"/>
    <col min="1791" max="1791" width="13.7265625" customWidth="1"/>
    <col min="2042" max="2042" width="21" customWidth="1"/>
    <col min="2043" max="2043" width="16.453125" customWidth="1"/>
    <col min="2044" max="2044" width="17.54296875" customWidth="1"/>
    <col min="2045" max="2045" width="13.1796875" customWidth="1"/>
    <col min="2046" max="2046" width="11.26953125" customWidth="1"/>
    <col min="2047" max="2047" width="13.7265625" customWidth="1"/>
    <col min="2298" max="2298" width="21" customWidth="1"/>
    <col min="2299" max="2299" width="16.453125" customWidth="1"/>
    <col min="2300" max="2300" width="17.54296875" customWidth="1"/>
    <col min="2301" max="2301" width="13.1796875" customWidth="1"/>
    <col min="2302" max="2302" width="11.26953125" customWidth="1"/>
    <col min="2303" max="2303" width="13.7265625" customWidth="1"/>
    <col min="2554" max="2554" width="21" customWidth="1"/>
    <col min="2555" max="2555" width="16.453125" customWidth="1"/>
    <col min="2556" max="2556" width="17.54296875" customWidth="1"/>
    <col min="2557" max="2557" width="13.1796875" customWidth="1"/>
    <col min="2558" max="2558" width="11.26953125" customWidth="1"/>
    <col min="2559" max="2559" width="13.7265625" customWidth="1"/>
    <col min="2810" max="2810" width="21" customWidth="1"/>
    <col min="2811" max="2811" width="16.453125" customWidth="1"/>
    <col min="2812" max="2812" width="17.54296875" customWidth="1"/>
    <col min="2813" max="2813" width="13.1796875" customWidth="1"/>
    <col min="2814" max="2814" width="11.26953125" customWidth="1"/>
    <col min="2815" max="2815" width="13.7265625" customWidth="1"/>
    <col min="3066" max="3066" width="21" customWidth="1"/>
    <col min="3067" max="3067" width="16.453125" customWidth="1"/>
    <col min="3068" max="3068" width="17.54296875" customWidth="1"/>
    <col min="3069" max="3069" width="13.1796875" customWidth="1"/>
    <col min="3070" max="3070" width="11.26953125" customWidth="1"/>
    <col min="3071" max="3071" width="13.7265625" customWidth="1"/>
    <col min="3322" max="3322" width="21" customWidth="1"/>
    <col min="3323" max="3323" width="16.453125" customWidth="1"/>
    <col min="3324" max="3324" width="17.54296875" customWidth="1"/>
    <col min="3325" max="3325" width="13.1796875" customWidth="1"/>
    <col min="3326" max="3326" width="11.26953125" customWidth="1"/>
    <col min="3327" max="3327" width="13.7265625" customWidth="1"/>
    <col min="3578" max="3578" width="21" customWidth="1"/>
    <col min="3579" max="3579" width="16.453125" customWidth="1"/>
    <col min="3580" max="3580" width="17.54296875" customWidth="1"/>
    <col min="3581" max="3581" width="13.1796875" customWidth="1"/>
    <col min="3582" max="3582" width="11.26953125" customWidth="1"/>
    <col min="3583" max="3583" width="13.7265625" customWidth="1"/>
    <col min="3834" max="3834" width="21" customWidth="1"/>
    <col min="3835" max="3835" width="16.453125" customWidth="1"/>
    <col min="3836" max="3836" width="17.54296875" customWidth="1"/>
    <col min="3837" max="3837" width="13.1796875" customWidth="1"/>
    <col min="3838" max="3838" width="11.26953125" customWidth="1"/>
    <col min="3839" max="3839" width="13.7265625" customWidth="1"/>
    <col min="4090" max="4090" width="21" customWidth="1"/>
    <col min="4091" max="4091" width="16.453125" customWidth="1"/>
    <col min="4092" max="4092" width="17.54296875" customWidth="1"/>
    <col min="4093" max="4093" width="13.1796875" customWidth="1"/>
    <col min="4094" max="4094" width="11.26953125" customWidth="1"/>
    <col min="4095" max="4095" width="13.7265625" customWidth="1"/>
    <col min="4346" max="4346" width="21" customWidth="1"/>
    <col min="4347" max="4347" width="16.453125" customWidth="1"/>
    <col min="4348" max="4348" width="17.54296875" customWidth="1"/>
    <col min="4349" max="4349" width="13.1796875" customWidth="1"/>
    <col min="4350" max="4350" width="11.26953125" customWidth="1"/>
    <col min="4351" max="4351" width="13.7265625" customWidth="1"/>
    <col min="4602" max="4602" width="21" customWidth="1"/>
    <col min="4603" max="4603" width="16.453125" customWidth="1"/>
    <col min="4604" max="4604" width="17.54296875" customWidth="1"/>
    <col min="4605" max="4605" width="13.1796875" customWidth="1"/>
    <col min="4606" max="4606" width="11.26953125" customWidth="1"/>
    <col min="4607" max="4607" width="13.7265625" customWidth="1"/>
    <col min="4858" max="4858" width="21" customWidth="1"/>
    <col min="4859" max="4859" width="16.453125" customWidth="1"/>
    <col min="4860" max="4860" width="17.54296875" customWidth="1"/>
    <col min="4861" max="4861" width="13.1796875" customWidth="1"/>
    <col min="4862" max="4862" width="11.26953125" customWidth="1"/>
    <col min="4863" max="4863" width="13.7265625" customWidth="1"/>
    <col min="5114" max="5114" width="21" customWidth="1"/>
    <col min="5115" max="5115" width="16.453125" customWidth="1"/>
    <col min="5116" max="5116" width="17.54296875" customWidth="1"/>
    <col min="5117" max="5117" width="13.1796875" customWidth="1"/>
    <col min="5118" max="5118" width="11.26953125" customWidth="1"/>
    <col min="5119" max="5119" width="13.7265625" customWidth="1"/>
    <col min="5370" max="5370" width="21" customWidth="1"/>
    <col min="5371" max="5371" width="16.453125" customWidth="1"/>
    <col min="5372" max="5372" width="17.54296875" customWidth="1"/>
    <col min="5373" max="5373" width="13.1796875" customWidth="1"/>
    <col min="5374" max="5374" width="11.26953125" customWidth="1"/>
    <col min="5375" max="5375" width="13.7265625" customWidth="1"/>
    <col min="5626" max="5626" width="21" customWidth="1"/>
    <col min="5627" max="5627" width="16.453125" customWidth="1"/>
    <col min="5628" max="5628" width="17.54296875" customWidth="1"/>
    <col min="5629" max="5629" width="13.1796875" customWidth="1"/>
    <col min="5630" max="5630" width="11.26953125" customWidth="1"/>
    <col min="5631" max="5631" width="13.7265625" customWidth="1"/>
    <col min="5882" max="5882" width="21" customWidth="1"/>
    <col min="5883" max="5883" width="16.453125" customWidth="1"/>
    <col min="5884" max="5884" width="17.54296875" customWidth="1"/>
    <col min="5885" max="5885" width="13.1796875" customWidth="1"/>
    <col min="5886" max="5886" width="11.26953125" customWidth="1"/>
    <col min="5887" max="5887" width="13.7265625" customWidth="1"/>
    <col min="6138" max="6138" width="21" customWidth="1"/>
    <col min="6139" max="6139" width="16.453125" customWidth="1"/>
    <col min="6140" max="6140" width="17.54296875" customWidth="1"/>
    <col min="6141" max="6141" width="13.1796875" customWidth="1"/>
    <col min="6142" max="6142" width="11.26953125" customWidth="1"/>
    <col min="6143" max="6143" width="13.7265625" customWidth="1"/>
    <col min="6394" max="6394" width="21" customWidth="1"/>
    <col min="6395" max="6395" width="16.453125" customWidth="1"/>
    <col min="6396" max="6396" width="17.54296875" customWidth="1"/>
    <col min="6397" max="6397" width="13.1796875" customWidth="1"/>
    <col min="6398" max="6398" width="11.26953125" customWidth="1"/>
    <col min="6399" max="6399" width="13.7265625" customWidth="1"/>
    <col min="6650" max="6650" width="21" customWidth="1"/>
    <col min="6651" max="6651" width="16.453125" customWidth="1"/>
    <col min="6652" max="6652" width="17.54296875" customWidth="1"/>
    <col min="6653" max="6653" width="13.1796875" customWidth="1"/>
    <col min="6654" max="6654" width="11.26953125" customWidth="1"/>
    <col min="6655" max="6655" width="13.7265625" customWidth="1"/>
    <col min="6906" max="6906" width="21" customWidth="1"/>
    <col min="6907" max="6907" width="16.453125" customWidth="1"/>
    <col min="6908" max="6908" width="17.54296875" customWidth="1"/>
    <col min="6909" max="6909" width="13.1796875" customWidth="1"/>
    <col min="6910" max="6910" width="11.26953125" customWidth="1"/>
    <col min="6911" max="6911" width="13.7265625" customWidth="1"/>
    <col min="7162" max="7162" width="21" customWidth="1"/>
    <col min="7163" max="7163" width="16.453125" customWidth="1"/>
    <col min="7164" max="7164" width="17.54296875" customWidth="1"/>
    <col min="7165" max="7165" width="13.1796875" customWidth="1"/>
    <col min="7166" max="7166" width="11.26953125" customWidth="1"/>
    <col min="7167" max="7167" width="13.7265625" customWidth="1"/>
    <col min="7418" max="7418" width="21" customWidth="1"/>
    <col min="7419" max="7419" width="16.453125" customWidth="1"/>
    <col min="7420" max="7420" width="17.54296875" customWidth="1"/>
    <col min="7421" max="7421" width="13.1796875" customWidth="1"/>
    <col min="7422" max="7422" width="11.26953125" customWidth="1"/>
    <col min="7423" max="7423" width="13.7265625" customWidth="1"/>
    <col min="7674" max="7674" width="21" customWidth="1"/>
    <col min="7675" max="7675" width="16.453125" customWidth="1"/>
    <col min="7676" max="7676" width="17.54296875" customWidth="1"/>
    <col min="7677" max="7677" width="13.1796875" customWidth="1"/>
    <col min="7678" max="7678" width="11.26953125" customWidth="1"/>
    <col min="7679" max="7679" width="13.7265625" customWidth="1"/>
    <col min="7930" max="7930" width="21" customWidth="1"/>
    <col min="7931" max="7931" width="16.453125" customWidth="1"/>
    <col min="7932" max="7932" width="17.54296875" customWidth="1"/>
    <col min="7933" max="7933" width="13.1796875" customWidth="1"/>
    <col min="7934" max="7934" width="11.26953125" customWidth="1"/>
    <col min="7935" max="7935" width="13.7265625" customWidth="1"/>
    <col min="8186" max="8186" width="21" customWidth="1"/>
    <col min="8187" max="8187" width="16.453125" customWidth="1"/>
    <col min="8188" max="8188" width="17.54296875" customWidth="1"/>
    <col min="8189" max="8189" width="13.1796875" customWidth="1"/>
    <col min="8190" max="8190" width="11.26953125" customWidth="1"/>
    <col min="8191" max="8191" width="13.7265625" customWidth="1"/>
    <col min="8442" max="8442" width="21" customWidth="1"/>
    <col min="8443" max="8443" width="16.453125" customWidth="1"/>
    <col min="8444" max="8444" width="17.54296875" customWidth="1"/>
    <col min="8445" max="8445" width="13.1796875" customWidth="1"/>
    <col min="8446" max="8446" width="11.26953125" customWidth="1"/>
    <col min="8447" max="8447" width="13.7265625" customWidth="1"/>
    <col min="8698" max="8698" width="21" customWidth="1"/>
    <col min="8699" max="8699" width="16.453125" customWidth="1"/>
    <col min="8700" max="8700" width="17.54296875" customWidth="1"/>
    <col min="8701" max="8701" width="13.1796875" customWidth="1"/>
    <col min="8702" max="8702" width="11.26953125" customWidth="1"/>
    <col min="8703" max="8703" width="13.7265625" customWidth="1"/>
    <col min="8954" max="8954" width="21" customWidth="1"/>
    <col min="8955" max="8955" width="16.453125" customWidth="1"/>
    <col min="8956" max="8956" width="17.54296875" customWidth="1"/>
    <col min="8957" max="8957" width="13.1796875" customWidth="1"/>
    <col min="8958" max="8958" width="11.26953125" customWidth="1"/>
    <col min="8959" max="8959" width="13.7265625" customWidth="1"/>
    <col min="9210" max="9210" width="21" customWidth="1"/>
    <col min="9211" max="9211" width="16.453125" customWidth="1"/>
    <col min="9212" max="9212" width="17.54296875" customWidth="1"/>
    <col min="9213" max="9213" width="13.1796875" customWidth="1"/>
    <col min="9214" max="9214" width="11.26953125" customWidth="1"/>
    <col min="9215" max="9215" width="13.7265625" customWidth="1"/>
    <col min="9466" max="9466" width="21" customWidth="1"/>
    <col min="9467" max="9467" width="16.453125" customWidth="1"/>
    <col min="9468" max="9468" width="17.54296875" customWidth="1"/>
    <col min="9469" max="9469" width="13.1796875" customWidth="1"/>
    <col min="9470" max="9470" width="11.26953125" customWidth="1"/>
    <col min="9471" max="9471" width="13.7265625" customWidth="1"/>
    <col min="9722" max="9722" width="21" customWidth="1"/>
    <col min="9723" max="9723" width="16.453125" customWidth="1"/>
    <col min="9724" max="9724" width="17.54296875" customWidth="1"/>
    <col min="9725" max="9725" width="13.1796875" customWidth="1"/>
    <col min="9726" max="9726" width="11.26953125" customWidth="1"/>
    <col min="9727" max="9727" width="13.7265625" customWidth="1"/>
    <col min="9978" max="9978" width="21" customWidth="1"/>
    <col min="9979" max="9979" width="16.453125" customWidth="1"/>
    <col min="9980" max="9980" width="17.54296875" customWidth="1"/>
    <col min="9981" max="9981" width="13.1796875" customWidth="1"/>
    <col min="9982" max="9982" width="11.26953125" customWidth="1"/>
    <col min="9983" max="9983" width="13.7265625" customWidth="1"/>
    <col min="10234" max="10234" width="21" customWidth="1"/>
    <col min="10235" max="10235" width="16.453125" customWidth="1"/>
    <col min="10236" max="10236" width="17.54296875" customWidth="1"/>
    <col min="10237" max="10237" width="13.1796875" customWidth="1"/>
    <col min="10238" max="10238" width="11.26953125" customWidth="1"/>
    <col min="10239" max="10239" width="13.7265625" customWidth="1"/>
    <col min="10490" max="10490" width="21" customWidth="1"/>
    <col min="10491" max="10491" width="16.453125" customWidth="1"/>
    <col min="10492" max="10492" width="17.54296875" customWidth="1"/>
    <col min="10493" max="10493" width="13.1796875" customWidth="1"/>
    <col min="10494" max="10494" width="11.26953125" customWidth="1"/>
    <col min="10495" max="10495" width="13.7265625" customWidth="1"/>
    <col min="10746" max="10746" width="21" customWidth="1"/>
    <col min="10747" max="10747" width="16.453125" customWidth="1"/>
    <col min="10748" max="10748" width="17.54296875" customWidth="1"/>
    <col min="10749" max="10749" width="13.1796875" customWidth="1"/>
    <col min="10750" max="10750" width="11.26953125" customWidth="1"/>
    <col min="10751" max="10751" width="13.7265625" customWidth="1"/>
    <col min="11002" max="11002" width="21" customWidth="1"/>
    <col min="11003" max="11003" width="16.453125" customWidth="1"/>
    <col min="11004" max="11004" width="17.54296875" customWidth="1"/>
    <col min="11005" max="11005" width="13.1796875" customWidth="1"/>
    <col min="11006" max="11006" width="11.26953125" customWidth="1"/>
    <col min="11007" max="11007" width="13.7265625" customWidth="1"/>
    <col min="11258" max="11258" width="21" customWidth="1"/>
    <col min="11259" max="11259" width="16.453125" customWidth="1"/>
    <col min="11260" max="11260" width="17.54296875" customWidth="1"/>
    <col min="11261" max="11261" width="13.1796875" customWidth="1"/>
    <col min="11262" max="11262" width="11.26953125" customWidth="1"/>
    <col min="11263" max="11263" width="13.7265625" customWidth="1"/>
    <col min="11514" max="11514" width="21" customWidth="1"/>
    <col min="11515" max="11515" width="16.453125" customWidth="1"/>
    <col min="11516" max="11516" width="17.54296875" customWidth="1"/>
    <col min="11517" max="11517" width="13.1796875" customWidth="1"/>
    <col min="11518" max="11518" width="11.26953125" customWidth="1"/>
    <col min="11519" max="11519" width="13.7265625" customWidth="1"/>
    <col min="11770" max="11770" width="21" customWidth="1"/>
    <col min="11771" max="11771" width="16.453125" customWidth="1"/>
    <col min="11772" max="11772" width="17.54296875" customWidth="1"/>
    <col min="11773" max="11773" width="13.1796875" customWidth="1"/>
    <col min="11774" max="11774" width="11.26953125" customWidth="1"/>
    <col min="11775" max="11775" width="13.7265625" customWidth="1"/>
    <col min="12026" max="12026" width="21" customWidth="1"/>
    <col min="12027" max="12027" width="16.453125" customWidth="1"/>
    <col min="12028" max="12028" width="17.54296875" customWidth="1"/>
    <col min="12029" max="12029" width="13.1796875" customWidth="1"/>
    <col min="12030" max="12030" width="11.26953125" customWidth="1"/>
    <col min="12031" max="12031" width="13.7265625" customWidth="1"/>
    <col min="12282" max="12282" width="21" customWidth="1"/>
    <col min="12283" max="12283" width="16.453125" customWidth="1"/>
    <col min="12284" max="12284" width="17.54296875" customWidth="1"/>
    <col min="12285" max="12285" width="13.1796875" customWidth="1"/>
    <col min="12286" max="12286" width="11.26953125" customWidth="1"/>
    <col min="12287" max="12287" width="13.7265625" customWidth="1"/>
    <col min="12538" max="12538" width="21" customWidth="1"/>
    <col min="12539" max="12539" width="16.453125" customWidth="1"/>
    <col min="12540" max="12540" width="17.54296875" customWidth="1"/>
    <col min="12541" max="12541" width="13.1796875" customWidth="1"/>
    <col min="12542" max="12542" width="11.26953125" customWidth="1"/>
    <col min="12543" max="12543" width="13.7265625" customWidth="1"/>
    <col min="12794" max="12794" width="21" customWidth="1"/>
    <col min="12795" max="12795" width="16.453125" customWidth="1"/>
    <col min="12796" max="12796" width="17.54296875" customWidth="1"/>
    <col min="12797" max="12797" width="13.1796875" customWidth="1"/>
    <col min="12798" max="12798" width="11.26953125" customWidth="1"/>
    <col min="12799" max="12799" width="13.7265625" customWidth="1"/>
    <col min="13050" max="13050" width="21" customWidth="1"/>
    <col min="13051" max="13051" width="16.453125" customWidth="1"/>
    <col min="13052" max="13052" width="17.54296875" customWidth="1"/>
    <col min="13053" max="13053" width="13.1796875" customWidth="1"/>
    <col min="13054" max="13054" width="11.26953125" customWidth="1"/>
    <col min="13055" max="13055" width="13.7265625" customWidth="1"/>
    <col min="13306" max="13306" width="21" customWidth="1"/>
    <col min="13307" max="13307" width="16.453125" customWidth="1"/>
    <col min="13308" max="13308" width="17.54296875" customWidth="1"/>
    <col min="13309" max="13309" width="13.1796875" customWidth="1"/>
    <col min="13310" max="13310" width="11.26953125" customWidth="1"/>
    <col min="13311" max="13311" width="13.7265625" customWidth="1"/>
    <col min="13562" max="13562" width="21" customWidth="1"/>
    <col min="13563" max="13563" width="16.453125" customWidth="1"/>
    <col min="13564" max="13564" width="17.54296875" customWidth="1"/>
    <col min="13565" max="13565" width="13.1796875" customWidth="1"/>
    <col min="13566" max="13566" width="11.26953125" customWidth="1"/>
    <col min="13567" max="13567" width="13.7265625" customWidth="1"/>
    <col min="13818" max="13818" width="21" customWidth="1"/>
    <col min="13819" max="13819" width="16.453125" customWidth="1"/>
    <col min="13820" max="13820" width="17.54296875" customWidth="1"/>
    <col min="13821" max="13821" width="13.1796875" customWidth="1"/>
    <col min="13822" max="13822" width="11.26953125" customWidth="1"/>
    <col min="13823" max="13823" width="13.7265625" customWidth="1"/>
    <col min="14074" max="14074" width="21" customWidth="1"/>
    <col min="14075" max="14075" width="16.453125" customWidth="1"/>
    <col min="14076" max="14076" width="17.54296875" customWidth="1"/>
    <col min="14077" max="14077" width="13.1796875" customWidth="1"/>
    <col min="14078" max="14078" width="11.26953125" customWidth="1"/>
    <col min="14079" max="14079" width="13.7265625" customWidth="1"/>
    <col min="14330" max="14330" width="21" customWidth="1"/>
    <col min="14331" max="14331" width="16.453125" customWidth="1"/>
    <col min="14332" max="14332" width="17.54296875" customWidth="1"/>
    <col min="14333" max="14333" width="13.1796875" customWidth="1"/>
    <col min="14334" max="14334" width="11.26953125" customWidth="1"/>
    <col min="14335" max="14335" width="13.7265625" customWidth="1"/>
    <col min="14586" max="14586" width="21" customWidth="1"/>
    <col min="14587" max="14587" width="16.453125" customWidth="1"/>
    <col min="14588" max="14588" width="17.54296875" customWidth="1"/>
    <col min="14589" max="14589" width="13.1796875" customWidth="1"/>
    <col min="14590" max="14590" width="11.26953125" customWidth="1"/>
    <col min="14591" max="14591" width="13.7265625" customWidth="1"/>
    <col min="14842" max="14842" width="21" customWidth="1"/>
    <col min="14843" max="14843" width="16.453125" customWidth="1"/>
    <col min="14844" max="14844" width="17.54296875" customWidth="1"/>
    <col min="14845" max="14845" width="13.1796875" customWidth="1"/>
    <col min="14846" max="14846" width="11.26953125" customWidth="1"/>
    <col min="14847" max="14847" width="13.7265625" customWidth="1"/>
    <col min="15098" max="15098" width="21" customWidth="1"/>
    <col min="15099" max="15099" width="16.453125" customWidth="1"/>
    <col min="15100" max="15100" width="17.54296875" customWidth="1"/>
    <col min="15101" max="15101" width="13.1796875" customWidth="1"/>
    <col min="15102" max="15102" width="11.26953125" customWidth="1"/>
    <col min="15103" max="15103" width="13.7265625" customWidth="1"/>
    <col min="15354" max="15354" width="21" customWidth="1"/>
    <col min="15355" max="15355" width="16.453125" customWidth="1"/>
    <col min="15356" max="15356" width="17.54296875" customWidth="1"/>
    <col min="15357" max="15357" width="13.1796875" customWidth="1"/>
    <col min="15358" max="15358" width="11.26953125" customWidth="1"/>
    <col min="15359" max="15359" width="13.7265625" customWidth="1"/>
    <col min="15610" max="15610" width="21" customWidth="1"/>
    <col min="15611" max="15611" width="16.453125" customWidth="1"/>
    <col min="15612" max="15612" width="17.54296875" customWidth="1"/>
    <col min="15613" max="15613" width="13.1796875" customWidth="1"/>
    <col min="15614" max="15614" width="11.26953125" customWidth="1"/>
    <col min="15615" max="15615" width="13.7265625" customWidth="1"/>
    <col min="15866" max="15866" width="21" customWidth="1"/>
    <col min="15867" max="15867" width="16.453125" customWidth="1"/>
    <col min="15868" max="15868" width="17.54296875" customWidth="1"/>
    <col min="15869" max="15869" width="13.1796875" customWidth="1"/>
    <col min="15870" max="15870" width="11.26953125" customWidth="1"/>
    <col min="15871" max="15871" width="13.7265625" customWidth="1"/>
    <col min="16122" max="16122" width="21" customWidth="1"/>
    <col min="16123" max="16123" width="16.453125" customWidth="1"/>
    <col min="16124" max="16124" width="17.54296875" customWidth="1"/>
    <col min="16125" max="16125" width="13.1796875" customWidth="1"/>
    <col min="16126" max="16126" width="11.26953125" customWidth="1"/>
    <col min="16127" max="16127" width="13.7265625" customWidth="1"/>
    <col min="16378" max="16384" width="9.1796875" customWidth="1"/>
  </cols>
  <sheetData>
    <row r="1" spans="1:238" s="33" customFormat="1" ht="25" customHeight="1" x14ac:dyDescent="0.35">
      <c r="B1" s="57"/>
      <c r="D1" s="34"/>
      <c r="H1" s="35"/>
      <c r="I1" s="36"/>
    </row>
    <row r="2" spans="1:238" ht="25" customHeight="1" x14ac:dyDescent="0.25">
      <c r="A2" s="37"/>
      <c r="B2" s="38" t="s">
        <v>234</v>
      </c>
      <c r="C2" s="39"/>
      <c r="D2" s="39"/>
      <c r="E2" s="39"/>
      <c r="F2" s="39"/>
      <c r="G2" s="39"/>
      <c r="H2" s="40"/>
      <c r="I2" s="40"/>
      <c r="J2" s="40"/>
      <c r="K2" s="33"/>
      <c r="L2" s="40"/>
    </row>
    <row r="3" spans="1:238" ht="25" customHeight="1" thickBot="1" x14ac:dyDescent="0.3">
      <c r="B3" s="41" t="s">
        <v>284</v>
      </c>
      <c r="C3" s="49"/>
      <c r="D3" s="49"/>
      <c r="E3" s="49"/>
      <c r="F3" s="49"/>
      <c r="G3" s="49"/>
      <c r="H3" s="49"/>
      <c r="I3" s="49"/>
      <c r="J3" s="49"/>
      <c r="K3" s="49"/>
      <c r="L3" s="49"/>
      <c r="M3" s="40"/>
      <c r="P3" s="33"/>
    </row>
    <row r="4" spans="1:238" ht="25" customHeight="1" thickTop="1" x14ac:dyDescent="0.3">
      <c r="B4" s="50"/>
      <c r="C4" s="51"/>
      <c r="D4" s="52"/>
      <c r="E4" s="112"/>
      <c r="F4" s="54"/>
      <c r="G4" s="113"/>
      <c r="H4" s="54"/>
      <c r="I4" s="55"/>
      <c r="J4" s="33"/>
      <c r="K4" s="56"/>
      <c r="L4" s="40"/>
      <c r="O4" s="33"/>
    </row>
    <row r="5" spans="1:238" s="560" customFormat="1" ht="40" customHeight="1" x14ac:dyDescent="0.3">
      <c r="A5" s="17"/>
      <c r="B5" s="295" t="s">
        <v>831</v>
      </c>
      <c r="C5" s="295"/>
      <c r="D5" s="295"/>
      <c r="E5" s="295"/>
      <c r="F5" s="295"/>
      <c r="G5" s="295"/>
      <c r="H5" s="295"/>
      <c r="I5" s="295"/>
      <c r="J5" s="562"/>
    </row>
    <row r="6" spans="1:238" s="561" customFormat="1" ht="43.5" customHeight="1" x14ac:dyDescent="0.25">
      <c r="A6"/>
      <c r="B6" s="336" t="s">
        <v>252</v>
      </c>
      <c r="C6" s="337" t="s">
        <v>290</v>
      </c>
      <c r="D6" s="337" t="s">
        <v>291</v>
      </c>
      <c r="E6" s="337" t="s">
        <v>18</v>
      </c>
      <c r="F6" s="337" t="s">
        <v>359</v>
      </c>
      <c r="G6" s="337" t="s">
        <v>88</v>
      </c>
      <c r="H6" s="337" t="s">
        <v>342</v>
      </c>
      <c r="I6" s="337" t="s">
        <v>468</v>
      </c>
    </row>
    <row r="7" spans="1:238" ht="20.149999999999999" customHeight="1" x14ac:dyDescent="0.35">
      <c r="B7" s="331" t="s">
        <v>268</v>
      </c>
      <c r="C7" s="332" t="s">
        <v>758</v>
      </c>
      <c r="D7" s="332"/>
      <c r="E7" s="332"/>
      <c r="F7" s="332"/>
      <c r="G7" s="332"/>
      <c r="H7" s="332"/>
      <c r="I7" s="332"/>
      <c r="K7" s="561"/>
      <c r="L7" s="561"/>
      <c r="M7" s="561"/>
      <c r="N7" s="561"/>
      <c r="O7" s="561"/>
      <c r="P7" s="561"/>
      <c r="Q7" s="561"/>
      <c r="R7" s="561"/>
      <c r="S7" s="561"/>
      <c r="T7" s="561"/>
      <c r="U7" s="561"/>
      <c r="V7" s="561"/>
      <c r="W7" s="561"/>
      <c r="X7" s="561"/>
      <c r="Y7" s="561"/>
      <c r="Z7" s="561"/>
      <c r="AA7" s="561"/>
      <c r="AB7" s="561"/>
      <c r="AC7" s="561"/>
      <c r="AD7" s="561"/>
      <c r="AE7" s="561"/>
      <c r="AF7" s="561"/>
      <c r="AG7" s="561"/>
      <c r="AH7" s="561"/>
      <c r="AI7" s="561"/>
      <c r="AJ7" s="561"/>
      <c r="AK7" s="561"/>
      <c r="AL7" s="561"/>
      <c r="AM7" s="561"/>
      <c r="AN7" s="561"/>
      <c r="AO7" s="561"/>
      <c r="AP7" s="561"/>
      <c r="AQ7" s="561"/>
      <c r="AR7" s="561"/>
      <c r="AS7" s="561"/>
      <c r="AT7" s="561"/>
      <c r="AU7" s="561"/>
      <c r="AV7" s="561"/>
      <c r="AW7" s="561"/>
      <c r="AX7" s="561"/>
      <c r="AY7" s="561"/>
      <c r="AZ7" s="561"/>
      <c r="BA7" s="561"/>
      <c r="BB7" s="561"/>
      <c r="BC7" s="561"/>
      <c r="BD7" s="561"/>
      <c r="BE7" s="561"/>
      <c r="BF7" s="561"/>
      <c r="BG7" s="561"/>
      <c r="BH7" s="561"/>
      <c r="BI7" s="561"/>
      <c r="BJ7" s="561"/>
      <c r="BK7" s="561"/>
      <c r="BL7" s="561"/>
      <c r="BM7" s="561"/>
      <c r="BN7" s="561"/>
      <c r="BO7" s="561"/>
      <c r="BP7" s="561"/>
      <c r="BQ7" s="561"/>
      <c r="BR7" s="561"/>
      <c r="BS7" s="561"/>
      <c r="BT7" s="561"/>
      <c r="BU7" s="561"/>
      <c r="BV7" s="561"/>
      <c r="BW7" s="561"/>
      <c r="BX7" s="561"/>
      <c r="BY7" s="561"/>
      <c r="BZ7" s="561"/>
      <c r="CA7" s="561"/>
      <c r="CB7" s="561"/>
      <c r="CC7" s="561"/>
      <c r="CD7" s="561"/>
      <c r="CE7" s="561"/>
      <c r="CF7" s="561"/>
      <c r="CG7" s="561"/>
      <c r="CH7" s="561"/>
      <c r="CI7" s="561"/>
      <c r="CJ7" s="561"/>
      <c r="CK7" s="561"/>
      <c r="CL7" s="561"/>
      <c r="CM7" s="561"/>
      <c r="CN7" s="561"/>
      <c r="CO7" s="561"/>
      <c r="CP7" s="561"/>
      <c r="CQ7" s="561"/>
      <c r="CR7" s="561"/>
      <c r="CS7" s="561"/>
      <c r="CT7" s="561"/>
      <c r="CU7" s="561"/>
      <c r="CV7" s="561"/>
      <c r="CW7" s="561"/>
      <c r="CX7" s="561"/>
      <c r="CY7" s="561"/>
      <c r="CZ7" s="561"/>
      <c r="DA7" s="561"/>
      <c r="DB7" s="561"/>
      <c r="DC7" s="561"/>
      <c r="DD7" s="561"/>
      <c r="DE7" s="561"/>
      <c r="DF7" s="561"/>
      <c r="DG7" s="561"/>
      <c r="DH7" s="561"/>
      <c r="DI7" s="561"/>
      <c r="DJ7" s="561"/>
      <c r="DK7" s="561"/>
      <c r="DL7" s="561"/>
      <c r="DM7" s="561"/>
      <c r="DN7" s="561"/>
      <c r="DO7" s="561"/>
      <c r="DP7" s="561"/>
      <c r="DQ7" s="561"/>
      <c r="DR7" s="561"/>
      <c r="DS7" s="561"/>
      <c r="DT7" s="561"/>
      <c r="DU7" s="561"/>
      <c r="DV7" s="561"/>
      <c r="DW7" s="561"/>
      <c r="DX7" s="561"/>
      <c r="DY7" s="561"/>
      <c r="DZ7" s="561"/>
      <c r="EA7" s="561"/>
      <c r="EB7" s="561"/>
      <c r="EC7" s="561"/>
      <c r="ED7" s="561"/>
      <c r="EE7" s="561"/>
      <c r="EF7" s="561"/>
      <c r="EG7" s="561"/>
      <c r="EH7" s="561"/>
      <c r="EI7" s="561"/>
      <c r="EJ7" s="561"/>
      <c r="EK7" s="561"/>
      <c r="EL7" s="561"/>
      <c r="EM7" s="561"/>
      <c r="EN7" s="561"/>
      <c r="EO7" s="561"/>
      <c r="EP7" s="561"/>
      <c r="EQ7" s="561"/>
      <c r="ER7" s="561"/>
      <c r="ES7" s="561"/>
      <c r="ET7" s="561"/>
      <c r="EU7" s="561"/>
      <c r="EV7" s="561"/>
      <c r="EW7" s="561"/>
      <c r="EX7" s="561"/>
      <c r="EY7" s="561"/>
      <c r="EZ7" s="561"/>
      <c r="FA7" s="561"/>
      <c r="FB7" s="561"/>
      <c r="FC7" s="561"/>
      <c r="FD7" s="561"/>
      <c r="FE7" s="561"/>
      <c r="FF7" s="561"/>
      <c r="FG7" s="561"/>
      <c r="FH7" s="561"/>
      <c r="FI7" s="561"/>
      <c r="FJ7" s="561"/>
      <c r="FK7" s="561"/>
      <c r="FL7" s="561"/>
      <c r="FM7" s="561"/>
      <c r="FN7" s="561"/>
      <c r="FO7" s="561"/>
      <c r="FP7" s="561"/>
      <c r="FQ7" s="561"/>
      <c r="FR7" s="561"/>
      <c r="FS7" s="561"/>
      <c r="FT7" s="561"/>
      <c r="FU7" s="561"/>
      <c r="FV7" s="561"/>
      <c r="FW7" s="561"/>
      <c r="FX7" s="561"/>
      <c r="FY7" s="561"/>
      <c r="FZ7" s="561"/>
      <c r="GA7" s="561"/>
      <c r="GB7" s="561"/>
      <c r="GC7" s="561"/>
      <c r="GD7" s="561"/>
      <c r="GE7" s="561"/>
      <c r="GF7" s="561"/>
      <c r="GG7" s="561"/>
      <c r="GH7" s="561"/>
      <c r="GI7" s="561"/>
      <c r="GJ7" s="561"/>
      <c r="GK7" s="561"/>
      <c r="GL7" s="561"/>
      <c r="GM7" s="561"/>
      <c r="GN7" s="561"/>
      <c r="GO7" s="561"/>
      <c r="GP7" s="561"/>
      <c r="GQ7" s="561"/>
      <c r="GR7" s="561"/>
      <c r="GS7" s="561"/>
      <c r="GT7" s="561"/>
      <c r="GU7" s="561"/>
      <c r="GV7" s="561"/>
      <c r="GW7" s="561"/>
      <c r="GX7" s="561"/>
      <c r="GY7" s="561"/>
      <c r="GZ7" s="561"/>
      <c r="HA7" s="561"/>
      <c r="HB7" s="561"/>
      <c r="HC7" s="561"/>
      <c r="HD7" s="561"/>
      <c r="HE7" s="561"/>
      <c r="HF7" s="561"/>
      <c r="HG7" s="561"/>
      <c r="HH7" s="561"/>
      <c r="HI7" s="561"/>
      <c r="HJ7" s="561"/>
      <c r="HK7" s="561"/>
      <c r="HL7" s="561"/>
      <c r="HM7" s="561"/>
      <c r="HN7" s="561"/>
      <c r="HO7" s="561"/>
      <c r="HP7" s="561"/>
      <c r="HQ7" s="561"/>
      <c r="HR7" s="561"/>
      <c r="HS7" s="561"/>
      <c r="HT7" s="561"/>
      <c r="HU7" s="561"/>
      <c r="HV7" s="561"/>
      <c r="HW7" s="561"/>
      <c r="HX7" s="561"/>
      <c r="HY7" s="561"/>
      <c r="HZ7" s="561"/>
      <c r="IA7" s="561"/>
      <c r="IB7" s="561"/>
      <c r="IC7" s="561"/>
      <c r="ID7" s="561"/>
    </row>
    <row r="8" spans="1:238" ht="20.149999999999999" customHeight="1" x14ac:dyDescent="0.35">
      <c r="B8" s="331" t="s">
        <v>238</v>
      </c>
      <c r="C8" s="333" t="s">
        <v>547</v>
      </c>
      <c r="D8" s="333" t="s">
        <v>790</v>
      </c>
      <c r="E8" s="333" t="s">
        <v>791</v>
      </c>
      <c r="F8" s="333" t="s">
        <v>792</v>
      </c>
      <c r="G8" s="333"/>
      <c r="H8" s="333"/>
      <c r="I8" s="333" t="s">
        <v>793</v>
      </c>
    </row>
    <row r="9" spans="1:238" ht="20.149999999999999" customHeight="1" x14ac:dyDescent="0.35">
      <c r="B9" s="331" t="s">
        <v>240</v>
      </c>
      <c r="C9" s="333" t="s">
        <v>539</v>
      </c>
      <c r="D9" s="333"/>
      <c r="E9" s="333" t="s">
        <v>794</v>
      </c>
      <c r="F9" s="333"/>
      <c r="G9" s="333" t="s">
        <v>795</v>
      </c>
      <c r="H9" s="333" t="s">
        <v>796</v>
      </c>
      <c r="I9" s="333" t="s">
        <v>797</v>
      </c>
    </row>
    <row r="10" spans="1:238" ht="20.149999999999999" customHeight="1" x14ac:dyDescent="0.35">
      <c r="B10" s="331" t="s">
        <v>240</v>
      </c>
      <c r="C10" s="333" t="s">
        <v>474</v>
      </c>
      <c r="D10" s="333" t="s">
        <v>506</v>
      </c>
      <c r="E10" s="333" t="s">
        <v>798</v>
      </c>
      <c r="F10" s="333" t="s">
        <v>799</v>
      </c>
      <c r="G10" s="333"/>
      <c r="H10" s="333"/>
      <c r="I10" s="333"/>
    </row>
    <row r="11" spans="1:238" ht="20.149999999999999" customHeight="1" x14ac:dyDescent="0.35">
      <c r="B11" s="331" t="s">
        <v>240</v>
      </c>
      <c r="C11" s="333"/>
      <c r="D11" s="333"/>
      <c r="E11" s="333"/>
      <c r="F11" s="333"/>
      <c r="G11" s="333"/>
      <c r="H11" s="333" t="s">
        <v>800</v>
      </c>
      <c r="I11" s="333" t="s">
        <v>801</v>
      </c>
    </row>
    <row r="12" spans="1:238" ht="20.149999999999999" customHeight="1" x14ac:dyDescent="0.35">
      <c r="B12" s="331" t="s">
        <v>241</v>
      </c>
      <c r="C12" s="333" t="s">
        <v>475</v>
      </c>
      <c r="D12" s="333"/>
      <c r="E12" s="333" t="s">
        <v>802</v>
      </c>
      <c r="F12" s="333" t="s">
        <v>803</v>
      </c>
      <c r="G12" s="333"/>
      <c r="H12" s="333"/>
      <c r="I12" s="333"/>
    </row>
    <row r="13" spans="1:238" ht="20.149999999999999" customHeight="1" x14ac:dyDescent="0.35">
      <c r="B13" s="331" t="s">
        <v>241</v>
      </c>
      <c r="C13" s="333" t="s">
        <v>804</v>
      </c>
      <c r="D13" s="333"/>
      <c r="E13" s="333"/>
      <c r="F13" s="333"/>
      <c r="G13" s="333" t="s">
        <v>805</v>
      </c>
      <c r="H13" s="333" t="s">
        <v>806</v>
      </c>
      <c r="I13" s="333" t="s">
        <v>807</v>
      </c>
    </row>
    <row r="14" spans="1:238" ht="20.149999999999999" customHeight="1" x14ac:dyDescent="0.35">
      <c r="B14" s="331" t="s">
        <v>241</v>
      </c>
      <c r="C14" s="333" t="s">
        <v>808</v>
      </c>
      <c r="D14" s="333" t="s">
        <v>809</v>
      </c>
      <c r="E14" s="333" t="s">
        <v>810</v>
      </c>
      <c r="F14" s="333" t="s">
        <v>811</v>
      </c>
      <c r="G14" s="333" t="s">
        <v>812</v>
      </c>
      <c r="H14" s="333"/>
      <c r="I14" s="333"/>
    </row>
    <row r="15" spans="1:238" ht="20.149999999999999" customHeight="1" x14ac:dyDescent="0.35">
      <c r="B15" s="331" t="s">
        <v>241</v>
      </c>
      <c r="C15" s="333"/>
      <c r="D15" s="333"/>
      <c r="E15" s="333"/>
      <c r="F15" s="333"/>
      <c r="G15" s="333"/>
      <c r="H15" s="333"/>
      <c r="I15" s="333"/>
    </row>
    <row r="16" spans="1:238" ht="20.149999999999999" customHeight="1" x14ac:dyDescent="0.35">
      <c r="B16" s="331" t="s">
        <v>241</v>
      </c>
      <c r="C16" s="333"/>
      <c r="D16" s="333" t="s">
        <v>506</v>
      </c>
      <c r="E16" s="333"/>
      <c r="F16" s="333" t="s">
        <v>813</v>
      </c>
      <c r="G16" s="333"/>
      <c r="H16" s="333"/>
      <c r="I16" s="333" t="s">
        <v>814</v>
      </c>
    </row>
    <row r="17" spans="2:9" ht="20.149999999999999" customHeight="1" x14ac:dyDescent="0.35">
      <c r="B17" s="334" t="s">
        <v>255</v>
      </c>
      <c r="C17" s="333" t="s">
        <v>815</v>
      </c>
      <c r="D17" s="333"/>
      <c r="E17" s="333" t="s">
        <v>816</v>
      </c>
      <c r="F17" s="333"/>
      <c r="G17" s="333" t="s">
        <v>817</v>
      </c>
      <c r="H17" s="333" t="s">
        <v>818</v>
      </c>
      <c r="I17" s="333"/>
    </row>
    <row r="18" spans="2:9" ht="20.149999999999999" customHeight="1" x14ac:dyDescent="0.35">
      <c r="B18" s="334" t="s">
        <v>256</v>
      </c>
      <c r="C18" s="333" t="s">
        <v>487</v>
      </c>
      <c r="D18" s="333" t="s">
        <v>548</v>
      </c>
      <c r="E18" s="333"/>
      <c r="F18" s="333"/>
      <c r="G18" s="333"/>
      <c r="H18" s="333"/>
      <c r="I18" s="333"/>
    </row>
    <row r="19" spans="2:9" ht="20.149999999999999" customHeight="1" x14ac:dyDescent="0.35">
      <c r="B19" s="334" t="s">
        <v>256</v>
      </c>
      <c r="C19" s="333"/>
      <c r="D19" s="333"/>
      <c r="E19" s="333" t="s">
        <v>819</v>
      </c>
      <c r="F19" s="333"/>
      <c r="G19" s="333"/>
      <c r="H19" s="333"/>
      <c r="I19" s="333"/>
    </row>
    <row r="20" spans="2:9" ht="20.149999999999999" customHeight="1" x14ac:dyDescent="0.25">
      <c r="B20" s="338" t="s">
        <v>257</v>
      </c>
      <c r="C20" s="338" t="s">
        <v>820</v>
      </c>
      <c r="D20" s="338" t="s">
        <v>548</v>
      </c>
      <c r="E20" s="338" t="s">
        <v>821</v>
      </c>
      <c r="F20" s="338" t="s">
        <v>822</v>
      </c>
      <c r="G20" s="338" t="s">
        <v>538</v>
      </c>
      <c r="H20" s="338" t="s">
        <v>818</v>
      </c>
      <c r="I20" s="338" t="s">
        <v>823</v>
      </c>
    </row>
    <row r="21" spans="2:9" ht="20.149999999999999" customHeight="1" x14ac:dyDescent="0.25">
      <c r="B21" s="338" t="s">
        <v>250</v>
      </c>
      <c r="C21" s="338" t="s">
        <v>549</v>
      </c>
      <c r="D21" s="338" t="s">
        <v>550</v>
      </c>
      <c r="E21" s="338" t="s">
        <v>551</v>
      </c>
      <c r="F21" s="338" t="s">
        <v>552</v>
      </c>
      <c r="G21" s="338" t="s">
        <v>553</v>
      </c>
      <c r="H21" s="338" t="s">
        <v>554</v>
      </c>
      <c r="I21" s="338" t="s">
        <v>555</v>
      </c>
    </row>
    <row r="22" spans="2:9" ht="20.149999999999999" customHeight="1" x14ac:dyDescent="0.25">
      <c r="B22" s="335" t="s">
        <v>251</v>
      </c>
      <c r="C22" s="335" t="s">
        <v>824</v>
      </c>
      <c r="D22" s="335" t="s">
        <v>825</v>
      </c>
      <c r="E22" s="335" t="s">
        <v>826</v>
      </c>
      <c r="F22" s="335" t="s">
        <v>827</v>
      </c>
      <c r="G22" s="335" t="s">
        <v>828</v>
      </c>
      <c r="H22" s="335" t="s">
        <v>829</v>
      </c>
      <c r="I22" s="335" t="s">
        <v>830</v>
      </c>
    </row>
    <row r="23" spans="2:9" ht="20.149999999999999" customHeight="1" x14ac:dyDescent="0.35">
      <c r="B23" s="176" t="s">
        <v>259</v>
      </c>
      <c r="C23" s="176"/>
      <c r="D23" s="176"/>
      <c r="E23" s="176"/>
    </row>
  </sheetData>
  <pageMargins left="0.74803149606299213" right="0.74803149606299213" top="0.98425196850393704" bottom="0.98425196850393704" header="0.51181102362204722" footer="0.51181102362204722"/>
  <pageSetup paperSize="9" scale="130" orientation="landscape" r:id="rId1"/>
  <headerFooter alignWithMargins="0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72"/>
  <sheetViews>
    <sheetView showGridLines="0" topLeftCell="A4" zoomScaleNormal="100" workbookViewId="0">
      <selection activeCell="AF13" sqref="AF13"/>
    </sheetView>
  </sheetViews>
  <sheetFormatPr defaultRowHeight="14.5" x14ac:dyDescent="0.35"/>
  <cols>
    <col min="1" max="1" width="9.1796875" style="24"/>
    <col min="2" max="2" width="25.81640625" style="24" customWidth="1"/>
    <col min="3" max="3" width="26.453125" style="24" hidden="1" customWidth="1"/>
    <col min="4" max="4" width="27" style="24" hidden="1" customWidth="1"/>
    <col min="5" max="5" width="23.54296875" style="24" hidden="1" customWidth="1"/>
    <col min="6" max="6" width="18.81640625" style="24" hidden="1" customWidth="1"/>
    <col min="7" max="7" width="0.1796875" style="24" hidden="1" customWidth="1"/>
    <col min="8" max="8" width="19.81640625" style="24" hidden="1" customWidth="1"/>
    <col min="9" max="9" width="18.1796875" style="24" hidden="1" customWidth="1"/>
    <col min="10" max="10" width="24.54296875" style="24" hidden="1" customWidth="1"/>
    <col min="11" max="11" width="17.54296875" style="24" hidden="1" customWidth="1"/>
    <col min="12" max="12" width="26.81640625" style="24" hidden="1" customWidth="1"/>
    <col min="13" max="13" width="29" style="24" hidden="1" customWidth="1"/>
    <col min="14" max="14" width="28.453125" style="24" hidden="1" customWidth="1"/>
    <col min="15" max="15" width="31.1796875" style="24" customWidth="1"/>
    <col min="16" max="16" width="17.54296875" style="24" bestFit="1" customWidth="1"/>
    <col min="17" max="17" width="0.54296875" style="24" hidden="1" customWidth="1"/>
    <col min="18" max="18" width="46.81640625" style="24" hidden="1" customWidth="1"/>
    <col min="19" max="19" width="24.1796875" style="24" hidden="1" customWidth="1"/>
    <col min="20" max="20" width="40" style="24" hidden="1" customWidth="1"/>
    <col min="21" max="21" width="37.54296875" style="24" hidden="1" customWidth="1"/>
    <col min="22" max="22" width="33.453125" style="24" hidden="1" customWidth="1"/>
    <col min="23" max="23" width="39.453125" style="24" hidden="1" customWidth="1"/>
    <col min="24" max="24" width="30.1796875" style="24" hidden="1" customWidth="1"/>
    <col min="25" max="25" width="0.81640625" style="24" hidden="1" customWidth="1"/>
    <col min="26" max="26" width="23.453125" style="24" customWidth="1"/>
    <col min="27" max="27" width="30.1796875" style="24" customWidth="1"/>
    <col min="28" max="28" width="28.6328125" style="24" customWidth="1"/>
    <col min="29" max="29" width="17.7265625" style="24" bestFit="1" customWidth="1"/>
    <col min="30" max="249" width="8.7265625" style="24"/>
    <col min="250" max="250" width="25.81640625" style="24" customWidth="1"/>
    <col min="251" max="262" width="0" style="24" hidden="1" customWidth="1"/>
    <col min="263" max="263" width="26.54296875" style="24" customWidth="1"/>
    <col min="264" max="264" width="40.54296875" style="24" customWidth="1"/>
    <col min="265" max="273" width="0" style="24" hidden="1" customWidth="1"/>
    <col min="274" max="275" width="23.54296875" style="24" bestFit="1" customWidth="1"/>
    <col min="276" max="276" width="23.54296875" style="24" customWidth="1"/>
    <col min="277" max="277" width="46.453125" style="24" bestFit="1" customWidth="1"/>
    <col min="278" max="505" width="8.7265625" style="24"/>
    <col min="506" max="506" width="25.81640625" style="24" customWidth="1"/>
    <col min="507" max="518" width="0" style="24" hidden="1" customWidth="1"/>
    <col min="519" max="519" width="26.54296875" style="24" customWidth="1"/>
    <col min="520" max="520" width="40.54296875" style="24" customWidth="1"/>
    <col min="521" max="529" width="0" style="24" hidden="1" customWidth="1"/>
    <col min="530" max="531" width="23.54296875" style="24" bestFit="1" customWidth="1"/>
    <col min="532" max="532" width="23.54296875" style="24" customWidth="1"/>
    <col min="533" max="533" width="46.453125" style="24" bestFit="1" customWidth="1"/>
    <col min="534" max="761" width="8.7265625" style="24"/>
    <col min="762" max="762" width="25.81640625" style="24" customWidth="1"/>
    <col min="763" max="774" width="0" style="24" hidden="1" customWidth="1"/>
    <col min="775" max="775" width="26.54296875" style="24" customWidth="1"/>
    <col min="776" max="776" width="40.54296875" style="24" customWidth="1"/>
    <col min="777" max="785" width="0" style="24" hidden="1" customWidth="1"/>
    <col min="786" max="787" width="23.54296875" style="24" bestFit="1" customWidth="1"/>
    <col min="788" max="788" width="23.54296875" style="24" customWidth="1"/>
    <col min="789" max="789" width="46.453125" style="24" bestFit="1" customWidth="1"/>
    <col min="790" max="1017" width="8.7265625" style="24"/>
    <col min="1018" max="1018" width="25.81640625" style="24" customWidth="1"/>
    <col min="1019" max="1030" width="0" style="24" hidden="1" customWidth="1"/>
    <col min="1031" max="1031" width="26.54296875" style="24" customWidth="1"/>
    <col min="1032" max="1032" width="40.54296875" style="24" customWidth="1"/>
    <col min="1033" max="1041" width="0" style="24" hidden="1" customWidth="1"/>
    <col min="1042" max="1043" width="23.54296875" style="24" bestFit="1" customWidth="1"/>
    <col min="1044" max="1044" width="23.54296875" style="24" customWidth="1"/>
    <col min="1045" max="1045" width="46.453125" style="24" bestFit="1" customWidth="1"/>
    <col min="1046" max="1273" width="8.7265625" style="24"/>
    <col min="1274" max="1274" width="25.81640625" style="24" customWidth="1"/>
    <col min="1275" max="1286" width="0" style="24" hidden="1" customWidth="1"/>
    <col min="1287" max="1287" width="26.54296875" style="24" customWidth="1"/>
    <col min="1288" max="1288" width="40.54296875" style="24" customWidth="1"/>
    <col min="1289" max="1297" width="0" style="24" hidden="1" customWidth="1"/>
    <col min="1298" max="1299" width="23.54296875" style="24" bestFit="1" customWidth="1"/>
    <col min="1300" max="1300" width="23.54296875" style="24" customWidth="1"/>
    <col min="1301" max="1301" width="46.453125" style="24" bestFit="1" customWidth="1"/>
    <col min="1302" max="1529" width="8.7265625" style="24"/>
    <col min="1530" max="1530" width="25.81640625" style="24" customWidth="1"/>
    <col min="1531" max="1542" width="0" style="24" hidden="1" customWidth="1"/>
    <col min="1543" max="1543" width="26.54296875" style="24" customWidth="1"/>
    <col min="1544" max="1544" width="40.54296875" style="24" customWidth="1"/>
    <col min="1545" max="1553" width="0" style="24" hidden="1" customWidth="1"/>
    <col min="1554" max="1555" width="23.54296875" style="24" bestFit="1" customWidth="1"/>
    <col min="1556" max="1556" width="23.54296875" style="24" customWidth="1"/>
    <col min="1557" max="1557" width="46.453125" style="24" bestFit="1" customWidth="1"/>
    <col min="1558" max="1785" width="8.7265625" style="24"/>
    <col min="1786" max="1786" width="25.81640625" style="24" customWidth="1"/>
    <col min="1787" max="1798" width="0" style="24" hidden="1" customWidth="1"/>
    <col min="1799" max="1799" width="26.54296875" style="24" customWidth="1"/>
    <col min="1800" max="1800" width="40.54296875" style="24" customWidth="1"/>
    <col min="1801" max="1809" width="0" style="24" hidden="1" customWidth="1"/>
    <col min="1810" max="1811" width="23.54296875" style="24" bestFit="1" customWidth="1"/>
    <col min="1812" max="1812" width="23.54296875" style="24" customWidth="1"/>
    <col min="1813" max="1813" width="46.453125" style="24" bestFit="1" customWidth="1"/>
    <col min="1814" max="2041" width="8.7265625" style="24"/>
    <col min="2042" max="2042" width="25.81640625" style="24" customWidth="1"/>
    <col min="2043" max="2054" width="0" style="24" hidden="1" customWidth="1"/>
    <col min="2055" max="2055" width="26.54296875" style="24" customWidth="1"/>
    <col min="2056" max="2056" width="40.54296875" style="24" customWidth="1"/>
    <col min="2057" max="2065" width="0" style="24" hidden="1" customWidth="1"/>
    <col min="2066" max="2067" width="23.54296875" style="24" bestFit="1" customWidth="1"/>
    <col min="2068" max="2068" width="23.54296875" style="24" customWidth="1"/>
    <col min="2069" max="2069" width="46.453125" style="24" bestFit="1" customWidth="1"/>
    <col min="2070" max="2297" width="8.7265625" style="24"/>
    <col min="2298" max="2298" width="25.81640625" style="24" customWidth="1"/>
    <col min="2299" max="2310" width="0" style="24" hidden="1" customWidth="1"/>
    <col min="2311" max="2311" width="26.54296875" style="24" customWidth="1"/>
    <col min="2312" max="2312" width="40.54296875" style="24" customWidth="1"/>
    <col min="2313" max="2321" width="0" style="24" hidden="1" customWidth="1"/>
    <col min="2322" max="2323" width="23.54296875" style="24" bestFit="1" customWidth="1"/>
    <col min="2324" max="2324" width="23.54296875" style="24" customWidth="1"/>
    <col min="2325" max="2325" width="46.453125" style="24" bestFit="1" customWidth="1"/>
    <col min="2326" max="2553" width="8.7265625" style="24"/>
    <col min="2554" max="2554" width="25.81640625" style="24" customWidth="1"/>
    <col min="2555" max="2566" width="0" style="24" hidden="1" customWidth="1"/>
    <col min="2567" max="2567" width="26.54296875" style="24" customWidth="1"/>
    <col min="2568" max="2568" width="40.54296875" style="24" customWidth="1"/>
    <col min="2569" max="2577" width="0" style="24" hidden="1" customWidth="1"/>
    <col min="2578" max="2579" width="23.54296875" style="24" bestFit="1" customWidth="1"/>
    <col min="2580" max="2580" width="23.54296875" style="24" customWidth="1"/>
    <col min="2581" max="2581" width="46.453125" style="24" bestFit="1" customWidth="1"/>
    <col min="2582" max="2809" width="8.7265625" style="24"/>
    <col min="2810" max="2810" width="25.81640625" style="24" customWidth="1"/>
    <col min="2811" max="2822" width="0" style="24" hidden="1" customWidth="1"/>
    <col min="2823" max="2823" width="26.54296875" style="24" customWidth="1"/>
    <col min="2824" max="2824" width="40.54296875" style="24" customWidth="1"/>
    <col min="2825" max="2833" width="0" style="24" hidden="1" customWidth="1"/>
    <col min="2834" max="2835" width="23.54296875" style="24" bestFit="1" customWidth="1"/>
    <col min="2836" max="2836" width="23.54296875" style="24" customWidth="1"/>
    <col min="2837" max="2837" width="46.453125" style="24" bestFit="1" customWidth="1"/>
    <col min="2838" max="3065" width="8.7265625" style="24"/>
    <col min="3066" max="3066" width="25.81640625" style="24" customWidth="1"/>
    <col min="3067" max="3078" width="0" style="24" hidden="1" customWidth="1"/>
    <col min="3079" max="3079" width="26.54296875" style="24" customWidth="1"/>
    <col min="3080" max="3080" width="40.54296875" style="24" customWidth="1"/>
    <col min="3081" max="3089" width="0" style="24" hidden="1" customWidth="1"/>
    <col min="3090" max="3091" width="23.54296875" style="24" bestFit="1" customWidth="1"/>
    <col min="3092" max="3092" width="23.54296875" style="24" customWidth="1"/>
    <col min="3093" max="3093" width="46.453125" style="24" bestFit="1" customWidth="1"/>
    <col min="3094" max="3321" width="8.7265625" style="24"/>
    <col min="3322" max="3322" width="25.81640625" style="24" customWidth="1"/>
    <col min="3323" max="3334" width="0" style="24" hidden="1" customWidth="1"/>
    <col min="3335" max="3335" width="26.54296875" style="24" customWidth="1"/>
    <col min="3336" max="3336" width="40.54296875" style="24" customWidth="1"/>
    <col min="3337" max="3345" width="0" style="24" hidden="1" customWidth="1"/>
    <col min="3346" max="3347" width="23.54296875" style="24" bestFit="1" customWidth="1"/>
    <col min="3348" max="3348" width="23.54296875" style="24" customWidth="1"/>
    <col min="3349" max="3349" width="46.453125" style="24" bestFit="1" customWidth="1"/>
    <col min="3350" max="3577" width="8.7265625" style="24"/>
    <col min="3578" max="3578" width="25.81640625" style="24" customWidth="1"/>
    <col min="3579" max="3590" width="0" style="24" hidden="1" customWidth="1"/>
    <col min="3591" max="3591" width="26.54296875" style="24" customWidth="1"/>
    <col min="3592" max="3592" width="40.54296875" style="24" customWidth="1"/>
    <col min="3593" max="3601" width="0" style="24" hidden="1" customWidth="1"/>
    <col min="3602" max="3603" width="23.54296875" style="24" bestFit="1" customWidth="1"/>
    <col min="3604" max="3604" width="23.54296875" style="24" customWidth="1"/>
    <col min="3605" max="3605" width="46.453125" style="24" bestFit="1" customWidth="1"/>
    <col min="3606" max="3833" width="8.7265625" style="24"/>
    <col min="3834" max="3834" width="25.81640625" style="24" customWidth="1"/>
    <col min="3835" max="3846" width="0" style="24" hidden="1" customWidth="1"/>
    <col min="3847" max="3847" width="26.54296875" style="24" customWidth="1"/>
    <col min="3848" max="3848" width="40.54296875" style="24" customWidth="1"/>
    <col min="3849" max="3857" width="0" style="24" hidden="1" customWidth="1"/>
    <col min="3858" max="3859" width="23.54296875" style="24" bestFit="1" customWidth="1"/>
    <col min="3860" max="3860" width="23.54296875" style="24" customWidth="1"/>
    <col min="3861" max="3861" width="46.453125" style="24" bestFit="1" customWidth="1"/>
    <col min="3862" max="4089" width="8.7265625" style="24"/>
    <col min="4090" max="4090" width="25.81640625" style="24" customWidth="1"/>
    <col min="4091" max="4102" width="0" style="24" hidden="1" customWidth="1"/>
    <col min="4103" max="4103" width="26.54296875" style="24" customWidth="1"/>
    <col min="4104" max="4104" width="40.54296875" style="24" customWidth="1"/>
    <col min="4105" max="4113" width="0" style="24" hidden="1" customWidth="1"/>
    <col min="4114" max="4115" width="23.54296875" style="24" bestFit="1" customWidth="1"/>
    <col min="4116" max="4116" width="23.54296875" style="24" customWidth="1"/>
    <col min="4117" max="4117" width="46.453125" style="24" bestFit="1" customWidth="1"/>
    <col min="4118" max="4345" width="8.7265625" style="24"/>
    <col min="4346" max="4346" width="25.81640625" style="24" customWidth="1"/>
    <col min="4347" max="4358" width="0" style="24" hidden="1" customWidth="1"/>
    <col min="4359" max="4359" width="26.54296875" style="24" customWidth="1"/>
    <col min="4360" max="4360" width="40.54296875" style="24" customWidth="1"/>
    <col min="4361" max="4369" width="0" style="24" hidden="1" customWidth="1"/>
    <col min="4370" max="4371" width="23.54296875" style="24" bestFit="1" customWidth="1"/>
    <col min="4372" max="4372" width="23.54296875" style="24" customWidth="1"/>
    <col min="4373" max="4373" width="46.453125" style="24" bestFit="1" customWidth="1"/>
    <col min="4374" max="4601" width="8.7265625" style="24"/>
    <col min="4602" max="4602" width="25.81640625" style="24" customWidth="1"/>
    <col min="4603" max="4614" width="0" style="24" hidden="1" customWidth="1"/>
    <col min="4615" max="4615" width="26.54296875" style="24" customWidth="1"/>
    <col min="4616" max="4616" width="40.54296875" style="24" customWidth="1"/>
    <col min="4617" max="4625" width="0" style="24" hidden="1" customWidth="1"/>
    <col min="4626" max="4627" width="23.54296875" style="24" bestFit="1" customWidth="1"/>
    <col min="4628" max="4628" width="23.54296875" style="24" customWidth="1"/>
    <col min="4629" max="4629" width="46.453125" style="24" bestFit="1" customWidth="1"/>
    <col min="4630" max="4857" width="8.7265625" style="24"/>
    <col min="4858" max="4858" width="25.81640625" style="24" customWidth="1"/>
    <col min="4859" max="4870" width="0" style="24" hidden="1" customWidth="1"/>
    <col min="4871" max="4871" width="26.54296875" style="24" customWidth="1"/>
    <col min="4872" max="4872" width="40.54296875" style="24" customWidth="1"/>
    <col min="4873" max="4881" width="0" style="24" hidden="1" customWidth="1"/>
    <col min="4882" max="4883" width="23.54296875" style="24" bestFit="1" customWidth="1"/>
    <col min="4884" max="4884" width="23.54296875" style="24" customWidth="1"/>
    <col min="4885" max="4885" width="46.453125" style="24" bestFit="1" customWidth="1"/>
    <col min="4886" max="5113" width="8.7265625" style="24"/>
    <col min="5114" max="5114" width="25.81640625" style="24" customWidth="1"/>
    <col min="5115" max="5126" width="0" style="24" hidden="1" customWidth="1"/>
    <col min="5127" max="5127" width="26.54296875" style="24" customWidth="1"/>
    <col min="5128" max="5128" width="40.54296875" style="24" customWidth="1"/>
    <col min="5129" max="5137" width="0" style="24" hidden="1" customWidth="1"/>
    <col min="5138" max="5139" width="23.54296875" style="24" bestFit="1" customWidth="1"/>
    <col min="5140" max="5140" width="23.54296875" style="24" customWidth="1"/>
    <col min="5141" max="5141" width="46.453125" style="24" bestFit="1" customWidth="1"/>
    <col min="5142" max="5369" width="8.7265625" style="24"/>
    <col min="5370" max="5370" width="25.81640625" style="24" customWidth="1"/>
    <col min="5371" max="5382" width="0" style="24" hidden="1" customWidth="1"/>
    <col min="5383" max="5383" width="26.54296875" style="24" customWidth="1"/>
    <col min="5384" max="5384" width="40.54296875" style="24" customWidth="1"/>
    <col min="5385" max="5393" width="0" style="24" hidden="1" customWidth="1"/>
    <col min="5394" max="5395" width="23.54296875" style="24" bestFit="1" customWidth="1"/>
    <col min="5396" max="5396" width="23.54296875" style="24" customWidth="1"/>
    <col min="5397" max="5397" width="46.453125" style="24" bestFit="1" customWidth="1"/>
    <col min="5398" max="5625" width="8.7265625" style="24"/>
    <col min="5626" max="5626" width="25.81640625" style="24" customWidth="1"/>
    <col min="5627" max="5638" width="0" style="24" hidden="1" customWidth="1"/>
    <col min="5639" max="5639" width="26.54296875" style="24" customWidth="1"/>
    <col min="5640" max="5640" width="40.54296875" style="24" customWidth="1"/>
    <col min="5641" max="5649" width="0" style="24" hidden="1" customWidth="1"/>
    <col min="5650" max="5651" width="23.54296875" style="24" bestFit="1" customWidth="1"/>
    <col min="5652" max="5652" width="23.54296875" style="24" customWidth="1"/>
    <col min="5653" max="5653" width="46.453125" style="24" bestFit="1" customWidth="1"/>
    <col min="5654" max="5881" width="8.7265625" style="24"/>
    <col min="5882" max="5882" width="25.81640625" style="24" customWidth="1"/>
    <col min="5883" max="5894" width="0" style="24" hidden="1" customWidth="1"/>
    <col min="5895" max="5895" width="26.54296875" style="24" customWidth="1"/>
    <col min="5896" max="5896" width="40.54296875" style="24" customWidth="1"/>
    <col min="5897" max="5905" width="0" style="24" hidden="1" customWidth="1"/>
    <col min="5906" max="5907" width="23.54296875" style="24" bestFit="1" customWidth="1"/>
    <col min="5908" max="5908" width="23.54296875" style="24" customWidth="1"/>
    <col min="5909" max="5909" width="46.453125" style="24" bestFit="1" customWidth="1"/>
    <col min="5910" max="6137" width="8.7265625" style="24"/>
    <col min="6138" max="6138" width="25.81640625" style="24" customWidth="1"/>
    <col min="6139" max="6150" width="0" style="24" hidden="1" customWidth="1"/>
    <col min="6151" max="6151" width="26.54296875" style="24" customWidth="1"/>
    <col min="6152" max="6152" width="40.54296875" style="24" customWidth="1"/>
    <col min="6153" max="6161" width="0" style="24" hidden="1" customWidth="1"/>
    <col min="6162" max="6163" width="23.54296875" style="24" bestFit="1" customWidth="1"/>
    <col min="6164" max="6164" width="23.54296875" style="24" customWidth="1"/>
    <col min="6165" max="6165" width="46.453125" style="24" bestFit="1" customWidth="1"/>
    <col min="6166" max="6393" width="8.7265625" style="24"/>
    <col min="6394" max="6394" width="25.81640625" style="24" customWidth="1"/>
    <col min="6395" max="6406" width="0" style="24" hidden="1" customWidth="1"/>
    <col min="6407" max="6407" width="26.54296875" style="24" customWidth="1"/>
    <col min="6408" max="6408" width="40.54296875" style="24" customWidth="1"/>
    <col min="6409" max="6417" width="0" style="24" hidden="1" customWidth="1"/>
    <col min="6418" max="6419" width="23.54296875" style="24" bestFit="1" customWidth="1"/>
    <col min="6420" max="6420" width="23.54296875" style="24" customWidth="1"/>
    <col min="6421" max="6421" width="46.453125" style="24" bestFit="1" customWidth="1"/>
    <col min="6422" max="6649" width="8.7265625" style="24"/>
    <col min="6650" max="6650" width="25.81640625" style="24" customWidth="1"/>
    <col min="6651" max="6662" width="0" style="24" hidden="1" customWidth="1"/>
    <col min="6663" max="6663" width="26.54296875" style="24" customWidth="1"/>
    <col min="6664" max="6664" width="40.54296875" style="24" customWidth="1"/>
    <col min="6665" max="6673" width="0" style="24" hidden="1" customWidth="1"/>
    <col min="6674" max="6675" width="23.54296875" style="24" bestFit="1" customWidth="1"/>
    <col min="6676" max="6676" width="23.54296875" style="24" customWidth="1"/>
    <col min="6677" max="6677" width="46.453125" style="24" bestFit="1" customWidth="1"/>
    <col min="6678" max="6905" width="8.7265625" style="24"/>
    <col min="6906" max="6906" width="25.81640625" style="24" customWidth="1"/>
    <col min="6907" max="6918" width="0" style="24" hidden="1" customWidth="1"/>
    <col min="6919" max="6919" width="26.54296875" style="24" customWidth="1"/>
    <col min="6920" max="6920" width="40.54296875" style="24" customWidth="1"/>
    <col min="6921" max="6929" width="0" style="24" hidden="1" customWidth="1"/>
    <col min="6930" max="6931" width="23.54296875" style="24" bestFit="1" customWidth="1"/>
    <col min="6932" max="6932" width="23.54296875" style="24" customWidth="1"/>
    <col min="6933" max="6933" width="46.453125" style="24" bestFit="1" customWidth="1"/>
    <col min="6934" max="7161" width="8.7265625" style="24"/>
    <col min="7162" max="7162" width="25.81640625" style="24" customWidth="1"/>
    <col min="7163" max="7174" width="0" style="24" hidden="1" customWidth="1"/>
    <col min="7175" max="7175" width="26.54296875" style="24" customWidth="1"/>
    <col min="7176" max="7176" width="40.54296875" style="24" customWidth="1"/>
    <col min="7177" max="7185" width="0" style="24" hidden="1" customWidth="1"/>
    <col min="7186" max="7187" width="23.54296875" style="24" bestFit="1" customWidth="1"/>
    <col min="7188" max="7188" width="23.54296875" style="24" customWidth="1"/>
    <col min="7189" max="7189" width="46.453125" style="24" bestFit="1" customWidth="1"/>
    <col min="7190" max="7417" width="8.7265625" style="24"/>
    <col min="7418" max="7418" width="25.81640625" style="24" customWidth="1"/>
    <col min="7419" max="7430" width="0" style="24" hidden="1" customWidth="1"/>
    <col min="7431" max="7431" width="26.54296875" style="24" customWidth="1"/>
    <col min="7432" max="7432" width="40.54296875" style="24" customWidth="1"/>
    <col min="7433" max="7441" width="0" style="24" hidden="1" customWidth="1"/>
    <col min="7442" max="7443" width="23.54296875" style="24" bestFit="1" customWidth="1"/>
    <col min="7444" max="7444" width="23.54296875" style="24" customWidth="1"/>
    <col min="7445" max="7445" width="46.453125" style="24" bestFit="1" customWidth="1"/>
    <col min="7446" max="7673" width="8.7265625" style="24"/>
    <col min="7674" max="7674" width="25.81640625" style="24" customWidth="1"/>
    <col min="7675" max="7686" width="0" style="24" hidden="1" customWidth="1"/>
    <col min="7687" max="7687" width="26.54296875" style="24" customWidth="1"/>
    <col min="7688" max="7688" width="40.54296875" style="24" customWidth="1"/>
    <col min="7689" max="7697" width="0" style="24" hidden="1" customWidth="1"/>
    <col min="7698" max="7699" width="23.54296875" style="24" bestFit="1" customWidth="1"/>
    <col min="7700" max="7700" width="23.54296875" style="24" customWidth="1"/>
    <col min="7701" max="7701" width="46.453125" style="24" bestFit="1" customWidth="1"/>
    <col min="7702" max="7929" width="8.7265625" style="24"/>
    <col min="7930" max="7930" width="25.81640625" style="24" customWidth="1"/>
    <col min="7931" max="7942" width="0" style="24" hidden="1" customWidth="1"/>
    <col min="7943" max="7943" width="26.54296875" style="24" customWidth="1"/>
    <col min="7944" max="7944" width="40.54296875" style="24" customWidth="1"/>
    <col min="7945" max="7953" width="0" style="24" hidden="1" customWidth="1"/>
    <col min="7954" max="7955" width="23.54296875" style="24" bestFit="1" customWidth="1"/>
    <col min="7956" max="7956" width="23.54296875" style="24" customWidth="1"/>
    <col min="7957" max="7957" width="46.453125" style="24" bestFit="1" customWidth="1"/>
    <col min="7958" max="8185" width="8.7265625" style="24"/>
    <col min="8186" max="8186" width="25.81640625" style="24" customWidth="1"/>
    <col min="8187" max="8198" width="0" style="24" hidden="1" customWidth="1"/>
    <col min="8199" max="8199" width="26.54296875" style="24" customWidth="1"/>
    <col min="8200" max="8200" width="40.54296875" style="24" customWidth="1"/>
    <col min="8201" max="8209" width="0" style="24" hidden="1" customWidth="1"/>
    <col min="8210" max="8211" width="23.54296875" style="24" bestFit="1" customWidth="1"/>
    <col min="8212" max="8212" width="23.54296875" style="24" customWidth="1"/>
    <col min="8213" max="8213" width="46.453125" style="24" bestFit="1" customWidth="1"/>
    <col min="8214" max="8441" width="8.7265625" style="24"/>
    <col min="8442" max="8442" width="25.81640625" style="24" customWidth="1"/>
    <col min="8443" max="8454" width="0" style="24" hidden="1" customWidth="1"/>
    <col min="8455" max="8455" width="26.54296875" style="24" customWidth="1"/>
    <col min="8456" max="8456" width="40.54296875" style="24" customWidth="1"/>
    <col min="8457" max="8465" width="0" style="24" hidden="1" customWidth="1"/>
    <col min="8466" max="8467" width="23.54296875" style="24" bestFit="1" customWidth="1"/>
    <col min="8468" max="8468" width="23.54296875" style="24" customWidth="1"/>
    <col min="8469" max="8469" width="46.453125" style="24" bestFit="1" customWidth="1"/>
    <col min="8470" max="8697" width="8.7265625" style="24"/>
    <col min="8698" max="8698" width="25.81640625" style="24" customWidth="1"/>
    <col min="8699" max="8710" width="0" style="24" hidden="1" customWidth="1"/>
    <col min="8711" max="8711" width="26.54296875" style="24" customWidth="1"/>
    <col min="8712" max="8712" width="40.54296875" style="24" customWidth="1"/>
    <col min="8713" max="8721" width="0" style="24" hidden="1" customWidth="1"/>
    <col min="8722" max="8723" width="23.54296875" style="24" bestFit="1" customWidth="1"/>
    <col min="8724" max="8724" width="23.54296875" style="24" customWidth="1"/>
    <col min="8725" max="8725" width="46.453125" style="24" bestFit="1" customWidth="1"/>
    <col min="8726" max="8953" width="8.7265625" style="24"/>
    <col min="8954" max="8954" width="25.81640625" style="24" customWidth="1"/>
    <col min="8955" max="8966" width="0" style="24" hidden="1" customWidth="1"/>
    <col min="8967" max="8967" width="26.54296875" style="24" customWidth="1"/>
    <col min="8968" max="8968" width="40.54296875" style="24" customWidth="1"/>
    <col min="8969" max="8977" width="0" style="24" hidden="1" customWidth="1"/>
    <col min="8978" max="8979" width="23.54296875" style="24" bestFit="1" customWidth="1"/>
    <col min="8980" max="8980" width="23.54296875" style="24" customWidth="1"/>
    <col min="8981" max="8981" width="46.453125" style="24" bestFit="1" customWidth="1"/>
    <col min="8982" max="9209" width="8.7265625" style="24"/>
    <col min="9210" max="9210" width="25.81640625" style="24" customWidth="1"/>
    <col min="9211" max="9222" width="0" style="24" hidden="1" customWidth="1"/>
    <col min="9223" max="9223" width="26.54296875" style="24" customWidth="1"/>
    <col min="9224" max="9224" width="40.54296875" style="24" customWidth="1"/>
    <col min="9225" max="9233" width="0" style="24" hidden="1" customWidth="1"/>
    <col min="9234" max="9235" width="23.54296875" style="24" bestFit="1" customWidth="1"/>
    <col min="9236" max="9236" width="23.54296875" style="24" customWidth="1"/>
    <col min="9237" max="9237" width="46.453125" style="24" bestFit="1" customWidth="1"/>
    <col min="9238" max="9465" width="8.7265625" style="24"/>
    <col min="9466" max="9466" width="25.81640625" style="24" customWidth="1"/>
    <col min="9467" max="9478" width="0" style="24" hidden="1" customWidth="1"/>
    <col min="9479" max="9479" width="26.54296875" style="24" customWidth="1"/>
    <col min="9480" max="9480" width="40.54296875" style="24" customWidth="1"/>
    <col min="9481" max="9489" width="0" style="24" hidden="1" customWidth="1"/>
    <col min="9490" max="9491" width="23.54296875" style="24" bestFit="1" customWidth="1"/>
    <col min="9492" max="9492" width="23.54296875" style="24" customWidth="1"/>
    <col min="9493" max="9493" width="46.453125" style="24" bestFit="1" customWidth="1"/>
    <col min="9494" max="9721" width="8.7265625" style="24"/>
    <col min="9722" max="9722" width="25.81640625" style="24" customWidth="1"/>
    <col min="9723" max="9734" width="0" style="24" hidden="1" customWidth="1"/>
    <col min="9735" max="9735" width="26.54296875" style="24" customWidth="1"/>
    <col min="9736" max="9736" width="40.54296875" style="24" customWidth="1"/>
    <col min="9737" max="9745" width="0" style="24" hidden="1" customWidth="1"/>
    <col min="9746" max="9747" width="23.54296875" style="24" bestFit="1" customWidth="1"/>
    <col min="9748" max="9748" width="23.54296875" style="24" customWidth="1"/>
    <col min="9749" max="9749" width="46.453125" style="24" bestFit="1" customWidth="1"/>
    <col min="9750" max="9977" width="8.7265625" style="24"/>
    <col min="9978" max="9978" width="25.81640625" style="24" customWidth="1"/>
    <col min="9979" max="9990" width="0" style="24" hidden="1" customWidth="1"/>
    <col min="9991" max="9991" width="26.54296875" style="24" customWidth="1"/>
    <col min="9992" max="9992" width="40.54296875" style="24" customWidth="1"/>
    <col min="9993" max="10001" width="0" style="24" hidden="1" customWidth="1"/>
    <col min="10002" max="10003" width="23.54296875" style="24" bestFit="1" customWidth="1"/>
    <col min="10004" max="10004" width="23.54296875" style="24" customWidth="1"/>
    <col min="10005" max="10005" width="46.453125" style="24" bestFit="1" customWidth="1"/>
    <col min="10006" max="10233" width="8.7265625" style="24"/>
    <col min="10234" max="10234" width="25.81640625" style="24" customWidth="1"/>
    <col min="10235" max="10246" width="0" style="24" hidden="1" customWidth="1"/>
    <col min="10247" max="10247" width="26.54296875" style="24" customWidth="1"/>
    <col min="10248" max="10248" width="40.54296875" style="24" customWidth="1"/>
    <col min="10249" max="10257" width="0" style="24" hidden="1" customWidth="1"/>
    <col min="10258" max="10259" width="23.54296875" style="24" bestFit="1" customWidth="1"/>
    <col min="10260" max="10260" width="23.54296875" style="24" customWidth="1"/>
    <col min="10261" max="10261" width="46.453125" style="24" bestFit="1" customWidth="1"/>
    <col min="10262" max="10489" width="8.7265625" style="24"/>
    <col min="10490" max="10490" width="25.81640625" style="24" customWidth="1"/>
    <col min="10491" max="10502" width="0" style="24" hidden="1" customWidth="1"/>
    <col min="10503" max="10503" width="26.54296875" style="24" customWidth="1"/>
    <col min="10504" max="10504" width="40.54296875" style="24" customWidth="1"/>
    <col min="10505" max="10513" width="0" style="24" hidden="1" customWidth="1"/>
    <col min="10514" max="10515" width="23.54296875" style="24" bestFit="1" customWidth="1"/>
    <col min="10516" max="10516" width="23.54296875" style="24" customWidth="1"/>
    <col min="10517" max="10517" width="46.453125" style="24" bestFit="1" customWidth="1"/>
    <col min="10518" max="10745" width="8.7265625" style="24"/>
    <col min="10746" max="10746" width="25.81640625" style="24" customWidth="1"/>
    <col min="10747" max="10758" width="0" style="24" hidden="1" customWidth="1"/>
    <col min="10759" max="10759" width="26.54296875" style="24" customWidth="1"/>
    <col min="10760" max="10760" width="40.54296875" style="24" customWidth="1"/>
    <col min="10761" max="10769" width="0" style="24" hidden="1" customWidth="1"/>
    <col min="10770" max="10771" width="23.54296875" style="24" bestFit="1" customWidth="1"/>
    <col min="10772" max="10772" width="23.54296875" style="24" customWidth="1"/>
    <col min="10773" max="10773" width="46.453125" style="24" bestFit="1" customWidth="1"/>
    <col min="10774" max="11001" width="8.7265625" style="24"/>
    <col min="11002" max="11002" width="25.81640625" style="24" customWidth="1"/>
    <col min="11003" max="11014" width="0" style="24" hidden="1" customWidth="1"/>
    <col min="11015" max="11015" width="26.54296875" style="24" customWidth="1"/>
    <col min="11016" max="11016" width="40.54296875" style="24" customWidth="1"/>
    <col min="11017" max="11025" width="0" style="24" hidden="1" customWidth="1"/>
    <col min="11026" max="11027" width="23.54296875" style="24" bestFit="1" customWidth="1"/>
    <col min="11028" max="11028" width="23.54296875" style="24" customWidth="1"/>
    <col min="11029" max="11029" width="46.453125" style="24" bestFit="1" customWidth="1"/>
    <col min="11030" max="11257" width="8.7265625" style="24"/>
    <col min="11258" max="11258" width="25.81640625" style="24" customWidth="1"/>
    <col min="11259" max="11270" width="0" style="24" hidden="1" customWidth="1"/>
    <col min="11271" max="11271" width="26.54296875" style="24" customWidth="1"/>
    <col min="11272" max="11272" width="40.54296875" style="24" customWidth="1"/>
    <col min="11273" max="11281" width="0" style="24" hidden="1" customWidth="1"/>
    <col min="11282" max="11283" width="23.54296875" style="24" bestFit="1" customWidth="1"/>
    <col min="11284" max="11284" width="23.54296875" style="24" customWidth="1"/>
    <col min="11285" max="11285" width="46.453125" style="24" bestFit="1" customWidth="1"/>
    <col min="11286" max="11513" width="8.7265625" style="24"/>
    <col min="11514" max="11514" width="25.81640625" style="24" customWidth="1"/>
    <col min="11515" max="11526" width="0" style="24" hidden="1" customWidth="1"/>
    <col min="11527" max="11527" width="26.54296875" style="24" customWidth="1"/>
    <col min="11528" max="11528" width="40.54296875" style="24" customWidth="1"/>
    <col min="11529" max="11537" width="0" style="24" hidden="1" customWidth="1"/>
    <col min="11538" max="11539" width="23.54296875" style="24" bestFit="1" customWidth="1"/>
    <col min="11540" max="11540" width="23.54296875" style="24" customWidth="1"/>
    <col min="11541" max="11541" width="46.453125" style="24" bestFit="1" customWidth="1"/>
    <col min="11542" max="11769" width="8.7265625" style="24"/>
    <col min="11770" max="11770" width="25.81640625" style="24" customWidth="1"/>
    <col min="11771" max="11782" width="0" style="24" hidden="1" customWidth="1"/>
    <col min="11783" max="11783" width="26.54296875" style="24" customWidth="1"/>
    <col min="11784" max="11784" width="40.54296875" style="24" customWidth="1"/>
    <col min="11785" max="11793" width="0" style="24" hidden="1" customWidth="1"/>
    <col min="11794" max="11795" width="23.54296875" style="24" bestFit="1" customWidth="1"/>
    <col min="11796" max="11796" width="23.54296875" style="24" customWidth="1"/>
    <col min="11797" max="11797" width="46.453125" style="24" bestFit="1" customWidth="1"/>
    <col min="11798" max="12025" width="8.7265625" style="24"/>
    <col min="12026" max="12026" width="25.81640625" style="24" customWidth="1"/>
    <col min="12027" max="12038" width="0" style="24" hidden="1" customWidth="1"/>
    <col min="12039" max="12039" width="26.54296875" style="24" customWidth="1"/>
    <col min="12040" max="12040" width="40.54296875" style="24" customWidth="1"/>
    <col min="12041" max="12049" width="0" style="24" hidden="1" customWidth="1"/>
    <col min="12050" max="12051" width="23.54296875" style="24" bestFit="1" customWidth="1"/>
    <col min="12052" max="12052" width="23.54296875" style="24" customWidth="1"/>
    <col min="12053" max="12053" width="46.453125" style="24" bestFit="1" customWidth="1"/>
    <col min="12054" max="12281" width="8.7265625" style="24"/>
    <col min="12282" max="12282" width="25.81640625" style="24" customWidth="1"/>
    <col min="12283" max="12294" width="0" style="24" hidden="1" customWidth="1"/>
    <col min="12295" max="12295" width="26.54296875" style="24" customWidth="1"/>
    <col min="12296" max="12296" width="40.54296875" style="24" customWidth="1"/>
    <col min="12297" max="12305" width="0" style="24" hidden="1" customWidth="1"/>
    <col min="12306" max="12307" width="23.54296875" style="24" bestFit="1" customWidth="1"/>
    <col min="12308" max="12308" width="23.54296875" style="24" customWidth="1"/>
    <col min="12309" max="12309" width="46.453125" style="24" bestFit="1" customWidth="1"/>
    <col min="12310" max="12537" width="8.7265625" style="24"/>
    <col min="12538" max="12538" width="25.81640625" style="24" customWidth="1"/>
    <col min="12539" max="12550" width="0" style="24" hidden="1" customWidth="1"/>
    <col min="12551" max="12551" width="26.54296875" style="24" customWidth="1"/>
    <col min="12552" max="12552" width="40.54296875" style="24" customWidth="1"/>
    <col min="12553" max="12561" width="0" style="24" hidden="1" customWidth="1"/>
    <col min="12562" max="12563" width="23.54296875" style="24" bestFit="1" customWidth="1"/>
    <col min="12564" max="12564" width="23.54296875" style="24" customWidth="1"/>
    <col min="12565" max="12565" width="46.453125" style="24" bestFit="1" customWidth="1"/>
    <col min="12566" max="12793" width="8.7265625" style="24"/>
    <col min="12794" max="12794" width="25.81640625" style="24" customWidth="1"/>
    <col min="12795" max="12806" width="0" style="24" hidden="1" customWidth="1"/>
    <col min="12807" max="12807" width="26.54296875" style="24" customWidth="1"/>
    <col min="12808" max="12808" width="40.54296875" style="24" customWidth="1"/>
    <col min="12809" max="12817" width="0" style="24" hidden="1" customWidth="1"/>
    <col min="12818" max="12819" width="23.54296875" style="24" bestFit="1" customWidth="1"/>
    <col min="12820" max="12820" width="23.54296875" style="24" customWidth="1"/>
    <col min="12821" max="12821" width="46.453125" style="24" bestFit="1" customWidth="1"/>
    <col min="12822" max="13049" width="8.7265625" style="24"/>
    <col min="13050" max="13050" width="25.81640625" style="24" customWidth="1"/>
    <col min="13051" max="13062" width="0" style="24" hidden="1" customWidth="1"/>
    <col min="13063" max="13063" width="26.54296875" style="24" customWidth="1"/>
    <col min="13064" max="13064" width="40.54296875" style="24" customWidth="1"/>
    <col min="13065" max="13073" width="0" style="24" hidden="1" customWidth="1"/>
    <col min="13074" max="13075" width="23.54296875" style="24" bestFit="1" customWidth="1"/>
    <col min="13076" max="13076" width="23.54296875" style="24" customWidth="1"/>
    <col min="13077" max="13077" width="46.453125" style="24" bestFit="1" customWidth="1"/>
    <col min="13078" max="13305" width="8.7265625" style="24"/>
    <col min="13306" max="13306" width="25.81640625" style="24" customWidth="1"/>
    <col min="13307" max="13318" width="0" style="24" hidden="1" customWidth="1"/>
    <col min="13319" max="13319" width="26.54296875" style="24" customWidth="1"/>
    <col min="13320" max="13320" width="40.54296875" style="24" customWidth="1"/>
    <col min="13321" max="13329" width="0" style="24" hidden="1" customWidth="1"/>
    <col min="13330" max="13331" width="23.54296875" style="24" bestFit="1" customWidth="1"/>
    <col min="13332" max="13332" width="23.54296875" style="24" customWidth="1"/>
    <col min="13333" max="13333" width="46.453125" style="24" bestFit="1" customWidth="1"/>
    <col min="13334" max="13561" width="8.7265625" style="24"/>
    <col min="13562" max="13562" width="25.81640625" style="24" customWidth="1"/>
    <col min="13563" max="13574" width="0" style="24" hidden="1" customWidth="1"/>
    <col min="13575" max="13575" width="26.54296875" style="24" customWidth="1"/>
    <col min="13576" max="13576" width="40.54296875" style="24" customWidth="1"/>
    <col min="13577" max="13585" width="0" style="24" hidden="1" customWidth="1"/>
    <col min="13586" max="13587" width="23.54296875" style="24" bestFit="1" customWidth="1"/>
    <col min="13588" max="13588" width="23.54296875" style="24" customWidth="1"/>
    <col min="13589" max="13589" width="46.453125" style="24" bestFit="1" customWidth="1"/>
    <col min="13590" max="13817" width="8.7265625" style="24"/>
    <col min="13818" max="13818" width="25.81640625" style="24" customWidth="1"/>
    <col min="13819" max="13830" width="0" style="24" hidden="1" customWidth="1"/>
    <col min="13831" max="13831" width="26.54296875" style="24" customWidth="1"/>
    <col min="13832" max="13832" width="40.54296875" style="24" customWidth="1"/>
    <col min="13833" max="13841" width="0" style="24" hidden="1" customWidth="1"/>
    <col min="13842" max="13843" width="23.54296875" style="24" bestFit="1" customWidth="1"/>
    <col min="13844" max="13844" width="23.54296875" style="24" customWidth="1"/>
    <col min="13845" max="13845" width="46.453125" style="24" bestFit="1" customWidth="1"/>
    <col min="13846" max="14073" width="8.7265625" style="24"/>
    <col min="14074" max="14074" width="25.81640625" style="24" customWidth="1"/>
    <col min="14075" max="14086" width="0" style="24" hidden="1" customWidth="1"/>
    <col min="14087" max="14087" width="26.54296875" style="24" customWidth="1"/>
    <col min="14088" max="14088" width="40.54296875" style="24" customWidth="1"/>
    <col min="14089" max="14097" width="0" style="24" hidden="1" customWidth="1"/>
    <col min="14098" max="14099" width="23.54296875" style="24" bestFit="1" customWidth="1"/>
    <col min="14100" max="14100" width="23.54296875" style="24" customWidth="1"/>
    <col min="14101" max="14101" width="46.453125" style="24" bestFit="1" customWidth="1"/>
    <col min="14102" max="14329" width="8.7265625" style="24"/>
    <col min="14330" max="14330" width="25.81640625" style="24" customWidth="1"/>
    <col min="14331" max="14342" width="0" style="24" hidden="1" customWidth="1"/>
    <col min="14343" max="14343" width="26.54296875" style="24" customWidth="1"/>
    <col min="14344" max="14344" width="40.54296875" style="24" customWidth="1"/>
    <col min="14345" max="14353" width="0" style="24" hidden="1" customWidth="1"/>
    <col min="14354" max="14355" width="23.54296875" style="24" bestFit="1" customWidth="1"/>
    <col min="14356" max="14356" width="23.54296875" style="24" customWidth="1"/>
    <col min="14357" max="14357" width="46.453125" style="24" bestFit="1" customWidth="1"/>
    <col min="14358" max="14585" width="8.7265625" style="24"/>
    <col min="14586" max="14586" width="25.81640625" style="24" customWidth="1"/>
    <col min="14587" max="14598" width="0" style="24" hidden="1" customWidth="1"/>
    <col min="14599" max="14599" width="26.54296875" style="24" customWidth="1"/>
    <col min="14600" max="14600" width="40.54296875" style="24" customWidth="1"/>
    <col min="14601" max="14609" width="0" style="24" hidden="1" customWidth="1"/>
    <col min="14610" max="14611" width="23.54296875" style="24" bestFit="1" customWidth="1"/>
    <col min="14612" max="14612" width="23.54296875" style="24" customWidth="1"/>
    <col min="14613" max="14613" width="46.453125" style="24" bestFit="1" customWidth="1"/>
    <col min="14614" max="14841" width="8.7265625" style="24"/>
    <col min="14842" max="14842" width="25.81640625" style="24" customWidth="1"/>
    <col min="14843" max="14854" width="0" style="24" hidden="1" customWidth="1"/>
    <col min="14855" max="14855" width="26.54296875" style="24" customWidth="1"/>
    <col min="14856" max="14856" width="40.54296875" style="24" customWidth="1"/>
    <col min="14857" max="14865" width="0" style="24" hidden="1" customWidth="1"/>
    <col min="14866" max="14867" width="23.54296875" style="24" bestFit="1" customWidth="1"/>
    <col min="14868" max="14868" width="23.54296875" style="24" customWidth="1"/>
    <col min="14869" max="14869" width="46.453125" style="24" bestFit="1" customWidth="1"/>
    <col min="14870" max="15097" width="8.7265625" style="24"/>
    <col min="15098" max="15098" width="25.81640625" style="24" customWidth="1"/>
    <col min="15099" max="15110" width="0" style="24" hidden="1" customWidth="1"/>
    <col min="15111" max="15111" width="26.54296875" style="24" customWidth="1"/>
    <col min="15112" max="15112" width="40.54296875" style="24" customWidth="1"/>
    <col min="15113" max="15121" width="0" style="24" hidden="1" customWidth="1"/>
    <col min="15122" max="15123" width="23.54296875" style="24" bestFit="1" customWidth="1"/>
    <col min="15124" max="15124" width="23.54296875" style="24" customWidth="1"/>
    <col min="15125" max="15125" width="46.453125" style="24" bestFit="1" customWidth="1"/>
    <col min="15126" max="15353" width="8.7265625" style="24"/>
    <col min="15354" max="15354" width="25.81640625" style="24" customWidth="1"/>
    <col min="15355" max="15366" width="0" style="24" hidden="1" customWidth="1"/>
    <col min="15367" max="15367" width="26.54296875" style="24" customWidth="1"/>
    <col min="15368" max="15368" width="40.54296875" style="24" customWidth="1"/>
    <col min="15369" max="15377" width="0" style="24" hidden="1" customWidth="1"/>
    <col min="15378" max="15379" width="23.54296875" style="24" bestFit="1" customWidth="1"/>
    <col min="15380" max="15380" width="23.54296875" style="24" customWidth="1"/>
    <col min="15381" max="15381" width="46.453125" style="24" bestFit="1" customWidth="1"/>
    <col min="15382" max="15609" width="8.7265625" style="24"/>
    <col min="15610" max="15610" width="25.81640625" style="24" customWidth="1"/>
    <col min="15611" max="15622" width="0" style="24" hidden="1" customWidth="1"/>
    <col min="15623" max="15623" width="26.54296875" style="24" customWidth="1"/>
    <col min="15624" max="15624" width="40.54296875" style="24" customWidth="1"/>
    <col min="15625" max="15633" width="0" style="24" hidden="1" customWidth="1"/>
    <col min="15634" max="15635" width="23.54296875" style="24" bestFit="1" customWidth="1"/>
    <col min="15636" max="15636" width="23.54296875" style="24" customWidth="1"/>
    <col min="15637" max="15637" width="46.453125" style="24" bestFit="1" customWidth="1"/>
    <col min="15638" max="15865" width="8.7265625" style="24"/>
    <col min="15866" max="15866" width="25.81640625" style="24" customWidth="1"/>
    <col min="15867" max="15878" width="0" style="24" hidden="1" customWidth="1"/>
    <col min="15879" max="15879" width="26.54296875" style="24" customWidth="1"/>
    <col min="15880" max="15880" width="40.54296875" style="24" customWidth="1"/>
    <col min="15881" max="15889" width="0" style="24" hidden="1" customWidth="1"/>
    <col min="15890" max="15891" width="23.54296875" style="24" bestFit="1" customWidth="1"/>
    <col min="15892" max="15892" width="23.54296875" style="24" customWidth="1"/>
    <col min="15893" max="15893" width="46.453125" style="24" bestFit="1" customWidth="1"/>
    <col min="15894" max="16121" width="8.7265625" style="24"/>
    <col min="16122" max="16122" width="25.81640625" style="24" customWidth="1"/>
    <col min="16123" max="16134" width="0" style="24" hidden="1" customWidth="1"/>
    <col min="16135" max="16135" width="26.54296875" style="24" customWidth="1"/>
    <col min="16136" max="16136" width="40.54296875" style="24" customWidth="1"/>
    <col min="16137" max="16145" width="0" style="24" hidden="1" customWidth="1"/>
    <col min="16146" max="16147" width="23.54296875" style="24" bestFit="1" customWidth="1"/>
    <col min="16148" max="16148" width="23.54296875" style="24" customWidth="1"/>
    <col min="16149" max="16149" width="46.453125" style="24" bestFit="1" customWidth="1"/>
    <col min="16150" max="16384" width="8.7265625" style="24"/>
  </cols>
  <sheetData>
    <row r="1" spans="1:29" s="33" customFormat="1" ht="25" customHeight="1" x14ac:dyDescent="0.35">
      <c r="B1" s="57"/>
      <c r="D1" s="34"/>
      <c r="H1" s="35"/>
      <c r="I1" s="36"/>
    </row>
    <row r="2" spans="1:29" customFormat="1" ht="25" customHeight="1" x14ac:dyDescent="0.25">
      <c r="B2" s="38" t="s">
        <v>234</v>
      </c>
      <c r="C2" s="39"/>
      <c r="D2" s="39"/>
      <c r="E2" s="39"/>
      <c r="F2" s="39"/>
      <c r="G2" s="39"/>
      <c r="H2" s="40"/>
      <c r="I2" s="40"/>
      <c r="J2" s="40"/>
      <c r="K2" s="33"/>
      <c r="L2" s="40"/>
      <c r="M2" s="40"/>
    </row>
    <row r="3" spans="1:29" customFormat="1" ht="25" customHeight="1" thickBot="1" x14ac:dyDescent="0.3">
      <c r="B3" s="41" t="s">
        <v>284</v>
      </c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  <c r="Z3" s="41"/>
      <c r="AA3" s="41"/>
      <c r="AB3" s="41"/>
    </row>
    <row r="4" spans="1:29" customFormat="1" ht="25" customHeight="1" thickTop="1" x14ac:dyDescent="0.35">
      <c r="B4" s="580" t="s">
        <v>235</v>
      </c>
      <c r="C4" s="580"/>
      <c r="D4" s="580"/>
      <c r="E4" s="580"/>
      <c r="F4" s="580"/>
      <c r="G4" s="580"/>
      <c r="H4" s="580"/>
      <c r="I4" s="580"/>
      <c r="J4" s="580"/>
      <c r="K4" s="580"/>
      <c r="L4" s="580"/>
      <c r="M4" s="580"/>
      <c r="N4" s="580"/>
      <c r="O4" s="580"/>
      <c r="P4" s="580"/>
      <c r="Q4" s="580"/>
      <c r="R4" s="580"/>
      <c r="S4" s="580"/>
      <c r="T4" s="580"/>
      <c r="U4" s="580"/>
      <c r="V4" s="580"/>
      <c r="W4" s="580"/>
      <c r="X4" s="580"/>
      <c r="Y4" s="580"/>
    </row>
    <row r="5" spans="1:29" ht="20.25" customHeight="1" x14ac:dyDescent="0.35">
      <c r="Z5" s="581"/>
      <c r="AA5" s="581"/>
    </row>
    <row r="6" spans="1:29" ht="20.25" customHeight="1" x14ac:dyDescent="0.35">
      <c r="B6" s="566"/>
      <c r="C6" s="566"/>
      <c r="D6" s="566"/>
      <c r="E6" s="566"/>
      <c r="F6" s="566"/>
      <c r="G6" s="566"/>
      <c r="H6" s="566"/>
      <c r="I6" s="566"/>
      <c r="J6" s="566"/>
      <c r="K6" s="566"/>
      <c r="L6" s="566"/>
      <c r="M6" s="566"/>
      <c r="N6" s="566"/>
      <c r="O6" s="566"/>
      <c r="P6" s="566"/>
      <c r="Q6" s="566"/>
      <c r="R6" s="566"/>
      <c r="S6" s="566"/>
      <c r="T6" s="566"/>
      <c r="U6" s="566"/>
      <c r="V6" s="566"/>
      <c r="W6" s="566"/>
      <c r="X6" s="566"/>
      <c r="Y6" s="566"/>
      <c r="Z6" s="566"/>
      <c r="AA6" s="566"/>
    </row>
    <row r="7" spans="1:29" s="560" customFormat="1" ht="40" customHeight="1" x14ac:dyDescent="0.3">
      <c r="A7" s="17"/>
      <c r="B7" s="295" t="s">
        <v>832</v>
      </c>
      <c r="C7" s="295"/>
      <c r="D7" s="295"/>
      <c r="E7" s="295"/>
      <c r="F7" s="295"/>
      <c r="G7" s="295"/>
      <c r="H7" s="295"/>
      <c r="I7" s="295"/>
      <c r="J7" s="562"/>
      <c r="O7" s="559"/>
      <c r="P7" s="559"/>
      <c r="Q7" s="559"/>
      <c r="R7" s="559"/>
      <c r="S7" s="559"/>
      <c r="T7" s="559"/>
      <c r="U7" s="559"/>
      <c r="V7" s="559"/>
      <c r="W7" s="559"/>
      <c r="X7" s="559"/>
      <c r="Y7" s="559"/>
      <c r="Z7" s="559"/>
      <c r="AA7" s="559"/>
    </row>
    <row r="8" spans="1:29" x14ac:dyDescent="0.35">
      <c r="B8" s="393"/>
      <c r="C8" s="394"/>
      <c r="D8" s="394"/>
      <c r="E8" s="394"/>
      <c r="F8" s="394"/>
      <c r="G8" s="394"/>
      <c r="H8" s="394"/>
      <c r="I8" s="394"/>
      <c r="J8" s="394"/>
      <c r="K8" s="395" t="s">
        <v>31</v>
      </c>
      <c r="L8" s="394"/>
      <c r="M8" s="394"/>
      <c r="N8" s="394"/>
      <c r="O8" s="396" t="s">
        <v>465</v>
      </c>
      <c r="P8" s="397" t="s">
        <v>456</v>
      </c>
      <c r="Q8" s="394" t="s">
        <v>39</v>
      </c>
      <c r="R8" s="394" t="s">
        <v>368</v>
      </c>
      <c r="S8" s="394" t="s">
        <v>31</v>
      </c>
      <c r="T8" s="394"/>
      <c r="U8" s="398"/>
      <c r="V8" s="394"/>
      <c r="W8" s="394"/>
      <c r="X8" s="394"/>
      <c r="Y8" s="394"/>
      <c r="Z8" s="397" t="s">
        <v>471</v>
      </c>
      <c r="AA8" s="397" t="s">
        <v>31</v>
      </c>
      <c r="AB8" s="397" t="s">
        <v>488</v>
      </c>
      <c r="AC8" s="397" t="s">
        <v>556</v>
      </c>
    </row>
    <row r="9" spans="1:29" x14ac:dyDescent="0.35">
      <c r="B9" s="399"/>
      <c r="C9" s="400"/>
      <c r="D9" s="400"/>
      <c r="E9" s="400"/>
      <c r="F9" s="400"/>
      <c r="G9" s="400"/>
      <c r="H9" s="400"/>
      <c r="I9" s="400"/>
      <c r="J9" s="400"/>
      <c r="K9" s="401" t="s">
        <v>294</v>
      </c>
      <c r="L9" s="400"/>
      <c r="M9" s="400"/>
      <c r="N9" s="400"/>
      <c r="O9" s="402"/>
      <c r="P9" s="403" t="s">
        <v>557</v>
      </c>
      <c r="Q9" s="400" t="s">
        <v>374</v>
      </c>
      <c r="R9" s="400"/>
      <c r="S9" s="400" t="s">
        <v>289</v>
      </c>
      <c r="T9" s="400"/>
      <c r="U9" s="404"/>
      <c r="V9" s="400"/>
      <c r="W9" s="400"/>
      <c r="X9" s="400"/>
      <c r="Y9" s="400"/>
      <c r="Z9" s="403" t="s">
        <v>472</v>
      </c>
      <c r="AA9" s="403" t="s">
        <v>289</v>
      </c>
      <c r="AB9" s="403"/>
      <c r="AC9" s="403" t="s">
        <v>558</v>
      </c>
    </row>
    <row r="10" spans="1:29" x14ac:dyDescent="0.35">
      <c r="B10" s="357" t="s">
        <v>237</v>
      </c>
      <c r="C10" s="359"/>
      <c r="D10" s="359"/>
      <c r="E10" s="359"/>
      <c r="F10" s="359"/>
      <c r="G10" s="359"/>
      <c r="H10" s="359"/>
      <c r="I10" s="359"/>
      <c r="J10" s="359"/>
      <c r="K10" s="360"/>
      <c r="L10" s="359"/>
      <c r="M10" s="359"/>
      <c r="N10" s="359"/>
      <c r="O10" s="360"/>
      <c r="P10" s="360"/>
      <c r="Q10" s="358"/>
      <c r="R10" s="358"/>
      <c r="S10" s="358"/>
      <c r="T10" s="358"/>
      <c r="U10" s="358"/>
      <c r="V10" s="358"/>
      <c r="W10" s="358"/>
      <c r="X10" s="358"/>
      <c r="Y10" s="358"/>
      <c r="Z10" s="360"/>
      <c r="AA10" s="360"/>
      <c r="AB10" s="360"/>
      <c r="AC10" s="360"/>
    </row>
    <row r="11" spans="1:29" x14ac:dyDescent="0.35">
      <c r="B11" s="357" t="s">
        <v>237</v>
      </c>
      <c r="C11" s="359"/>
      <c r="D11" s="359"/>
      <c r="E11" s="359"/>
      <c r="F11" s="359"/>
      <c r="G11" s="359"/>
      <c r="H11" s="359"/>
      <c r="I11" s="359"/>
      <c r="J11" s="359"/>
      <c r="K11" s="360"/>
      <c r="L11" s="359"/>
      <c r="M11" s="359"/>
      <c r="N11" s="359"/>
      <c r="O11" s="360"/>
      <c r="P11" s="360" t="s">
        <v>559</v>
      </c>
      <c r="Q11" s="358"/>
      <c r="R11" s="358"/>
      <c r="S11" s="358"/>
      <c r="T11" s="358"/>
      <c r="U11" s="358"/>
      <c r="V11" s="358"/>
      <c r="W11" s="358"/>
      <c r="X11" s="358"/>
      <c r="Y11" s="358"/>
      <c r="Z11" s="360"/>
      <c r="AA11" s="360"/>
      <c r="AB11" s="360"/>
      <c r="AC11" s="360" t="s">
        <v>560</v>
      </c>
    </row>
    <row r="12" spans="1:29" x14ac:dyDescent="0.35">
      <c r="B12" s="357" t="s">
        <v>237</v>
      </c>
      <c r="C12" s="359"/>
      <c r="D12" s="359"/>
      <c r="E12" s="359"/>
      <c r="F12" s="359"/>
      <c r="G12" s="359"/>
      <c r="H12" s="359"/>
      <c r="I12" s="359"/>
      <c r="J12" s="359"/>
      <c r="K12" s="360"/>
      <c r="L12" s="359"/>
      <c r="M12" s="359"/>
      <c r="N12" s="359"/>
      <c r="O12" s="360"/>
      <c r="P12" s="360" t="s">
        <v>561</v>
      </c>
      <c r="Q12" s="358"/>
      <c r="R12" s="358" t="s">
        <v>376</v>
      </c>
      <c r="S12" s="358"/>
      <c r="T12" s="358"/>
      <c r="U12" s="358"/>
      <c r="V12" s="358"/>
      <c r="W12" s="358"/>
      <c r="X12" s="358"/>
      <c r="Y12" s="358"/>
      <c r="Z12" s="360"/>
      <c r="AA12" s="360"/>
      <c r="AB12" s="360"/>
      <c r="AC12" s="360"/>
    </row>
    <row r="13" spans="1:29" x14ac:dyDescent="0.35">
      <c r="B13" s="357" t="s">
        <v>237</v>
      </c>
      <c r="C13" s="359"/>
      <c r="D13" s="359"/>
      <c r="E13" s="359"/>
      <c r="F13" s="359"/>
      <c r="G13" s="359"/>
      <c r="H13" s="359"/>
      <c r="I13" s="359"/>
      <c r="J13" s="359"/>
      <c r="K13" s="360"/>
      <c r="L13" s="359"/>
      <c r="M13" s="359"/>
      <c r="N13" s="359"/>
      <c r="O13" s="360"/>
      <c r="P13" s="360" t="s">
        <v>607</v>
      </c>
      <c r="Q13" s="358"/>
      <c r="R13" s="358" t="s">
        <v>378</v>
      </c>
      <c r="S13" s="358"/>
      <c r="T13" s="358"/>
      <c r="U13" s="358"/>
      <c r="V13" s="358"/>
      <c r="W13" s="358"/>
      <c r="X13" s="358"/>
      <c r="Y13" s="358"/>
      <c r="Z13" s="360"/>
      <c r="AA13" s="360"/>
      <c r="AB13" s="360"/>
      <c r="AC13" s="360"/>
    </row>
    <row r="14" spans="1:29" x14ac:dyDescent="0.35">
      <c r="B14" s="357" t="s">
        <v>238</v>
      </c>
      <c r="C14" s="359"/>
      <c r="D14" s="359"/>
      <c r="E14" s="359"/>
      <c r="F14" s="359"/>
      <c r="G14" s="359"/>
      <c r="H14" s="359"/>
      <c r="I14" s="359"/>
      <c r="J14" s="359"/>
      <c r="K14" s="360" t="s">
        <v>295</v>
      </c>
      <c r="L14" s="359"/>
      <c r="M14" s="359"/>
      <c r="N14" s="359"/>
      <c r="O14" s="360" t="s">
        <v>562</v>
      </c>
      <c r="P14" s="360"/>
      <c r="Q14" s="358"/>
      <c r="R14" s="358"/>
      <c r="S14" s="358" t="s">
        <v>432</v>
      </c>
      <c r="T14" s="358"/>
      <c r="U14" s="358"/>
      <c r="V14" s="358"/>
      <c r="W14" s="358"/>
      <c r="X14" s="358"/>
      <c r="Y14" s="358"/>
      <c r="Z14" s="360"/>
      <c r="AA14" s="360" t="s">
        <v>432</v>
      </c>
      <c r="AB14" s="360"/>
      <c r="AC14" s="360"/>
    </row>
    <row r="15" spans="1:29" x14ac:dyDescent="0.35">
      <c r="B15" s="357" t="s">
        <v>238</v>
      </c>
      <c r="C15" s="359"/>
      <c r="D15" s="359"/>
      <c r="E15" s="359"/>
      <c r="F15" s="359"/>
      <c r="G15" s="359"/>
      <c r="H15" s="359"/>
      <c r="I15" s="359"/>
      <c r="J15" s="359"/>
      <c r="K15" s="360"/>
      <c r="L15" s="359"/>
      <c r="M15" s="359"/>
      <c r="N15" s="359"/>
      <c r="O15" s="360"/>
      <c r="P15" s="360"/>
      <c r="Q15" s="358"/>
      <c r="R15" s="358" t="s">
        <v>377</v>
      </c>
      <c r="S15" s="358"/>
      <c r="T15" s="358"/>
      <c r="U15" s="358"/>
      <c r="V15" s="358"/>
      <c r="W15" s="358"/>
      <c r="X15" s="358"/>
      <c r="Y15" s="358"/>
      <c r="Z15" s="360"/>
      <c r="AA15" s="360"/>
      <c r="AB15" s="360"/>
      <c r="AC15" s="360" t="s">
        <v>608</v>
      </c>
    </row>
    <row r="16" spans="1:29" x14ac:dyDescent="0.35">
      <c r="B16" s="357" t="s">
        <v>238</v>
      </c>
      <c r="C16" s="359"/>
      <c r="D16" s="359"/>
      <c r="E16" s="359"/>
      <c r="F16" s="359"/>
      <c r="G16" s="359"/>
      <c r="H16" s="359"/>
      <c r="I16" s="359"/>
      <c r="J16" s="359"/>
      <c r="K16" s="360"/>
      <c r="L16" s="359"/>
      <c r="M16" s="359"/>
      <c r="N16" s="359"/>
      <c r="O16" s="360"/>
      <c r="P16" s="360"/>
      <c r="Q16" s="358" t="s">
        <v>433</v>
      </c>
      <c r="R16" s="358"/>
      <c r="S16" s="358" t="s">
        <v>369</v>
      </c>
      <c r="T16" s="358"/>
      <c r="U16" s="358"/>
      <c r="V16" s="358"/>
      <c r="W16" s="358"/>
      <c r="X16" s="358"/>
      <c r="Y16" s="358"/>
      <c r="Z16" s="360" t="s">
        <v>609</v>
      </c>
      <c r="AA16" s="360" t="s">
        <v>473</v>
      </c>
      <c r="AB16" s="360" t="s">
        <v>610</v>
      </c>
      <c r="AC16" s="360"/>
    </row>
    <row r="17" spans="2:29" x14ac:dyDescent="0.35">
      <c r="B17" s="357" t="s">
        <v>238</v>
      </c>
      <c r="C17" s="359"/>
      <c r="D17" s="359"/>
      <c r="E17" s="359"/>
      <c r="F17" s="359"/>
      <c r="G17" s="359"/>
      <c r="H17" s="359"/>
      <c r="I17" s="359"/>
      <c r="J17" s="359"/>
      <c r="K17" s="360"/>
      <c r="L17" s="359"/>
      <c r="M17" s="359"/>
      <c r="N17" s="359"/>
      <c r="O17" s="360" t="s">
        <v>562</v>
      </c>
      <c r="P17" s="360"/>
      <c r="Q17" s="358"/>
      <c r="R17" s="358"/>
      <c r="S17" s="358" t="s">
        <v>356</v>
      </c>
      <c r="T17" s="358"/>
      <c r="U17" s="358"/>
      <c r="V17" s="358"/>
      <c r="W17" s="358"/>
      <c r="X17" s="358"/>
      <c r="Y17" s="358"/>
      <c r="Z17" s="360"/>
      <c r="AA17" s="360"/>
      <c r="AB17" s="360"/>
      <c r="AC17" s="360"/>
    </row>
    <row r="18" spans="2:29" x14ac:dyDescent="0.35">
      <c r="B18" s="357" t="s">
        <v>238</v>
      </c>
      <c r="C18" s="359"/>
      <c r="D18" s="359"/>
      <c r="E18" s="359"/>
      <c r="F18" s="359"/>
      <c r="G18" s="359"/>
      <c r="H18" s="359"/>
      <c r="I18" s="359"/>
      <c r="J18" s="359"/>
      <c r="K18" s="360"/>
      <c r="L18" s="359"/>
      <c r="M18" s="359"/>
      <c r="N18" s="359"/>
      <c r="O18" s="360"/>
      <c r="P18" s="360"/>
      <c r="Q18" s="358"/>
      <c r="R18" s="358"/>
      <c r="S18" s="358"/>
      <c r="T18" s="358"/>
      <c r="U18" s="358"/>
      <c r="V18" s="358"/>
      <c r="W18" s="358"/>
      <c r="X18" s="358"/>
      <c r="Y18" s="358"/>
      <c r="Z18" s="360" t="s">
        <v>611</v>
      </c>
      <c r="AA18" s="360"/>
      <c r="AB18" s="360"/>
      <c r="AC18" s="360" t="s">
        <v>612</v>
      </c>
    </row>
    <row r="19" spans="2:29" x14ac:dyDescent="0.35">
      <c r="B19" s="357" t="s">
        <v>239</v>
      </c>
      <c r="C19" s="359"/>
      <c r="D19" s="359"/>
      <c r="E19" s="359"/>
      <c r="F19" s="359"/>
      <c r="G19" s="359"/>
      <c r="H19" s="359"/>
      <c r="I19" s="359"/>
      <c r="J19" s="359"/>
      <c r="K19" s="360"/>
      <c r="L19" s="359"/>
      <c r="M19" s="359"/>
      <c r="N19" s="359"/>
      <c r="O19" s="360"/>
      <c r="P19" s="360"/>
      <c r="Q19" s="358" t="s">
        <v>434</v>
      </c>
      <c r="R19" s="358" t="s">
        <v>380</v>
      </c>
      <c r="S19" s="358"/>
      <c r="T19" s="358"/>
      <c r="U19" s="358"/>
      <c r="V19" s="358"/>
      <c r="W19" s="358"/>
      <c r="X19" s="358"/>
      <c r="Y19" s="358"/>
      <c r="Z19" s="360"/>
      <c r="AA19" s="360"/>
      <c r="AB19" s="360"/>
      <c r="AC19" s="360"/>
    </row>
    <row r="20" spans="2:29" x14ac:dyDescent="0.35">
      <c r="B20" s="357" t="s">
        <v>240</v>
      </c>
      <c r="C20" s="359"/>
      <c r="D20" s="359"/>
      <c r="E20" s="359"/>
      <c r="F20" s="359"/>
      <c r="G20" s="359"/>
      <c r="H20" s="359"/>
      <c r="I20" s="359"/>
      <c r="J20" s="359"/>
      <c r="K20" s="360"/>
      <c r="L20" s="359"/>
      <c r="M20" s="359"/>
      <c r="N20" s="359"/>
      <c r="O20" s="360" t="s">
        <v>613</v>
      </c>
      <c r="P20" s="360"/>
      <c r="Q20" s="358"/>
      <c r="R20" s="358"/>
      <c r="S20" s="358" t="s">
        <v>435</v>
      </c>
      <c r="T20" s="358"/>
      <c r="U20" s="358"/>
      <c r="V20" s="358"/>
      <c r="W20" s="358"/>
      <c r="X20" s="358"/>
      <c r="Y20" s="358"/>
      <c r="Z20" s="360"/>
      <c r="AA20" s="360" t="s">
        <v>614</v>
      </c>
      <c r="AB20" s="360"/>
      <c r="AC20" s="360"/>
    </row>
    <row r="21" spans="2:29" x14ac:dyDescent="0.35">
      <c r="B21" s="357" t="s">
        <v>240</v>
      </c>
      <c r="C21" s="359"/>
      <c r="D21" s="359"/>
      <c r="E21" s="359"/>
      <c r="F21" s="359"/>
      <c r="G21" s="359"/>
      <c r="H21" s="359"/>
      <c r="I21" s="359"/>
      <c r="J21" s="359"/>
      <c r="K21" s="360"/>
      <c r="L21" s="359"/>
      <c r="M21" s="359"/>
      <c r="N21" s="359"/>
      <c r="O21" s="360"/>
      <c r="P21" s="360"/>
      <c r="Q21" s="358" t="s">
        <v>436</v>
      </c>
      <c r="R21" s="358"/>
      <c r="S21" s="358"/>
      <c r="T21" s="358"/>
      <c r="U21" s="358"/>
      <c r="V21" s="358"/>
      <c r="W21" s="358"/>
      <c r="X21" s="358"/>
      <c r="Y21" s="358"/>
      <c r="Z21" s="360"/>
      <c r="AA21" s="360"/>
      <c r="AB21" s="360"/>
      <c r="AC21" s="360"/>
    </row>
    <row r="22" spans="2:29" x14ac:dyDescent="0.35">
      <c r="B22" s="357" t="s">
        <v>241</v>
      </c>
      <c r="C22" s="359"/>
      <c r="D22" s="359"/>
      <c r="E22" s="359"/>
      <c r="F22" s="359"/>
      <c r="G22" s="359"/>
      <c r="H22" s="359"/>
      <c r="I22" s="359"/>
      <c r="J22" s="359"/>
      <c r="K22" s="360" t="s">
        <v>296</v>
      </c>
      <c r="L22" s="359"/>
      <c r="M22" s="359"/>
      <c r="N22" s="359"/>
      <c r="O22" s="360"/>
      <c r="P22" s="360"/>
      <c r="Q22" s="358"/>
      <c r="R22" s="358"/>
      <c r="S22" s="358"/>
      <c r="T22" s="358"/>
      <c r="U22" s="358"/>
      <c r="V22" s="358"/>
      <c r="W22" s="358"/>
      <c r="X22" s="358"/>
      <c r="Y22" s="358"/>
      <c r="Z22" s="360"/>
      <c r="AA22" s="360"/>
      <c r="AB22" s="360" t="s">
        <v>507</v>
      </c>
      <c r="AC22" s="360"/>
    </row>
    <row r="23" spans="2:29" x14ac:dyDescent="0.35">
      <c r="B23" s="357" t="s">
        <v>242</v>
      </c>
      <c r="C23" s="359"/>
      <c r="D23" s="359"/>
      <c r="E23" s="359"/>
      <c r="F23" s="359"/>
      <c r="G23" s="359"/>
      <c r="H23" s="359"/>
      <c r="I23" s="359"/>
      <c r="J23" s="359"/>
      <c r="K23" s="360"/>
      <c r="L23" s="359"/>
      <c r="M23" s="359"/>
      <c r="N23" s="359"/>
      <c r="O23" s="360"/>
      <c r="P23" s="360"/>
      <c r="Q23" s="358"/>
      <c r="R23" s="358"/>
      <c r="S23" s="358" t="s">
        <v>357</v>
      </c>
      <c r="T23" s="358"/>
      <c r="U23" s="358"/>
      <c r="V23" s="358"/>
      <c r="W23" s="358"/>
      <c r="X23" s="358"/>
      <c r="Y23" s="358"/>
      <c r="Z23" s="360"/>
      <c r="AA23" s="360"/>
      <c r="AB23" s="360"/>
      <c r="AC23" s="360"/>
    </row>
    <row r="24" spans="2:29" x14ac:dyDescent="0.35">
      <c r="B24" s="357" t="s">
        <v>242</v>
      </c>
      <c r="C24" s="359"/>
      <c r="D24" s="359"/>
      <c r="E24" s="359"/>
      <c r="F24" s="359"/>
      <c r="G24" s="359"/>
      <c r="H24" s="359"/>
      <c r="I24" s="359"/>
      <c r="J24" s="359"/>
      <c r="K24" s="360" t="s">
        <v>297</v>
      </c>
      <c r="L24" s="361"/>
      <c r="M24" s="361"/>
      <c r="N24" s="361"/>
      <c r="O24" s="360"/>
      <c r="P24" s="360"/>
      <c r="Q24" s="358" t="s">
        <v>437</v>
      </c>
      <c r="R24" s="358"/>
      <c r="S24" s="358"/>
      <c r="T24" s="358"/>
      <c r="U24" s="358"/>
      <c r="V24" s="358"/>
      <c r="W24" s="358"/>
      <c r="X24" s="358"/>
      <c r="Y24" s="358"/>
      <c r="Z24" s="360"/>
      <c r="AA24" s="360"/>
      <c r="AB24" s="360" t="s">
        <v>567</v>
      </c>
      <c r="AC24" s="360"/>
    </row>
    <row r="25" spans="2:29" x14ac:dyDescent="0.35">
      <c r="B25" s="357" t="s">
        <v>243</v>
      </c>
      <c r="C25" s="359"/>
      <c r="D25" s="359"/>
      <c r="E25" s="359"/>
      <c r="F25" s="359"/>
      <c r="G25" s="359"/>
      <c r="H25" s="359"/>
      <c r="I25" s="359"/>
      <c r="J25" s="359"/>
      <c r="K25" s="360"/>
      <c r="L25" s="359"/>
      <c r="M25" s="359"/>
      <c r="N25" s="359"/>
      <c r="O25" s="360"/>
      <c r="P25" s="360"/>
      <c r="Q25" s="358"/>
      <c r="R25" s="358"/>
      <c r="S25" s="358"/>
      <c r="T25" s="358"/>
      <c r="U25" s="358"/>
      <c r="V25" s="358"/>
      <c r="W25" s="358"/>
      <c r="X25" s="358"/>
      <c r="Y25" s="358"/>
      <c r="Z25" s="360"/>
      <c r="AA25" s="360"/>
      <c r="AB25" s="360"/>
      <c r="AC25" s="360"/>
    </row>
    <row r="26" spans="2:29" x14ac:dyDescent="0.35">
      <c r="B26" s="357" t="s">
        <v>243</v>
      </c>
      <c r="C26" s="359"/>
      <c r="D26" s="359"/>
      <c r="E26" s="359"/>
      <c r="F26" s="359"/>
      <c r="G26" s="359"/>
      <c r="H26" s="359"/>
      <c r="I26" s="359"/>
      <c r="J26" s="359"/>
      <c r="K26" s="360"/>
      <c r="L26" s="359"/>
      <c r="M26" s="359"/>
      <c r="N26" s="359"/>
      <c r="O26" s="360"/>
      <c r="P26" s="360"/>
      <c r="Q26" s="358"/>
      <c r="R26" s="358"/>
      <c r="S26" s="358"/>
      <c r="T26" s="358"/>
      <c r="U26" s="358"/>
      <c r="V26" s="358"/>
      <c r="W26" s="358"/>
      <c r="X26" s="358"/>
      <c r="Y26" s="358"/>
      <c r="Z26" s="360"/>
      <c r="AA26" s="360"/>
      <c r="AB26" s="360"/>
      <c r="AC26" s="360"/>
    </row>
    <row r="27" spans="2:29" x14ac:dyDescent="0.35">
      <c r="B27" s="357" t="s">
        <v>244</v>
      </c>
      <c r="C27" s="359"/>
      <c r="D27" s="359"/>
      <c r="E27" s="359"/>
      <c r="F27" s="359"/>
      <c r="G27" s="359"/>
      <c r="H27" s="359"/>
      <c r="I27" s="359"/>
      <c r="J27" s="359"/>
      <c r="K27" s="360" t="s">
        <v>298</v>
      </c>
      <c r="L27" s="359"/>
      <c r="M27" s="359"/>
      <c r="N27" s="359"/>
      <c r="O27" s="360"/>
      <c r="P27" s="360"/>
      <c r="Q27" s="358"/>
      <c r="R27" s="358"/>
      <c r="S27" s="358"/>
      <c r="T27" s="358"/>
      <c r="U27" s="358"/>
      <c r="V27" s="358"/>
      <c r="W27" s="358"/>
      <c r="X27" s="358"/>
      <c r="Y27" s="358"/>
      <c r="Z27" s="360"/>
      <c r="AA27" s="360"/>
      <c r="AB27" s="360"/>
      <c r="AC27" s="360"/>
    </row>
    <row r="28" spans="2:29" x14ac:dyDescent="0.35">
      <c r="B28" s="357" t="s">
        <v>244</v>
      </c>
      <c r="C28" s="359"/>
      <c r="D28" s="359"/>
      <c r="E28" s="359"/>
      <c r="F28" s="359"/>
      <c r="G28" s="359"/>
      <c r="H28" s="359"/>
      <c r="I28" s="359"/>
      <c r="J28" s="359"/>
      <c r="K28" s="360"/>
      <c r="L28" s="359"/>
      <c r="M28" s="359"/>
      <c r="N28" s="359"/>
      <c r="O28" s="360"/>
      <c r="P28" s="360"/>
      <c r="Q28" s="358"/>
      <c r="R28" s="358"/>
      <c r="S28" s="358"/>
      <c r="T28" s="358"/>
      <c r="U28" s="358"/>
      <c r="V28" s="358"/>
      <c r="W28" s="358"/>
      <c r="X28" s="358"/>
      <c r="Y28" s="358"/>
      <c r="Z28" s="360"/>
      <c r="AA28" s="360"/>
      <c r="AB28" s="360"/>
      <c r="AC28" s="360"/>
    </row>
    <row r="29" spans="2:29" x14ac:dyDescent="0.35">
      <c r="B29" s="357" t="s">
        <v>245</v>
      </c>
      <c r="C29" s="359"/>
      <c r="D29" s="359"/>
      <c r="E29" s="359"/>
      <c r="F29" s="359"/>
      <c r="G29" s="359"/>
      <c r="H29" s="359"/>
      <c r="I29" s="359"/>
      <c r="J29" s="359"/>
      <c r="K29" s="360"/>
      <c r="L29" s="359"/>
      <c r="M29" s="359"/>
      <c r="N29" s="359"/>
      <c r="O29" s="360"/>
      <c r="P29" s="360"/>
      <c r="Q29" s="358"/>
      <c r="R29" s="358"/>
      <c r="S29" s="358"/>
      <c r="T29" s="358"/>
      <c r="U29" s="358"/>
      <c r="V29" s="358"/>
      <c r="W29" s="358"/>
      <c r="X29" s="358"/>
      <c r="Y29" s="358"/>
      <c r="Z29" s="360"/>
      <c r="AA29" s="360"/>
      <c r="AB29" s="360"/>
      <c r="AC29" s="360"/>
    </row>
    <row r="30" spans="2:29" x14ac:dyDescent="0.35">
      <c r="B30" s="357" t="s">
        <v>246</v>
      </c>
      <c r="C30" s="359"/>
      <c r="D30" s="359"/>
      <c r="E30" s="359"/>
      <c r="F30" s="359"/>
      <c r="G30" s="359"/>
      <c r="H30" s="359"/>
      <c r="I30" s="359"/>
      <c r="J30" s="359"/>
      <c r="K30" s="360"/>
      <c r="L30" s="359"/>
      <c r="M30" s="359"/>
      <c r="N30" s="359"/>
      <c r="O30" s="360"/>
      <c r="P30" s="360"/>
      <c r="Q30" s="358" t="s">
        <v>438</v>
      </c>
      <c r="R30" s="358"/>
      <c r="S30" s="358"/>
      <c r="T30" s="358"/>
      <c r="U30" s="358"/>
      <c r="V30" s="358"/>
      <c r="W30" s="358"/>
      <c r="X30" s="358"/>
      <c r="Y30" s="358"/>
      <c r="Z30" s="360"/>
      <c r="AA30" s="360"/>
      <c r="AB30" s="360"/>
      <c r="AC30" s="360"/>
    </row>
    <row r="31" spans="2:29" x14ac:dyDescent="0.35">
      <c r="B31" s="357" t="s">
        <v>247</v>
      </c>
      <c r="C31" s="359"/>
      <c r="D31" s="359"/>
      <c r="E31" s="359"/>
      <c r="F31" s="359"/>
      <c r="G31" s="359"/>
      <c r="H31" s="359"/>
      <c r="I31" s="359"/>
      <c r="J31" s="359"/>
      <c r="K31" s="360"/>
      <c r="L31" s="359"/>
      <c r="M31" s="359"/>
      <c r="N31" s="359"/>
      <c r="O31" s="360"/>
      <c r="P31" s="360" t="s">
        <v>615</v>
      </c>
      <c r="Q31" s="358"/>
      <c r="R31" s="358"/>
      <c r="S31" s="358"/>
      <c r="T31" s="358"/>
      <c r="U31" s="358"/>
      <c r="V31" s="358"/>
      <c r="W31" s="358"/>
      <c r="X31" s="358"/>
      <c r="Y31" s="358"/>
      <c r="Z31" s="360"/>
      <c r="AA31" s="360"/>
      <c r="AB31" s="360"/>
      <c r="AC31" s="360"/>
    </row>
    <row r="32" spans="2:29" x14ac:dyDescent="0.35">
      <c r="B32" s="357" t="s">
        <v>247</v>
      </c>
      <c r="C32" s="359"/>
      <c r="D32" s="359"/>
      <c r="E32" s="359"/>
      <c r="F32" s="359"/>
      <c r="G32" s="359"/>
      <c r="H32" s="359"/>
      <c r="I32" s="359"/>
      <c r="J32" s="359"/>
      <c r="K32" s="360"/>
      <c r="L32" s="359"/>
      <c r="M32" s="359"/>
      <c r="N32" s="359"/>
      <c r="O32" s="360"/>
      <c r="P32" s="360"/>
      <c r="Q32" s="358"/>
      <c r="R32" s="358"/>
      <c r="S32" s="358"/>
      <c r="T32" s="358"/>
      <c r="U32" s="358"/>
      <c r="V32" s="358"/>
      <c r="W32" s="358"/>
      <c r="X32" s="358"/>
      <c r="Y32" s="358"/>
      <c r="Z32" s="360"/>
      <c r="AA32" s="360"/>
      <c r="AB32" s="360"/>
      <c r="AC32" s="360"/>
    </row>
    <row r="33" spans="2:29" x14ac:dyDescent="0.35">
      <c r="B33" s="357" t="s">
        <v>248</v>
      </c>
      <c r="C33" s="359"/>
      <c r="D33" s="359"/>
      <c r="E33" s="359"/>
      <c r="F33" s="359"/>
      <c r="G33" s="359"/>
      <c r="H33" s="359"/>
      <c r="I33" s="359"/>
      <c r="J33" s="359"/>
      <c r="K33" s="360"/>
      <c r="L33" s="359"/>
      <c r="M33" s="359"/>
      <c r="N33" s="359"/>
      <c r="O33" s="360"/>
      <c r="P33" s="360"/>
      <c r="Q33" s="358"/>
      <c r="R33" s="358"/>
      <c r="S33" s="358"/>
      <c r="T33" s="358"/>
      <c r="U33" s="358"/>
      <c r="V33" s="358"/>
      <c r="W33" s="358"/>
      <c r="X33" s="358"/>
      <c r="Y33" s="358"/>
      <c r="Z33" s="360"/>
      <c r="AA33" s="360"/>
      <c r="AB33" s="360"/>
      <c r="AC33" s="360"/>
    </row>
    <row r="34" spans="2:29" x14ac:dyDescent="0.35">
      <c r="B34" s="376"/>
      <c r="C34" s="377"/>
      <c r="D34" s="377"/>
      <c r="E34" s="377"/>
      <c r="F34" s="377"/>
      <c r="G34" s="377"/>
      <c r="H34" s="377"/>
      <c r="I34" s="377"/>
      <c r="J34" s="377"/>
      <c r="K34" s="378"/>
      <c r="L34" s="377"/>
      <c r="M34" s="377"/>
      <c r="N34" s="377"/>
      <c r="O34" s="379"/>
      <c r="P34" s="380"/>
      <c r="Q34" s="381"/>
      <c r="R34" s="381"/>
      <c r="S34" s="381"/>
      <c r="T34" s="381"/>
      <c r="U34" s="382"/>
      <c r="V34" s="381"/>
      <c r="W34" s="381"/>
      <c r="X34" s="381"/>
      <c r="Y34" s="381"/>
      <c r="Z34" s="380"/>
      <c r="AA34" s="380"/>
      <c r="AB34" s="380"/>
      <c r="AC34" s="380"/>
    </row>
    <row r="35" spans="2:29" x14ac:dyDescent="0.35">
      <c r="B35" s="383" t="s">
        <v>249</v>
      </c>
      <c r="C35" s="384"/>
      <c r="D35" s="384"/>
      <c r="E35" s="384"/>
      <c r="F35" s="384"/>
      <c r="G35" s="384"/>
      <c r="H35" s="384"/>
      <c r="I35" s="384"/>
      <c r="J35" s="384"/>
      <c r="K35" s="385" t="s">
        <v>295</v>
      </c>
      <c r="L35" s="384"/>
      <c r="M35" s="384"/>
      <c r="N35" s="384"/>
      <c r="O35" s="386" t="s">
        <v>616</v>
      </c>
      <c r="P35" s="387" t="s">
        <v>617</v>
      </c>
      <c r="Q35" s="388" t="s">
        <v>439</v>
      </c>
      <c r="R35" s="388" t="s">
        <v>380</v>
      </c>
      <c r="S35" s="388" t="s">
        <v>440</v>
      </c>
      <c r="T35" s="388"/>
      <c r="U35" s="389"/>
      <c r="V35" s="388"/>
      <c r="W35" s="388"/>
      <c r="X35" s="388"/>
      <c r="Y35" s="388"/>
      <c r="Z35" s="387" t="s">
        <v>618</v>
      </c>
      <c r="AA35" s="387" t="s">
        <v>614</v>
      </c>
      <c r="AB35" s="387" t="s">
        <v>619</v>
      </c>
      <c r="AC35" s="387" t="s">
        <v>620</v>
      </c>
    </row>
    <row r="36" spans="2:29" x14ac:dyDescent="0.35">
      <c r="B36" s="390"/>
      <c r="C36" s="377"/>
      <c r="D36" s="377"/>
      <c r="E36" s="377"/>
      <c r="F36" s="377"/>
      <c r="G36" s="377"/>
      <c r="H36" s="377"/>
      <c r="I36" s="377"/>
      <c r="J36" s="377"/>
      <c r="K36" s="378"/>
      <c r="L36" s="377"/>
      <c r="M36" s="377"/>
      <c r="N36" s="377"/>
      <c r="O36" s="379"/>
      <c r="P36" s="380"/>
      <c r="Q36" s="381"/>
      <c r="R36" s="381"/>
      <c r="S36" s="381"/>
      <c r="T36" s="381"/>
      <c r="U36" s="382"/>
      <c r="V36" s="381"/>
      <c r="W36" s="381"/>
      <c r="X36" s="381"/>
      <c r="Y36" s="381"/>
      <c r="Z36" s="380"/>
      <c r="AA36" s="380"/>
      <c r="AB36" s="380"/>
      <c r="AC36" s="380"/>
    </row>
    <row r="37" spans="2:29" x14ac:dyDescent="0.35">
      <c r="B37" s="383" t="s">
        <v>250</v>
      </c>
      <c r="C37" s="384"/>
      <c r="D37" s="384"/>
      <c r="E37" s="384"/>
      <c r="F37" s="384"/>
      <c r="G37" s="384"/>
      <c r="H37" s="384"/>
      <c r="I37" s="384"/>
      <c r="J37" s="384"/>
      <c r="K37" s="385" t="s">
        <v>295</v>
      </c>
      <c r="L37" s="384"/>
      <c r="M37" s="384"/>
      <c r="N37" s="384"/>
      <c r="O37" s="391" t="s">
        <v>563</v>
      </c>
      <c r="P37" s="392" t="s">
        <v>564</v>
      </c>
      <c r="Q37" s="388" t="s">
        <v>379</v>
      </c>
      <c r="R37" s="388" t="s">
        <v>380</v>
      </c>
      <c r="S37" s="388" t="s">
        <v>440</v>
      </c>
      <c r="T37" s="388"/>
      <c r="U37" s="389"/>
      <c r="V37" s="388"/>
      <c r="W37" s="388"/>
      <c r="X37" s="388"/>
      <c r="Y37" s="388"/>
      <c r="Z37" s="392" t="s">
        <v>565</v>
      </c>
      <c r="AA37" s="392" t="s">
        <v>489</v>
      </c>
      <c r="AB37" s="392" t="s">
        <v>508</v>
      </c>
      <c r="AC37" s="392" t="s">
        <v>566</v>
      </c>
    </row>
    <row r="38" spans="2:29" x14ac:dyDescent="0.35">
      <c r="B38" s="368"/>
      <c r="C38" s="362"/>
      <c r="D38" s="362"/>
      <c r="E38" s="362"/>
      <c r="F38" s="362"/>
      <c r="G38" s="362"/>
      <c r="H38" s="362"/>
      <c r="I38" s="362"/>
      <c r="J38" s="362"/>
      <c r="K38" s="369"/>
      <c r="L38" s="362"/>
      <c r="M38" s="362"/>
      <c r="N38" s="362"/>
      <c r="O38" s="370"/>
      <c r="P38" s="374"/>
      <c r="Q38" s="363"/>
      <c r="R38" s="363"/>
      <c r="S38" s="363"/>
      <c r="T38" s="363"/>
      <c r="U38" s="364"/>
      <c r="V38" s="363"/>
      <c r="W38" s="363"/>
      <c r="X38" s="363"/>
      <c r="Y38" s="363"/>
      <c r="Z38" s="374"/>
      <c r="AA38" s="564"/>
      <c r="AB38" s="564"/>
      <c r="AC38" s="564"/>
    </row>
    <row r="39" spans="2:29" x14ac:dyDescent="0.35">
      <c r="B39" s="371" t="s">
        <v>251</v>
      </c>
      <c r="C39" s="365"/>
      <c r="D39" s="365"/>
      <c r="E39" s="365"/>
      <c r="F39" s="365"/>
      <c r="G39" s="365"/>
      <c r="H39" s="365"/>
      <c r="I39" s="365"/>
      <c r="J39" s="365"/>
      <c r="K39" s="372" t="s">
        <v>299</v>
      </c>
      <c r="L39" s="365"/>
      <c r="M39" s="365"/>
      <c r="N39" s="365"/>
      <c r="O39" s="373" t="s">
        <v>621</v>
      </c>
      <c r="P39" s="375" t="s">
        <v>622</v>
      </c>
      <c r="Q39" s="366" t="s">
        <v>441</v>
      </c>
      <c r="R39" s="366" t="s">
        <v>442</v>
      </c>
      <c r="S39" s="366" t="s">
        <v>375</v>
      </c>
      <c r="T39" s="366"/>
      <c r="U39" s="367"/>
      <c r="V39" s="366"/>
      <c r="W39" s="366"/>
      <c r="X39" s="366"/>
      <c r="Y39" s="366"/>
      <c r="Z39" s="375" t="s">
        <v>623</v>
      </c>
      <c r="AA39" s="565" t="s">
        <v>375</v>
      </c>
      <c r="AB39" s="565" t="s">
        <v>624</v>
      </c>
      <c r="AC39" s="565" t="s">
        <v>568</v>
      </c>
    </row>
    <row r="72" spans="2:2" x14ac:dyDescent="0.35">
      <c r="B72" s="24" t="s">
        <v>360</v>
      </c>
    </row>
  </sheetData>
  <mergeCells count="2">
    <mergeCell ref="B4:Y4"/>
    <mergeCell ref="Z5:AA5"/>
  </mergeCells>
  <printOptions horizontalCentered="1" verticalCentered="1"/>
  <pageMargins left="0.27559055118110237" right="0.19685039370078741" top="0.98425196850393704" bottom="1.1023622047244095" header="0.51181102362204722" footer="0.51181102362204722"/>
  <pageSetup paperSize="9" scale="50" orientation="landscape" r:id="rId1"/>
  <headerFooter alignWithMargins="0">
    <oddHeader xml:space="preserve">&amp;C3
</oddHeader>
    <oddFooter>&amp;L&amp;8Przygotowali:
mgr inż. Tomasz Smoleński
IERiGŻ-PIB
Zakład Ekonomiki Ogrodnictwa&amp;R&amp;8Przedruk możliwy po uzgodnieniu
 z Zakładem Ekonomiki Ogrodnictwa IERiGŻ</oddFooter>
  </headerFooter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32"/>
  <sheetViews>
    <sheetView showGridLines="0" zoomScale="90" zoomScaleNormal="90" workbookViewId="0">
      <selection activeCell="B7" sqref="B7"/>
    </sheetView>
  </sheetViews>
  <sheetFormatPr defaultColWidth="9.1796875" defaultRowHeight="14.5" x14ac:dyDescent="0.35"/>
  <cols>
    <col min="1" max="1" width="9.1796875" style="281"/>
    <col min="2" max="2" width="44" style="281" customWidth="1"/>
    <col min="3" max="11" width="14.453125" style="281" customWidth="1"/>
    <col min="12" max="16384" width="9.1796875" style="281"/>
  </cols>
  <sheetData>
    <row r="1" spans="2:14" ht="20.149999999999999" customHeight="1" x14ac:dyDescent="0.35">
      <c r="B1" s="307"/>
      <c r="C1" s="585" t="s">
        <v>269</v>
      </c>
      <c r="D1" s="585"/>
      <c r="E1" s="585"/>
      <c r="F1" s="585"/>
      <c r="G1" s="585"/>
      <c r="H1" s="585"/>
      <c r="I1" s="585"/>
      <c r="J1" s="585"/>
      <c r="K1" s="585"/>
    </row>
    <row r="2" spans="2:14" ht="20.149999999999999" customHeight="1" x14ac:dyDescent="0.35">
      <c r="B2" s="308" t="s">
        <v>493</v>
      </c>
      <c r="C2" s="586" t="s">
        <v>202</v>
      </c>
      <c r="D2" s="586"/>
      <c r="E2" s="586"/>
      <c r="F2" s="586"/>
      <c r="G2" s="586"/>
      <c r="H2" s="586"/>
      <c r="I2" s="586"/>
      <c r="J2" s="586"/>
      <c r="K2" s="586"/>
    </row>
    <row r="3" spans="2:14" ht="20.149999999999999" customHeight="1" x14ac:dyDescent="0.5">
      <c r="B3" s="311" t="s">
        <v>494</v>
      </c>
      <c r="C3" s="587" t="s">
        <v>203</v>
      </c>
      <c r="D3" s="587"/>
      <c r="E3" s="587"/>
      <c r="F3" s="587"/>
      <c r="G3" s="587"/>
      <c r="H3" s="587"/>
      <c r="I3" s="587"/>
      <c r="J3" s="587"/>
      <c r="K3" s="587"/>
    </row>
    <row r="4" spans="2:14" ht="20.149999999999999" customHeight="1" x14ac:dyDescent="0.35">
      <c r="B4" s="309"/>
      <c r="C4" s="588" t="s">
        <v>204</v>
      </c>
      <c r="D4" s="588"/>
      <c r="E4" s="588"/>
      <c r="F4" s="588"/>
      <c r="G4" s="588"/>
      <c r="H4" s="588"/>
      <c r="I4" s="588"/>
      <c r="J4" s="588"/>
      <c r="K4" s="588"/>
    </row>
    <row r="5" spans="2:14" ht="20.149999999999999" customHeight="1" x14ac:dyDescent="0.35">
      <c r="B5" s="310"/>
      <c r="C5" s="588" t="s">
        <v>205</v>
      </c>
      <c r="D5" s="588"/>
      <c r="E5" s="588"/>
      <c r="F5" s="588"/>
      <c r="G5" s="588"/>
      <c r="H5" s="588"/>
      <c r="I5" s="588"/>
      <c r="J5" s="588"/>
      <c r="K5" s="588"/>
    </row>
    <row r="6" spans="2:14" ht="20.149999999999999" customHeight="1" x14ac:dyDescent="0.35">
      <c r="B6" s="589" t="s">
        <v>206</v>
      </c>
      <c r="C6" s="589"/>
      <c r="D6" s="589"/>
      <c r="E6" s="589"/>
      <c r="F6" s="589"/>
      <c r="G6" s="589"/>
      <c r="H6" s="589"/>
      <c r="I6" s="589"/>
      <c r="J6" s="589"/>
      <c r="K6" s="589"/>
    </row>
    <row r="7" spans="2:14" ht="15.5" x14ac:dyDescent="0.35">
      <c r="B7" s="567" t="s">
        <v>511</v>
      </c>
      <c r="C7" s="296"/>
      <c r="D7" s="296"/>
      <c r="E7" s="296"/>
      <c r="F7" s="418"/>
      <c r="G7" s="296"/>
      <c r="H7" s="296"/>
      <c r="I7" s="418"/>
      <c r="J7" s="296"/>
      <c r="K7" s="296"/>
    </row>
    <row r="8" spans="2:14" ht="21" customHeight="1" x14ac:dyDescent="0.35">
      <c r="B8" s="298" t="s">
        <v>207</v>
      </c>
      <c r="C8" s="582" t="s">
        <v>208</v>
      </c>
      <c r="D8" s="582"/>
      <c r="E8" s="582"/>
      <c r="F8" s="583" t="s">
        <v>209</v>
      </c>
      <c r="G8" s="583"/>
      <c r="H8" s="583"/>
      <c r="I8" s="583" t="s">
        <v>210</v>
      </c>
      <c r="J8" s="583"/>
      <c r="K8" s="584"/>
    </row>
    <row r="9" spans="2:14" ht="60" customHeight="1" x14ac:dyDescent="0.35">
      <c r="B9" s="302"/>
      <c r="C9" s="299" t="s">
        <v>495</v>
      </c>
      <c r="D9" s="299" t="s">
        <v>490</v>
      </c>
      <c r="E9" s="300" t="s">
        <v>211</v>
      </c>
      <c r="F9" s="299" t="s">
        <v>495</v>
      </c>
      <c r="G9" s="299" t="s">
        <v>490</v>
      </c>
      <c r="H9" s="300" t="s">
        <v>211</v>
      </c>
      <c r="I9" s="299" t="s">
        <v>495</v>
      </c>
      <c r="J9" s="299" t="s">
        <v>490</v>
      </c>
      <c r="K9" s="304" t="s">
        <v>211</v>
      </c>
      <c r="N9" s="313"/>
    </row>
    <row r="10" spans="2:14" ht="30" customHeight="1" x14ac:dyDescent="0.35">
      <c r="B10" s="305" t="s">
        <v>212</v>
      </c>
      <c r="C10" s="301">
        <v>2.29</v>
      </c>
      <c r="D10" s="301">
        <v>2</v>
      </c>
      <c r="E10" s="315">
        <f t="shared" ref="E10:E16" si="0">((C10-D10)/D10)*100</f>
        <v>14.500000000000002</v>
      </c>
      <c r="F10" s="301"/>
      <c r="G10" s="301"/>
      <c r="H10" s="315" t="s">
        <v>199</v>
      </c>
      <c r="I10" s="301" t="s">
        <v>199</v>
      </c>
      <c r="J10" s="301" t="s">
        <v>199</v>
      </c>
      <c r="K10" s="316" t="s">
        <v>199</v>
      </c>
    </row>
    <row r="11" spans="2:14" ht="30" customHeight="1" x14ac:dyDescent="0.35">
      <c r="B11" s="305" t="s">
        <v>213</v>
      </c>
      <c r="C11" s="301" t="s">
        <v>199</v>
      </c>
      <c r="D11" s="301" t="s">
        <v>199</v>
      </c>
      <c r="E11" s="315" t="s">
        <v>199</v>
      </c>
      <c r="F11" s="301"/>
      <c r="G11" s="301"/>
      <c r="H11" s="315" t="s">
        <v>199</v>
      </c>
      <c r="I11" s="301" t="s">
        <v>199</v>
      </c>
      <c r="J11" s="301" t="s">
        <v>199</v>
      </c>
      <c r="K11" s="316" t="s">
        <v>199</v>
      </c>
      <c r="N11" s="282"/>
    </row>
    <row r="12" spans="2:14" ht="20.149999999999999" customHeight="1" x14ac:dyDescent="0.35">
      <c r="B12" s="305" t="s">
        <v>214</v>
      </c>
      <c r="C12" s="301">
        <v>2</v>
      </c>
      <c r="D12" s="301">
        <v>2</v>
      </c>
      <c r="E12" s="315">
        <f t="shared" si="0"/>
        <v>0</v>
      </c>
      <c r="F12" s="301"/>
      <c r="G12" s="301"/>
      <c r="H12" s="315" t="s">
        <v>199</v>
      </c>
      <c r="I12" s="301" t="s">
        <v>199</v>
      </c>
      <c r="J12" s="301" t="s">
        <v>199</v>
      </c>
      <c r="K12" s="316" t="s">
        <v>199</v>
      </c>
    </row>
    <row r="13" spans="2:14" ht="20.149999999999999" customHeight="1" x14ac:dyDescent="0.35">
      <c r="B13" s="305" t="s">
        <v>215</v>
      </c>
      <c r="C13" s="301">
        <v>2.19</v>
      </c>
      <c r="D13" s="301">
        <v>2</v>
      </c>
      <c r="E13" s="315">
        <f t="shared" si="0"/>
        <v>9.4999999999999964</v>
      </c>
      <c r="F13" s="301">
        <v>1.7</v>
      </c>
      <c r="G13" s="301"/>
      <c r="H13" s="317" t="s">
        <v>199</v>
      </c>
      <c r="I13" s="301" t="s">
        <v>199</v>
      </c>
      <c r="J13" s="301" t="s">
        <v>199</v>
      </c>
      <c r="K13" s="316" t="s">
        <v>199</v>
      </c>
    </row>
    <row r="14" spans="2:14" ht="20.149999999999999" customHeight="1" x14ac:dyDescent="0.35">
      <c r="B14" s="305" t="s">
        <v>216</v>
      </c>
      <c r="C14" s="301" t="s">
        <v>199</v>
      </c>
      <c r="D14" s="301" t="s">
        <v>199</v>
      </c>
      <c r="E14" s="315" t="s">
        <v>199</v>
      </c>
      <c r="F14" s="301">
        <v>2</v>
      </c>
      <c r="G14" s="301"/>
      <c r="H14" s="315" t="s">
        <v>199</v>
      </c>
      <c r="I14" s="301" t="s">
        <v>199</v>
      </c>
      <c r="J14" s="301" t="s">
        <v>199</v>
      </c>
      <c r="K14" s="316" t="s">
        <v>199</v>
      </c>
    </row>
    <row r="15" spans="2:14" ht="20.149999999999999" customHeight="1" x14ac:dyDescent="0.35">
      <c r="B15" s="305" t="s">
        <v>217</v>
      </c>
      <c r="C15" s="301" t="s">
        <v>199</v>
      </c>
      <c r="D15" s="301" t="s">
        <v>199</v>
      </c>
      <c r="E15" s="315" t="s">
        <v>199</v>
      </c>
      <c r="F15" s="301"/>
      <c r="G15" s="301"/>
      <c r="H15" s="315" t="s">
        <v>199</v>
      </c>
      <c r="I15" s="301" t="s">
        <v>199</v>
      </c>
      <c r="J15" s="301" t="s">
        <v>199</v>
      </c>
      <c r="K15" s="316" t="s">
        <v>199</v>
      </c>
    </row>
    <row r="16" spans="2:14" ht="20.149999999999999" customHeight="1" x14ac:dyDescent="0.35">
      <c r="B16" s="305" t="s">
        <v>218</v>
      </c>
      <c r="C16" s="301">
        <v>4.5</v>
      </c>
      <c r="D16" s="301">
        <v>4.5</v>
      </c>
      <c r="E16" s="315">
        <f t="shared" si="0"/>
        <v>0</v>
      </c>
      <c r="F16" s="301">
        <v>2.5</v>
      </c>
      <c r="G16" s="301"/>
      <c r="H16" s="315" t="s">
        <v>199</v>
      </c>
      <c r="I16" s="301" t="s">
        <v>199</v>
      </c>
      <c r="J16" s="301" t="s">
        <v>199</v>
      </c>
      <c r="K16" s="316" t="s">
        <v>199</v>
      </c>
    </row>
    <row r="17" spans="2:14" ht="20.149999999999999" customHeight="1" x14ac:dyDescent="0.35">
      <c r="B17" s="305" t="s">
        <v>219</v>
      </c>
      <c r="C17" s="301" t="s">
        <v>199</v>
      </c>
      <c r="D17" s="301" t="s">
        <v>199</v>
      </c>
      <c r="E17" s="315" t="s">
        <v>199</v>
      </c>
      <c r="F17" s="301"/>
      <c r="G17" s="301"/>
      <c r="H17" s="315" t="s">
        <v>199</v>
      </c>
      <c r="I17" s="301" t="s">
        <v>199</v>
      </c>
      <c r="J17" s="301" t="s">
        <v>199</v>
      </c>
      <c r="K17" s="316" t="s">
        <v>199</v>
      </c>
    </row>
    <row r="18" spans="2:14" ht="20.149999999999999" customHeight="1" x14ac:dyDescent="0.35">
      <c r="B18" s="305" t="s">
        <v>220</v>
      </c>
      <c r="C18" s="301">
        <v>1.42</v>
      </c>
      <c r="D18" s="301">
        <v>1.3</v>
      </c>
      <c r="E18" s="315">
        <f t="shared" ref="E18:E22" si="1">((C18-D18)/D18)*100</f>
        <v>9.2307692307692211</v>
      </c>
      <c r="F18" s="301"/>
      <c r="G18" s="301"/>
      <c r="H18" s="315" t="s">
        <v>199</v>
      </c>
      <c r="I18" s="301" t="s">
        <v>199</v>
      </c>
      <c r="J18" s="301">
        <v>1.6999999999999997</v>
      </c>
      <c r="K18" s="316" t="s">
        <v>199</v>
      </c>
    </row>
    <row r="19" spans="2:14" ht="20.25" customHeight="1" x14ac:dyDescent="0.35">
      <c r="B19" s="305" t="s">
        <v>221</v>
      </c>
      <c r="C19" s="301">
        <v>1.84</v>
      </c>
      <c r="D19" s="301">
        <v>2.02</v>
      </c>
      <c r="E19" s="315">
        <f t="shared" si="1"/>
        <v>-8.9108910891089081</v>
      </c>
      <c r="F19" s="301"/>
      <c r="G19" s="301"/>
      <c r="H19" s="315" t="s">
        <v>199</v>
      </c>
      <c r="I19" s="301" t="s">
        <v>199</v>
      </c>
      <c r="J19" s="301">
        <v>1.5</v>
      </c>
      <c r="K19" s="316" t="s">
        <v>199</v>
      </c>
    </row>
    <row r="20" spans="2:14" ht="20.149999999999999" customHeight="1" x14ac:dyDescent="0.35">
      <c r="B20" s="305" t="s">
        <v>222</v>
      </c>
      <c r="C20" s="301" t="s">
        <v>199</v>
      </c>
      <c r="D20" s="301" t="s">
        <v>199</v>
      </c>
      <c r="E20" s="315" t="s">
        <v>199</v>
      </c>
      <c r="F20" s="301"/>
      <c r="G20" s="301"/>
      <c r="H20" s="315" t="s">
        <v>199</v>
      </c>
      <c r="I20" s="301">
        <v>4</v>
      </c>
      <c r="J20" s="301">
        <v>4</v>
      </c>
      <c r="K20" s="316" t="s">
        <v>199</v>
      </c>
    </row>
    <row r="21" spans="2:14" ht="20.149999999999999" customHeight="1" x14ac:dyDescent="0.35">
      <c r="B21" s="305" t="s">
        <v>223</v>
      </c>
      <c r="C21" s="301">
        <v>4.5</v>
      </c>
      <c r="D21" s="301">
        <v>4.0999999999999996</v>
      </c>
      <c r="E21" s="315">
        <f t="shared" si="1"/>
        <v>9.7560975609756202</v>
      </c>
      <c r="F21" s="301"/>
      <c r="G21" s="301">
        <v>5.3</v>
      </c>
      <c r="H21" s="315" t="s">
        <v>199</v>
      </c>
      <c r="I21" s="301">
        <v>4.0182363636363636</v>
      </c>
      <c r="J21" s="301">
        <v>3.9248352517543705</v>
      </c>
      <c r="K21" s="316">
        <f t="shared" ref="K21" si="2">((I21-J21)/J21)*100</f>
        <v>2.3797460502385039</v>
      </c>
    </row>
    <row r="22" spans="2:14" ht="20.149999999999999" customHeight="1" x14ac:dyDescent="0.35">
      <c r="B22" s="305" t="s">
        <v>224</v>
      </c>
      <c r="C22" s="301">
        <v>2.5</v>
      </c>
      <c r="D22" s="301">
        <v>7.4</v>
      </c>
      <c r="E22" s="315">
        <f t="shared" si="1"/>
        <v>-66.21621621621621</v>
      </c>
      <c r="F22" s="301">
        <v>2.5</v>
      </c>
      <c r="G22" s="301">
        <v>5</v>
      </c>
      <c r="H22" s="315">
        <f t="shared" ref="H22:H27" si="3">((F22-G22)/G22)*100</f>
        <v>-50</v>
      </c>
      <c r="I22" s="301" t="s">
        <v>199</v>
      </c>
      <c r="J22" s="301">
        <v>5.0699432137662113</v>
      </c>
      <c r="K22" s="316" t="s">
        <v>199</v>
      </c>
      <c r="N22" s="283"/>
    </row>
    <row r="23" spans="2:14" ht="20.149999999999999" customHeight="1" x14ac:dyDescent="0.35">
      <c r="B23" s="305" t="s">
        <v>225</v>
      </c>
      <c r="C23" s="301" t="s">
        <v>199</v>
      </c>
      <c r="D23" s="301" t="s">
        <v>199</v>
      </c>
      <c r="E23" s="318" t="s">
        <v>199</v>
      </c>
      <c r="F23" s="301"/>
      <c r="G23" s="301"/>
      <c r="H23" s="315" t="s">
        <v>199</v>
      </c>
      <c r="I23" s="301" t="s">
        <v>199</v>
      </c>
      <c r="J23" s="301">
        <v>4.0001530612244895</v>
      </c>
      <c r="K23" s="316" t="s">
        <v>199</v>
      </c>
    </row>
    <row r="24" spans="2:14" ht="20.149999999999999" customHeight="1" x14ac:dyDescent="0.35">
      <c r="B24" s="305" t="s">
        <v>226</v>
      </c>
      <c r="C24" s="301" t="s">
        <v>199</v>
      </c>
      <c r="D24" s="301" t="s">
        <v>199</v>
      </c>
      <c r="E24" s="318" t="s">
        <v>199</v>
      </c>
      <c r="F24" s="301"/>
      <c r="G24" s="301"/>
      <c r="H24" s="315" t="s">
        <v>199</v>
      </c>
      <c r="I24" s="301"/>
      <c r="J24" s="301"/>
      <c r="K24" s="316" t="s">
        <v>199</v>
      </c>
    </row>
    <row r="25" spans="2:14" ht="20.149999999999999" customHeight="1" x14ac:dyDescent="0.35">
      <c r="B25" s="305" t="s">
        <v>227</v>
      </c>
      <c r="C25" s="301" t="s">
        <v>199</v>
      </c>
      <c r="D25" s="301" t="s">
        <v>199</v>
      </c>
      <c r="E25" s="318" t="s">
        <v>199</v>
      </c>
      <c r="F25" s="301"/>
      <c r="G25" s="301"/>
      <c r="H25" s="317" t="s">
        <v>199</v>
      </c>
      <c r="I25" s="301"/>
      <c r="J25" s="301"/>
      <c r="K25" s="316" t="s">
        <v>199</v>
      </c>
    </row>
    <row r="26" spans="2:14" ht="20.149999999999999" customHeight="1" x14ac:dyDescent="0.35">
      <c r="B26" s="305" t="s">
        <v>228</v>
      </c>
      <c r="C26" s="301" t="s">
        <v>199</v>
      </c>
      <c r="D26" s="301" t="s">
        <v>199</v>
      </c>
      <c r="E26" s="318" t="s">
        <v>199</v>
      </c>
      <c r="F26" s="301"/>
      <c r="G26" s="301"/>
      <c r="H26" s="317" t="s">
        <v>199</v>
      </c>
      <c r="I26" s="301" t="s">
        <v>199</v>
      </c>
      <c r="J26" s="301">
        <v>1.3</v>
      </c>
      <c r="K26" s="316" t="s">
        <v>199</v>
      </c>
    </row>
    <row r="27" spans="2:14" ht="20.149999999999999" customHeight="1" x14ac:dyDescent="0.35">
      <c r="B27" s="305" t="s">
        <v>229</v>
      </c>
      <c r="C27" s="301" t="s">
        <v>199</v>
      </c>
      <c r="D27" s="301" t="s">
        <v>199</v>
      </c>
      <c r="E27" s="318" t="s">
        <v>199</v>
      </c>
      <c r="F27" s="301">
        <v>4</v>
      </c>
      <c r="G27" s="301">
        <v>3.5</v>
      </c>
      <c r="H27" s="317">
        <f t="shared" si="3"/>
        <v>14.285714285714285</v>
      </c>
      <c r="I27" s="301">
        <v>4</v>
      </c>
      <c r="J27" s="301">
        <v>4</v>
      </c>
      <c r="K27" s="316">
        <f t="shared" ref="K27" si="4">((I27-J27)/J27)*100</f>
        <v>0</v>
      </c>
    </row>
    <row r="28" spans="2:14" ht="20.149999999999999" customHeight="1" x14ac:dyDescent="0.35">
      <c r="B28" s="305" t="s">
        <v>230</v>
      </c>
      <c r="C28" s="301" t="s">
        <v>199</v>
      </c>
      <c r="D28" s="301" t="s">
        <v>199</v>
      </c>
      <c r="E28" s="318" t="s">
        <v>199</v>
      </c>
      <c r="F28" s="301"/>
      <c r="G28" s="301"/>
      <c r="H28" s="317" t="s">
        <v>199</v>
      </c>
      <c r="I28" s="301" t="s">
        <v>199</v>
      </c>
      <c r="J28" s="301">
        <v>1</v>
      </c>
      <c r="K28" s="316" t="s">
        <v>199</v>
      </c>
    </row>
    <row r="29" spans="2:14" ht="20.149999999999999" customHeight="1" x14ac:dyDescent="0.35">
      <c r="B29" s="305" t="s">
        <v>231</v>
      </c>
      <c r="C29" s="301" t="s">
        <v>199</v>
      </c>
      <c r="D29" s="301" t="s">
        <v>199</v>
      </c>
      <c r="E29" s="318" t="s">
        <v>199</v>
      </c>
      <c r="F29" s="301"/>
      <c r="G29" s="301"/>
      <c r="H29" s="317" t="s">
        <v>199</v>
      </c>
      <c r="I29" s="301"/>
      <c r="J29" s="301"/>
      <c r="K29" s="316" t="s">
        <v>199</v>
      </c>
    </row>
    <row r="30" spans="2:14" ht="20.149999999999999" customHeight="1" x14ac:dyDescent="0.35">
      <c r="B30" s="305" t="s">
        <v>232</v>
      </c>
      <c r="C30" s="301">
        <v>1.68</v>
      </c>
      <c r="D30" s="301">
        <v>1.7</v>
      </c>
      <c r="E30" s="318">
        <f t="shared" ref="E30" si="5">((C30-D30)/D30)*100</f>
        <v>-1.176470588235295</v>
      </c>
      <c r="F30" s="301">
        <v>0.7</v>
      </c>
      <c r="G30" s="301"/>
      <c r="H30" s="317" t="s">
        <v>199</v>
      </c>
      <c r="I30" s="301"/>
      <c r="J30" s="301"/>
      <c r="K30" s="316" t="s">
        <v>199</v>
      </c>
    </row>
    <row r="31" spans="2:14" ht="20.149999999999999" customHeight="1" x14ac:dyDescent="0.35">
      <c r="B31" s="306" t="s">
        <v>233</v>
      </c>
      <c r="C31" s="303" t="s">
        <v>199</v>
      </c>
      <c r="D31" s="303" t="s">
        <v>199</v>
      </c>
      <c r="E31" s="319" t="s">
        <v>199</v>
      </c>
      <c r="F31" s="303">
        <v>11.35</v>
      </c>
      <c r="G31" s="303"/>
      <c r="H31" s="320" t="s">
        <v>199</v>
      </c>
      <c r="I31" s="303">
        <v>9.59</v>
      </c>
      <c r="J31" s="303">
        <v>9.6109300663956212</v>
      </c>
      <c r="K31" s="321">
        <f t="shared" ref="K31" si="6">((I31-J31)/J31)*100</f>
        <v>-0.21777357915445453</v>
      </c>
    </row>
    <row r="32" spans="2:14" x14ac:dyDescent="0.35">
      <c r="H32" s="312"/>
      <c r="I32" s="297"/>
      <c r="J32" s="297"/>
    </row>
  </sheetData>
  <mergeCells count="9">
    <mergeCell ref="C8:E8"/>
    <mergeCell ref="F8:H8"/>
    <mergeCell ref="I8:K8"/>
    <mergeCell ref="C1:K1"/>
    <mergeCell ref="C2:K2"/>
    <mergeCell ref="C3:K3"/>
    <mergeCell ref="C4:K4"/>
    <mergeCell ref="C5:K5"/>
    <mergeCell ref="B6:K6"/>
  </mergeCells>
  <conditionalFormatting sqref="E10:E24">
    <cfRule type="cellIs" dxfId="22" priority="4" operator="equal">
      <formula>0</formula>
    </cfRule>
  </conditionalFormatting>
  <conditionalFormatting sqref="E10:E31">
    <cfRule type="cellIs" dxfId="21" priority="3" operator="greaterThan">
      <formula>0</formula>
    </cfRule>
  </conditionalFormatting>
  <conditionalFormatting sqref="E25:E31">
    <cfRule type="cellIs" dxfId="20" priority="8" operator="equal">
      <formula>0</formula>
    </cfRule>
    <cfRule type="cellIs" dxfId="19" priority="9" operator="lessThan">
      <formula>0</formula>
    </cfRule>
    <cfRule type="cellIs" dxfId="18" priority="10" operator="greaterThan">
      <formula>0</formula>
    </cfRule>
    <cfRule type="cellIs" dxfId="17" priority="11" operator="equal">
      <formula>0</formula>
    </cfRule>
  </conditionalFormatting>
  <conditionalFormatting sqref="H10:H31">
    <cfRule type="cellIs" dxfId="16" priority="6" operator="greaterThan">
      <formula>0</formula>
    </cfRule>
    <cfRule type="cellIs" dxfId="15" priority="7" operator="equal">
      <formula>0</formula>
    </cfRule>
  </conditionalFormatting>
  <conditionalFormatting sqref="H30:H31">
    <cfRule type="cellIs" dxfId="14" priority="5" operator="greaterThan">
      <formula>0</formula>
    </cfRule>
  </conditionalFormatting>
  <conditionalFormatting sqref="K10:K31">
    <cfRule type="cellIs" dxfId="13" priority="1" operator="greaterThan">
      <formula>0</formula>
    </cfRule>
    <cfRule type="cellIs" dxfId="12" priority="2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13">
    <tabColor theme="9" tint="0.59999389629810485"/>
  </sheetPr>
  <dimension ref="A2:P32"/>
  <sheetViews>
    <sheetView showGridLines="0" showZeros="0" zoomScale="80" zoomScaleNormal="80" workbookViewId="0">
      <selection activeCell="O9" sqref="O9"/>
    </sheetView>
  </sheetViews>
  <sheetFormatPr defaultColWidth="8.7265625" defaultRowHeight="12.5" x14ac:dyDescent="0.25"/>
  <cols>
    <col min="1" max="1" width="10.7265625" style="7" customWidth="1"/>
    <col min="2" max="2" width="5.453125" style="7" bestFit="1" customWidth="1"/>
    <col min="3" max="3" width="58.54296875" style="7" bestFit="1" customWidth="1"/>
    <col min="4" max="13" width="11.54296875" style="7" customWidth="1"/>
    <col min="14" max="16384" width="8.7265625" style="7"/>
  </cols>
  <sheetData>
    <row r="2" spans="1:16" s="33" customFormat="1" ht="25" customHeight="1" x14ac:dyDescent="0.35">
      <c r="B2" s="57"/>
      <c r="D2" s="34"/>
      <c r="H2" s="35"/>
      <c r="I2" s="36"/>
    </row>
    <row r="3" spans="1:16" customFormat="1" ht="25" customHeight="1" x14ac:dyDescent="0.25">
      <c r="A3" s="37"/>
      <c r="B3" s="38"/>
      <c r="C3" s="39"/>
      <c r="D3" s="39"/>
      <c r="E3" s="39"/>
      <c r="F3" s="39"/>
      <c r="G3" s="39"/>
      <c r="H3" s="40"/>
      <c r="I3" s="40"/>
      <c r="J3" s="40"/>
      <c r="K3" s="33"/>
      <c r="L3" s="40"/>
    </row>
    <row r="4" spans="1:16" customFormat="1" ht="25" customHeight="1" thickBot="1" x14ac:dyDescent="0.3">
      <c r="B4" s="41"/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P4" s="33"/>
    </row>
    <row r="5" spans="1:16" customFormat="1" ht="25" customHeight="1" thickTop="1" thickBot="1" x14ac:dyDescent="0.35">
      <c r="B5" s="50"/>
      <c r="C5" s="51"/>
      <c r="D5" s="52"/>
      <c r="E5" s="112"/>
      <c r="F5" s="54"/>
      <c r="G5" s="113"/>
      <c r="H5" s="54"/>
      <c r="I5" s="55"/>
      <c r="J5" s="33"/>
      <c r="K5" s="56"/>
      <c r="L5" s="40"/>
      <c r="O5" s="33"/>
    </row>
    <row r="6" spans="1:16" ht="20.149999999999999" customHeight="1" x14ac:dyDescent="0.3">
      <c r="B6" s="201"/>
      <c r="C6" s="198"/>
      <c r="D6" s="194" t="s">
        <v>126</v>
      </c>
      <c r="E6" s="194"/>
      <c r="F6" s="194"/>
      <c r="G6" s="195"/>
      <c r="H6" s="194" t="s">
        <v>127</v>
      </c>
      <c r="I6" s="194"/>
      <c r="J6" s="194"/>
      <c r="K6" s="195"/>
      <c r="L6" s="194" t="s">
        <v>128</v>
      </c>
      <c r="M6" s="205"/>
    </row>
    <row r="7" spans="1:16" ht="20.149999999999999" customHeight="1" x14ac:dyDescent="0.35">
      <c r="B7" s="202" t="s">
        <v>129</v>
      </c>
      <c r="C7" s="199" t="s">
        <v>130</v>
      </c>
      <c r="D7" s="196" t="s">
        <v>108</v>
      </c>
      <c r="E7" s="196"/>
      <c r="F7" s="196" t="s">
        <v>131</v>
      </c>
      <c r="G7" s="197"/>
      <c r="H7" s="196" t="s">
        <v>108</v>
      </c>
      <c r="I7" s="196"/>
      <c r="J7" s="196" t="s">
        <v>131</v>
      </c>
      <c r="K7" s="197"/>
      <c r="L7" s="196" t="s">
        <v>108</v>
      </c>
      <c r="M7" s="206"/>
    </row>
    <row r="8" spans="1:16" ht="20.149999999999999" customHeight="1" thickBot="1" x14ac:dyDescent="0.4">
      <c r="B8" s="203"/>
      <c r="C8" s="200"/>
      <c r="D8" s="405" t="s">
        <v>345</v>
      </c>
      <c r="E8" s="406" t="s">
        <v>346</v>
      </c>
      <c r="F8" s="405" t="s">
        <v>345</v>
      </c>
      <c r="G8" s="406" t="s">
        <v>346</v>
      </c>
      <c r="H8" s="405" t="s">
        <v>345</v>
      </c>
      <c r="I8" s="406" t="s">
        <v>346</v>
      </c>
      <c r="J8" s="405" t="s">
        <v>345</v>
      </c>
      <c r="K8" s="406" t="s">
        <v>346</v>
      </c>
      <c r="L8" s="405" t="s">
        <v>345</v>
      </c>
      <c r="M8" s="407" t="s">
        <v>346</v>
      </c>
    </row>
    <row r="9" spans="1:16" ht="20.149999999999999" customHeight="1" x14ac:dyDescent="0.35">
      <c r="B9" s="204" t="s">
        <v>132</v>
      </c>
      <c r="C9" s="190" t="s">
        <v>133</v>
      </c>
      <c r="D9" s="191">
        <v>46460.788</v>
      </c>
      <c r="E9" s="192">
        <v>47534.142</v>
      </c>
      <c r="F9" s="191">
        <v>119743.264</v>
      </c>
      <c r="G9" s="193">
        <v>160663.391</v>
      </c>
      <c r="H9" s="191">
        <v>63341.137999999999</v>
      </c>
      <c r="I9" s="192">
        <v>68038.956000000006</v>
      </c>
      <c r="J9" s="191">
        <v>157064.05100000001</v>
      </c>
      <c r="K9" s="193">
        <v>179710.182</v>
      </c>
      <c r="L9" s="191">
        <v>-16880.349999999999</v>
      </c>
      <c r="M9" s="207">
        <v>-20504.814000000006</v>
      </c>
    </row>
    <row r="10" spans="1:16" ht="20.149999999999999" customHeight="1" x14ac:dyDescent="0.35">
      <c r="B10" s="204" t="s">
        <v>134</v>
      </c>
      <c r="C10" s="190" t="s">
        <v>135</v>
      </c>
      <c r="D10" s="191">
        <v>118770.49</v>
      </c>
      <c r="E10" s="192">
        <v>127718.806</v>
      </c>
      <c r="F10" s="191">
        <v>78265.073000000004</v>
      </c>
      <c r="G10" s="193">
        <v>80423.129000000001</v>
      </c>
      <c r="H10" s="191">
        <v>420922.978</v>
      </c>
      <c r="I10" s="192">
        <v>440881.68</v>
      </c>
      <c r="J10" s="191">
        <v>246260.81200000001</v>
      </c>
      <c r="K10" s="193">
        <v>237223.77299999999</v>
      </c>
      <c r="L10" s="191">
        <v>-302152.48800000001</v>
      </c>
      <c r="M10" s="207">
        <v>-313162.87400000001</v>
      </c>
    </row>
    <row r="11" spans="1:16" ht="20.149999999999999" customHeight="1" x14ac:dyDescent="0.35">
      <c r="B11" s="204" t="s">
        <v>136</v>
      </c>
      <c r="C11" s="190" t="s">
        <v>137</v>
      </c>
      <c r="D11" s="191">
        <v>129088.629</v>
      </c>
      <c r="E11" s="192">
        <v>114533.353</v>
      </c>
      <c r="F11" s="191">
        <v>170182.022</v>
      </c>
      <c r="G11" s="193">
        <v>161761.06</v>
      </c>
      <c r="H11" s="191">
        <v>102974.431</v>
      </c>
      <c r="I11" s="192">
        <v>90718.876000000004</v>
      </c>
      <c r="J11" s="191">
        <v>228146.948</v>
      </c>
      <c r="K11" s="193">
        <v>178305.02499999999</v>
      </c>
      <c r="L11" s="191">
        <v>26114.198000000004</v>
      </c>
      <c r="M11" s="207">
        <v>23814.476999999999</v>
      </c>
    </row>
    <row r="12" spans="1:16" ht="20.149999999999999" customHeight="1" x14ac:dyDescent="0.35">
      <c r="B12" s="204" t="s">
        <v>138</v>
      </c>
      <c r="C12" s="190" t="s">
        <v>139</v>
      </c>
      <c r="D12" s="191">
        <v>78418.27</v>
      </c>
      <c r="E12" s="192">
        <v>72408.865999999995</v>
      </c>
      <c r="F12" s="191">
        <v>103773.701</v>
      </c>
      <c r="G12" s="193">
        <v>93572.298999999999</v>
      </c>
      <c r="H12" s="191">
        <v>91457.972999999998</v>
      </c>
      <c r="I12" s="192">
        <v>96192.434999999998</v>
      </c>
      <c r="J12" s="191">
        <v>85863.154999999999</v>
      </c>
      <c r="K12" s="193">
        <v>87124.956999999995</v>
      </c>
      <c r="L12" s="191">
        <v>-13039.702999999994</v>
      </c>
      <c r="M12" s="207">
        <v>-23783.569000000003</v>
      </c>
    </row>
    <row r="13" spans="1:16" ht="20.149999999999999" customHeight="1" x14ac:dyDescent="0.35">
      <c r="B13" s="204" t="s">
        <v>140</v>
      </c>
      <c r="C13" s="190" t="s">
        <v>141</v>
      </c>
      <c r="D13" s="191">
        <v>32269.805</v>
      </c>
      <c r="E13" s="192">
        <v>32275.544999999998</v>
      </c>
      <c r="F13" s="191">
        <v>26063.481</v>
      </c>
      <c r="G13" s="193">
        <v>24667.471000000001</v>
      </c>
      <c r="H13" s="191">
        <v>97087.925000000003</v>
      </c>
      <c r="I13" s="192">
        <v>103169.859</v>
      </c>
      <c r="J13" s="191">
        <v>73073.850999999995</v>
      </c>
      <c r="K13" s="193">
        <v>79840.870999999999</v>
      </c>
      <c r="L13" s="191">
        <v>-64818.12</v>
      </c>
      <c r="M13" s="207">
        <v>-70894.313999999998</v>
      </c>
    </row>
    <row r="14" spans="1:16" ht="20.149999999999999" customHeight="1" x14ac:dyDescent="0.35">
      <c r="B14" s="204" t="s">
        <v>142</v>
      </c>
      <c r="C14" s="190" t="s">
        <v>143</v>
      </c>
      <c r="D14" s="191">
        <v>42404.232000000004</v>
      </c>
      <c r="E14" s="192">
        <v>40859.998</v>
      </c>
      <c r="F14" s="191">
        <v>64597.357000000004</v>
      </c>
      <c r="G14" s="193">
        <v>83701.752999999997</v>
      </c>
      <c r="H14" s="191">
        <v>78545.05</v>
      </c>
      <c r="I14" s="192">
        <v>77346.816999999995</v>
      </c>
      <c r="J14" s="191">
        <v>96386.331999999995</v>
      </c>
      <c r="K14" s="193">
        <v>108823.432</v>
      </c>
      <c r="L14" s="191">
        <v>-36140.817999999999</v>
      </c>
      <c r="M14" s="207">
        <v>-36486.818999999996</v>
      </c>
    </row>
    <row r="15" spans="1:16" ht="20.149999999999999" customHeight="1" x14ac:dyDescent="0.35">
      <c r="B15" s="204" t="s">
        <v>144</v>
      </c>
      <c r="C15" s="190" t="s">
        <v>145</v>
      </c>
      <c r="D15" s="191">
        <v>25426.210999999999</v>
      </c>
      <c r="E15" s="192">
        <v>28415.475999999999</v>
      </c>
      <c r="F15" s="191">
        <v>19346.303</v>
      </c>
      <c r="G15" s="193">
        <v>20608.521000000001</v>
      </c>
      <c r="H15" s="191">
        <v>121899.38800000001</v>
      </c>
      <c r="I15" s="192">
        <v>141998.663</v>
      </c>
      <c r="J15" s="191">
        <v>106985.876</v>
      </c>
      <c r="K15" s="193">
        <v>109228.174</v>
      </c>
      <c r="L15" s="191">
        <v>-96473.177000000011</v>
      </c>
      <c r="M15" s="207">
        <v>-113583.18700000001</v>
      </c>
    </row>
    <row r="16" spans="1:16" ht="20.149999999999999" customHeight="1" x14ac:dyDescent="0.35">
      <c r="B16" s="204" t="s">
        <v>146</v>
      </c>
      <c r="C16" s="190" t="s">
        <v>147</v>
      </c>
      <c r="D16" s="191">
        <v>15052.011</v>
      </c>
      <c r="E16" s="192">
        <v>13872.72</v>
      </c>
      <c r="F16" s="191">
        <v>27324.965</v>
      </c>
      <c r="G16" s="193">
        <v>32373.875</v>
      </c>
      <c r="H16" s="191">
        <v>4006.4229999999998</v>
      </c>
      <c r="I16" s="192">
        <v>4059.8829999999998</v>
      </c>
      <c r="J16" s="191">
        <v>4157.3310000000001</v>
      </c>
      <c r="K16" s="193">
        <v>3804.6979999999999</v>
      </c>
      <c r="L16" s="191">
        <v>11045.588</v>
      </c>
      <c r="M16" s="207">
        <v>9812.8369999999995</v>
      </c>
    </row>
    <row r="17" spans="2:13" ht="20.149999999999999" customHeight="1" x14ac:dyDescent="0.35">
      <c r="B17" s="204" t="s">
        <v>171</v>
      </c>
      <c r="C17" s="190" t="s">
        <v>172</v>
      </c>
      <c r="D17" s="191">
        <v>681523.48100000003</v>
      </c>
      <c r="E17" s="192">
        <v>670939.82299999997</v>
      </c>
      <c r="F17" s="191">
        <v>323321.08799999999</v>
      </c>
      <c r="G17" s="193">
        <v>310841.701</v>
      </c>
      <c r="H17" s="191">
        <v>345498.75699999998</v>
      </c>
      <c r="I17" s="192">
        <v>384711.158</v>
      </c>
      <c r="J17" s="191">
        <v>168142.902</v>
      </c>
      <c r="K17" s="193">
        <v>182179.815</v>
      </c>
      <c r="L17" s="191">
        <v>336024.72400000005</v>
      </c>
      <c r="M17" s="207">
        <v>286228.66499999998</v>
      </c>
    </row>
    <row r="18" spans="2:13" ht="20.149999999999999" customHeight="1" x14ac:dyDescent="0.35">
      <c r="B18" s="204" t="s">
        <v>173</v>
      </c>
      <c r="C18" s="190" t="s">
        <v>174</v>
      </c>
      <c r="D18" s="191">
        <v>432572.37300000002</v>
      </c>
      <c r="E18" s="192">
        <v>415272.97600000002</v>
      </c>
      <c r="F18" s="191">
        <v>407308.91200000001</v>
      </c>
      <c r="G18" s="193">
        <v>396677.50900000002</v>
      </c>
      <c r="H18" s="191">
        <v>78589.331000000006</v>
      </c>
      <c r="I18" s="192">
        <v>92194.668000000005</v>
      </c>
      <c r="J18" s="191">
        <v>68252.736999999994</v>
      </c>
      <c r="K18" s="193">
        <v>78001.767000000007</v>
      </c>
      <c r="L18" s="191">
        <v>353983.04200000002</v>
      </c>
      <c r="M18" s="207">
        <v>323078.30800000002</v>
      </c>
    </row>
    <row r="19" spans="2:13" ht="20.149999999999999" customHeight="1" x14ac:dyDescent="0.35">
      <c r="B19" s="204" t="s">
        <v>175</v>
      </c>
      <c r="C19" s="190" t="s">
        <v>176</v>
      </c>
      <c r="D19" s="191">
        <v>16368.888000000001</v>
      </c>
      <c r="E19" s="192">
        <v>16323.561</v>
      </c>
      <c r="F19" s="191">
        <v>8776.6550000000007</v>
      </c>
      <c r="G19" s="193">
        <v>8581.7330000000002</v>
      </c>
      <c r="H19" s="191">
        <v>36676.991000000002</v>
      </c>
      <c r="I19" s="192">
        <v>42908.572</v>
      </c>
      <c r="J19" s="191">
        <v>18377.683000000001</v>
      </c>
      <c r="K19" s="193">
        <v>23606.868999999999</v>
      </c>
      <c r="L19" s="191">
        <v>-20308.103000000003</v>
      </c>
      <c r="M19" s="207">
        <v>-26585.010999999999</v>
      </c>
    </row>
    <row r="20" spans="2:13" ht="20.149999999999999" customHeight="1" x14ac:dyDescent="0.35">
      <c r="B20" s="204" t="s">
        <v>177</v>
      </c>
      <c r="C20" s="190" t="s">
        <v>178</v>
      </c>
      <c r="D20" s="191">
        <v>110353.245</v>
      </c>
      <c r="E20" s="192">
        <v>110838.95600000001</v>
      </c>
      <c r="F20" s="191">
        <v>45331.324000000001</v>
      </c>
      <c r="G20" s="193">
        <v>33558.360999999997</v>
      </c>
      <c r="H20" s="191">
        <v>71873.123999999996</v>
      </c>
      <c r="I20" s="192">
        <v>66246.777000000002</v>
      </c>
      <c r="J20" s="191">
        <v>22262.13</v>
      </c>
      <c r="K20" s="193">
        <v>21623.151000000002</v>
      </c>
      <c r="L20" s="191">
        <v>38480.120999999999</v>
      </c>
      <c r="M20" s="207">
        <v>44592.179000000004</v>
      </c>
    </row>
    <row r="21" spans="2:13" ht="20.149999999999999" customHeight="1" x14ac:dyDescent="0.35">
      <c r="B21" s="204" t="s">
        <v>179</v>
      </c>
      <c r="C21" s="190" t="s">
        <v>180</v>
      </c>
      <c r="D21" s="191">
        <v>55082.137999999999</v>
      </c>
      <c r="E21" s="192">
        <v>63847.167999999998</v>
      </c>
      <c r="F21" s="191">
        <v>59904.607000000004</v>
      </c>
      <c r="G21" s="193">
        <v>78259.262000000002</v>
      </c>
      <c r="H21" s="191">
        <v>39170.148999999998</v>
      </c>
      <c r="I21" s="192">
        <v>46729.093999999997</v>
      </c>
      <c r="J21" s="191">
        <v>37214.813999999998</v>
      </c>
      <c r="K21" s="193">
        <v>41273.748</v>
      </c>
      <c r="L21" s="191">
        <v>15911.989000000001</v>
      </c>
      <c r="M21" s="207">
        <v>17118.074000000001</v>
      </c>
    </row>
    <row r="22" spans="2:13" ht="20.149999999999999" customHeight="1" x14ac:dyDescent="0.35">
      <c r="B22" s="204" t="s">
        <v>181</v>
      </c>
      <c r="C22" s="190" t="s">
        <v>182</v>
      </c>
      <c r="D22" s="191">
        <v>2955.1080000000002</v>
      </c>
      <c r="E22" s="192">
        <v>1969.1669999999999</v>
      </c>
      <c r="F22" s="191">
        <v>5231.6530000000002</v>
      </c>
      <c r="G22" s="193">
        <v>4628.6689999999999</v>
      </c>
      <c r="H22" s="191">
        <v>15694.460999999999</v>
      </c>
      <c r="I22" s="192">
        <v>18064.044000000002</v>
      </c>
      <c r="J22" s="191">
        <v>13292.862999999999</v>
      </c>
      <c r="K22" s="193">
        <v>13692.714</v>
      </c>
      <c r="L22" s="191">
        <v>-12739.352999999999</v>
      </c>
      <c r="M22" s="207">
        <v>-16094.877000000002</v>
      </c>
    </row>
    <row r="23" spans="2:13" ht="20.149999999999999" customHeight="1" x14ac:dyDescent="0.35">
      <c r="B23" s="204" t="s">
        <v>183</v>
      </c>
      <c r="C23" s="190" t="s">
        <v>184</v>
      </c>
      <c r="D23" s="191">
        <v>7851.5829999999996</v>
      </c>
      <c r="E23" s="192">
        <v>7143.3630000000003</v>
      </c>
      <c r="F23" s="191">
        <v>2318.8670000000002</v>
      </c>
      <c r="G23" s="193">
        <v>1537.518</v>
      </c>
      <c r="H23" s="191">
        <v>110115.17</v>
      </c>
      <c r="I23" s="192">
        <v>131974.163</v>
      </c>
      <c r="J23" s="191">
        <v>25099.96</v>
      </c>
      <c r="K23" s="193">
        <v>25363.728999999999</v>
      </c>
      <c r="L23" s="191">
        <v>-102263.587</v>
      </c>
      <c r="M23" s="207">
        <v>-124830.8</v>
      </c>
    </row>
    <row r="24" spans="2:13" ht="20.149999999999999" customHeight="1" x14ac:dyDescent="0.35">
      <c r="B24" s="204" t="s">
        <v>185</v>
      </c>
      <c r="C24" s="190" t="s">
        <v>186</v>
      </c>
      <c r="D24" s="191">
        <v>15313.968000000001</v>
      </c>
      <c r="E24" s="192">
        <v>25671.537</v>
      </c>
      <c r="F24" s="191">
        <v>3571.24</v>
      </c>
      <c r="G24" s="193">
        <v>3957.0929999999998</v>
      </c>
      <c r="H24" s="191">
        <v>245253.53700000001</v>
      </c>
      <c r="I24" s="192">
        <v>382864.16200000001</v>
      </c>
      <c r="J24" s="191">
        <v>35186.319000000003</v>
      </c>
      <c r="K24" s="193">
        <v>45446.811999999998</v>
      </c>
      <c r="L24" s="191">
        <v>-229939.56900000002</v>
      </c>
      <c r="M24" s="207">
        <v>-357192.625</v>
      </c>
    </row>
    <row r="25" spans="2:13" ht="20.149999999999999" customHeight="1" x14ac:dyDescent="0.35">
      <c r="B25" s="204" t="s">
        <v>148</v>
      </c>
      <c r="C25" s="190" t="s">
        <v>27</v>
      </c>
      <c r="D25" s="191">
        <v>39439.760999999999</v>
      </c>
      <c r="E25" s="192">
        <v>41341.321000000004</v>
      </c>
      <c r="F25" s="191">
        <v>42826.396000000001</v>
      </c>
      <c r="G25" s="193">
        <v>43041.178</v>
      </c>
      <c r="H25" s="191">
        <v>358825.07500000001</v>
      </c>
      <c r="I25" s="192">
        <v>358529.70500000002</v>
      </c>
      <c r="J25" s="191">
        <v>520864.96899999998</v>
      </c>
      <c r="K25" s="193">
        <v>496169.03899999999</v>
      </c>
      <c r="L25" s="191">
        <v>-319385.31400000001</v>
      </c>
      <c r="M25" s="207">
        <v>-317188.38400000002</v>
      </c>
    </row>
    <row r="26" spans="2:13" ht="20.149999999999999" customHeight="1" x14ac:dyDescent="0.35">
      <c r="B26" s="204" t="s">
        <v>162</v>
      </c>
      <c r="C26" s="190" t="s">
        <v>163</v>
      </c>
      <c r="D26" s="191">
        <v>25378.289000000001</v>
      </c>
      <c r="E26" s="192">
        <v>34319.896000000001</v>
      </c>
      <c r="F26" s="191">
        <v>11064.236000000001</v>
      </c>
      <c r="G26" s="193">
        <v>14672.114</v>
      </c>
      <c r="H26" s="191">
        <v>209006.728</v>
      </c>
      <c r="I26" s="192">
        <v>228684.935</v>
      </c>
      <c r="J26" s="191">
        <v>85670.934999999998</v>
      </c>
      <c r="K26" s="193">
        <v>97641.572</v>
      </c>
      <c r="L26" s="191">
        <v>-183628.43900000001</v>
      </c>
      <c r="M26" s="207">
        <v>-194365.03899999999</v>
      </c>
    </row>
    <row r="27" spans="2:13" ht="20.149999999999999" customHeight="1" x14ac:dyDescent="0.35">
      <c r="B27" s="204" t="s">
        <v>149</v>
      </c>
      <c r="C27" s="190" t="s">
        <v>150</v>
      </c>
      <c r="D27" s="191">
        <v>32473.885999999999</v>
      </c>
      <c r="E27" s="192">
        <v>37089.072</v>
      </c>
      <c r="F27" s="191">
        <v>32746.687000000002</v>
      </c>
      <c r="G27" s="193">
        <v>36387.131000000001</v>
      </c>
      <c r="H27" s="191">
        <v>528723.62199999997</v>
      </c>
      <c r="I27" s="192">
        <v>565251.22400000005</v>
      </c>
      <c r="J27" s="191">
        <v>517739.52600000001</v>
      </c>
      <c r="K27" s="193">
        <v>492664.90500000003</v>
      </c>
      <c r="L27" s="191">
        <v>-496249.73599999998</v>
      </c>
      <c r="M27" s="207">
        <v>-528162.152</v>
      </c>
    </row>
    <row r="28" spans="2:13" ht="20.149999999999999" customHeight="1" x14ac:dyDescent="0.35">
      <c r="B28" s="204" t="s">
        <v>151</v>
      </c>
      <c r="C28" s="190" t="s">
        <v>152</v>
      </c>
      <c r="D28" s="191">
        <v>8341.9689999999991</v>
      </c>
      <c r="E28" s="192">
        <v>9850.9439999999995</v>
      </c>
      <c r="F28" s="191">
        <v>4305.21</v>
      </c>
      <c r="G28" s="193">
        <v>4062.34</v>
      </c>
      <c r="H28" s="191">
        <v>285879.58100000001</v>
      </c>
      <c r="I28" s="192">
        <v>305314.12</v>
      </c>
      <c r="J28" s="191">
        <v>139383.43100000001</v>
      </c>
      <c r="K28" s="193">
        <v>153358.81400000001</v>
      </c>
      <c r="L28" s="191">
        <v>-277537.61200000002</v>
      </c>
      <c r="M28" s="207">
        <v>-295463.17599999998</v>
      </c>
    </row>
    <row r="29" spans="2:13" ht="20.149999999999999" customHeight="1" x14ac:dyDescent="0.35">
      <c r="B29" s="204" t="s">
        <v>153</v>
      </c>
      <c r="C29" s="190" t="s">
        <v>154</v>
      </c>
      <c r="D29" s="191">
        <v>2835.806</v>
      </c>
      <c r="E29" s="192">
        <v>2998.3380000000002</v>
      </c>
      <c r="F29" s="191">
        <v>3636.6849999999999</v>
      </c>
      <c r="G29" s="193">
        <v>4519.5330000000004</v>
      </c>
      <c r="H29" s="191">
        <v>144339.302</v>
      </c>
      <c r="I29" s="192">
        <v>142134.19</v>
      </c>
      <c r="J29" s="191">
        <v>223717.34599999999</v>
      </c>
      <c r="K29" s="193">
        <v>224839.50099999999</v>
      </c>
      <c r="L29" s="191">
        <v>-141503.49599999998</v>
      </c>
      <c r="M29" s="207">
        <v>-139135.85200000001</v>
      </c>
    </row>
    <row r="30" spans="2:13" ht="20.149999999999999" customHeight="1" x14ac:dyDescent="0.35">
      <c r="B30" s="204" t="s">
        <v>155</v>
      </c>
      <c r="C30" s="190" t="s">
        <v>156</v>
      </c>
      <c r="D30" s="191">
        <v>524745.56299999997</v>
      </c>
      <c r="E30" s="192">
        <v>530111.89899999998</v>
      </c>
      <c r="F30" s="191">
        <v>900138.34100000001</v>
      </c>
      <c r="G30" s="193">
        <v>789208.52500000002</v>
      </c>
      <c r="H30" s="191">
        <v>43104.131000000001</v>
      </c>
      <c r="I30" s="192">
        <v>57694.887000000002</v>
      </c>
      <c r="J30" s="191">
        <v>36921.964</v>
      </c>
      <c r="K30" s="193">
        <v>45733.737000000001</v>
      </c>
      <c r="L30" s="191">
        <v>481641.43199999997</v>
      </c>
      <c r="M30" s="207">
        <v>472417.01199999999</v>
      </c>
    </row>
    <row r="31" spans="2:13" ht="20.149999999999999" customHeight="1" x14ac:dyDescent="0.35">
      <c r="B31" s="204" t="s">
        <v>157</v>
      </c>
      <c r="C31" s="190" t="s">
        <v>158</v>
      </c>
      <c r="D31" s="191">
        <v>24011.463</v>
      </c>
      <c r="E31" s="192">
        <v>27182.379000000001</v>
      </c>
      <c r="F31" s="191">
        <v>22161.883000000002</v>
      </c>
      <c r="G31" s="193">
        <v>18836.449000000001</v>
      </c>
      <c r="H31" s="191">
        <v>219973.75899999999</v>
      </c>
      <c r="I31" s="192">
        <v>216723.535</v>
      </c>
      <c r="J31" s="191">
        <v>149121.49</v>
      </c>
      <c r="K31" s="193">
        <v>117018.872</v>
      </c>
      <c r="L31" s="191">
        <v>-195962.296</v>
      </c>
      <c r="M31" s="207">
        <v>-189541.15600000002</v>
      </c>
    </row>
    <row r="32" spans="2:13" ht="20.149999999999999" customHeight="1" x14ac:dyDescent="0.35">
      <c r="B32" s="204" t="s">
        <v>164</v>
      </c>
      <c r="C32" s="190" t="s">
        <v>165</v>
      </c>
      <c r="D32" s="191">
        <v>292567.88199999998</v>
      </c>
      <c r="E32" s="192">
        <v>281130.08199999999</v>
      </c>
      <c r="F32" s="191">
        <v>70540.002999999997</v>
      </c>
      <c r="G32" s="193">
        <v>65970.394</v>
      </c>
      <c r="H32" s="191">
        <v>423150.09700000001</v>
      </c>
      <c r="I32" s="192">
        <v>516564.96399999998</v>
      </c>
      <c r="J32" s="191">
        <v>109894.761</v>
      </c>
      <c r="K32" s="193">
        <v>124926.08199999999</v>
      </c>
      <c r="L32" s="191">
        <v>-130582.21500000003</v>
      </c>
      <c r="M32" s="207">
        <v>-235434.88199999998</v>
      </c>
    </row>
  </sheetData>
  <printOptions horizontalCentered="1"/>
  <pageMargins left="0.196850393700787" right="0.196850393700787" top="0.74173228346456999" bottom="0.511811023622047" header="0.196850393700787" footer="0.23622047244094502"/>
  <pageSetup paperSize="9" scale="90" orientation="landscape" r:id="rId1"/>
  <headerFooter alignWithMargins="0">
    <oddHeader>&amp;L&amp;"Times New Roman CE,Pogrubiona kursywa"&amp;12DRE&amp;C
&amp;8
&amp;"Times New Roman CE,Pogrubiona"&amp;14Polski handel zagraniczny towarami rolno-spożywczymi w okresie I-XI 2025 r. - dane wstępne (UE + kraje trzecie).</oddHeader>
    <oddFooter>&amp;L&amp;"Times New Roman CE,Pogrubiona kursywa"&amp;12 Źródło: Min. Finansów&amp;CStrona &amp;P&amp;R&amp;"Times New Roman CE,Pogrubiona kursywa"&amp;12Przygotował: Adam Pachnicki</oddFooter>
  </headerFooter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13">
    <tabColor theme="9" tint="0.39997558519241921"/>
  </sheetPr>
  <dimension ref="A1:P31"/>
  <sheetViews>
    <sheetView showGridLines="0" showZeros="0" zoomScale="85" zoomScaleNormal="85" workbookViewId="0">
      <selection activeCell="N8" sqref="N8"/>
    </sheetView>
  </sheetViews>
  <sheetFormatPr defaultColWidth="9.1796875" defaultRowHeight="12.5" x14ac:dyDescent="0.25"/>
  <cols>
    <col min="1" max="1" width="10.7265625" style="7" customWidth="1"/>
    <col min="2" max="2" width="5.7265625" style="7" customWidth="1"/>
    <col min="3" max="3" width="60.7265625" style="7" customWidth="1"/>
    <col min="4" max="13" width="10.7265625" style="7" customWidth="1"/>
    <col min="14" max="16384" width="9.1796875" style="7"/>
  </cols>
  <sheetData>
    <row r="1" spans="1:16" s="33" customFormat="1" ht="25" customHeight="1" x14ac:dyDescent="0.35">
      <c r="B1" s="57"/>
      <c r="D1" s="34"/>
      <c r="H1" s="35"/>
      <c r="I1" s="36"/>
    </row>
    <row r="2" spans="1:16" customFormat="1" ht="25" customHeight="1" x14ac:dyDescent="0.25">
      <c r="A2" s="37"/>
      <c r="B2" s="38"/>
      <c r="C2" s="39"/>
      <c r="D2" s="39"/>
      <c r="E2" s="39"/>
      <c r="F2" s="39"/>
      <c r="G2" s="39"/>
      <c r="H2" s="40"/>
      <c r="I2" s="40"/>
      <c r="J2" s="40"/>
      <c r="K2" s="33"/>
      <c r="L2" s="40"/>
    </row>
    <row r="3" spans="1:16" customFormat="1" ht="25" customHeight="1" thickBot="1" x14ac:dyDescent="0.3">
      <c r="B3" s="41"/>
      <c r="C3" s="49"/>
      <c r="D3" s="49"/>
      <c r="E3" s="49"/>
      <c r="F3" s="49"/>
      <c r="G3" s="49"/>
      <c r="H3" s="49"/>
      <c r="I3" s="49"/>
      <c r="J3" s="49"/>
      <c r="K3" s="49"/>
      <c r="L3" s="49"/>
      <c r="M3" s="49"/>
      <c r="P3" s="33"/>
    </row>
    <row r="4" spans="1:16" customFormat="1" ht="25" customHeight="1" thickTop="1" thickBot="1" x14ac:dyDescent="0.35">
      <c r="B4" s="50"/>
      <c r="C4" s="51"/>
      <c r="D4" s="52"/>
      <c r="E4" s="112"/>
      <c r="F4" s="54"/>
      <c r="G4" s="113"/>
      <c r="H4" s="54"/>
      <c r="I4" s="55"/>
      <c r="J4" s="33"/>
      <c r="K4" s="56"/>
      <c r="L4" s="40"/>
      <c r="O4" s="33"/>
    </row>
    <row r="5" spans="1:16" ht="20.149999999999999" customHeight="1" x14ac:dyDescent="0.3">
      <c r="B5" s="201"/>
      <c r="C5" s="198"/>
      <c r="D5" s="194" t="s">
        <v>126</v>
      </c>
      <c r="E5" s="194"/>
      <c r="F5" s="194"/>
      <c r="G5" s="195"/>
      <c r="H5" s="194" t="s">
        <v>127</v>
      </c>
      <c r="I5" s="194"/>
      <c r="J5" s="194"/>
      <c r="K5" s="195"/>
      <c r="L5" s="194" t="s">
        <v>128</v>
      </c>
      <c r="M5" s="205"/>
    </row>
    <row r="6" spans="1:16" ht="20.149999999999999" customHeight="1" x14ac:dyDescent="0.35">
      <c r="B6" s="202" t="s">
        <v>129</v>
      </c>
      <c r="C6" s="199" t="s">
        <v>130</v>
      </c>
      <c r="D6" s="196" t="s">
        <v>108</v>
      </c>
      <c r="E6" s="196"/>
      <c r="F6" s="196" t="s">
        <v>131</v>
      </c>
      <c r="G6" s="197"/>
      <c r="H6" s="196" t="s">
        <v>108</v>
      </c>
      <c r="I6" s="196"/>
      <c r="J6" s="196" t="s">
        <v>131</v>
      </c>
      <c r="K6" s="197"/>
      <c r="L6" s="196" t="s">
        <v>108</v>
      </c>
      <c r="M6" s="206"/>
    </row>
    <row r="7" spans="1:16" ht="20.149999999999999" customHeight="1" thickBot="1" x14ac:dyDescent="0.4">
      <c r="B7" s="203"/>
      <c r="C7" s="200"/>
      <c r="D7" s="405" t="s">
        <v>458</v>
      </c>
      <c r="E7" s="406" t="s">
        <v>459</v>
      </c>
      <c r="F7" s="405" t="s">
        <v>458</v>
      </c>
      <c r="G7" s="406" t="s">
        <v>459</v>
      </c>
      <c r="H7" s="405" t="s">
        <v>458</v>
      </c>
      <c r="I7" s="406" t="s">
        <v>459</v>
      </c>
      <c r="J7" s="405" t="s">
        <v>458</v>
      </c>
      <c r="K7" s="406" t="s">
        <v>459</v>
      </c>
      <c r="L7" s="405" t="s">
        <v>458</v>
      </c>
      <c r="M7" s="407" t="s">
        <v>459</v>
      </c>
    </row>
    <row r="8" spans="1:16" ht="20.149999999999999" customHeight="1" x14ac:dyDescent="0.35">
      <c r="B8" s="204" t="s">
        <v>132</v>
      </c>
      <c r="C8" s="190" t="s">
        <v>133</v>
      </c>
      <c r="D8" s="191">
        <v>29466.344000000001</v>
      </c>
      <c r="E8" s="192">
        <v>10021.329</v>
      </c>
      <c r="F8" s="191">
        <v>87310.648000000001</v>
      </c>
      <c r="G8" s="193">
        <v>41806.624000000003</v>
      </c>
      <c r="H8" s="191">
        <v>52155.928</v>
      </c>
      <c r="I8" s="192">
        <v>25657.319</v>
      </c>
      <c r="J8" s="191">
        <v>125244.39</v>
      </c>
      <c r="K8" s="193">
        <v>62393.499000000003</v>
      </c>
      <c r="L8" s="191">
        <v>-22689.583999999999</v>
      </c>
      <c r="M8" s="207">
        <v>-15635.99</v>
      </c>
    </row>
    <row r="9" spans="1:16" ht="20.149999999999999" customHeight="1" x14ac:dyDescent="0.35">
      <c r="B9" s="204" t="s">
        <v>134</v>
      </c>
      <c r="C9" s="190" t="s">
        <v>135</v>
      </c>
      <c r="D9" s="191">
        <v>54172.436999999998</v>
      </c>
      <c r="E9" s="192">
        <v>54434.862000000001</v>
      </c>
      <c r="F9" s="191">
        <v>25256.617999999999</v>
      </c>
      <c r="G9" s="193">
        <v>25876.714</v>
      </c>
      <c r="H9" s="191">
        <v>248174.367</v>
      </c>
      <c r="I9" s="192">
        <v>286410.962</v>
      </c>
      <c r="J9" s="191">
        <v>127578.546</v>
      </c>
      <c r="K9" s="193">
        <v>119409.107</v>
      </c>
      <c r="L9" s="191">
        <v>-194001.93</v>
      </c>
      <c r="M9" s="207">
        <v>-231976.1</v>
      </c>
    </row>
    <row r="10" spans="1:16" ht="20.149999999999999" customHeight="1" x14ac:dyDescent="0.35">
      <c r="B10" s="204" t="s">
        <v>136</v>
      </c>
      <c r="C10" s="190" t="s">
        <v>137</v>
      </c>
      <c r="D10" s="191">
        <v>50280.281999999999</v>
      </c>
      <c r="E10" s="192">
        <v>46711.957999999999</v>
      </c>
      <c r="F10" s="191">
        <v>70977.051000000007</v>
      </c>
      <c r="G10" s="193">
        <v>75666.960000000006</v>
      </c>
      <c r="H10" s="191">
        <v>50831.951999999997</v>
      </c>
      <c r="I10" s="192">
        <v>34821.055</v>
      </c>
      <c r="J10" s="191">
        <v>96648.627999999997</v>
      </c>
      <c r="K10" s="193">
        <v>74014.676999999996</v>
      </c>
      <c r="L10" s="191">
        <v>-551.66999999999825</v>
      </c>
      <c r="M10" s="207">
        <v>11890.902999999998</v>
      </c>
    </row>
    <row r="11" spans="1:16" ht="20.149999999999999" customHeight="1" x14ac:dyDescent="0.35">
      <c r="B11" s="204" t="s">
        <v>138</v>
      </c>
      <c r="C11" s="190" t="s">
        <v>139</v>
      </c>
      <c r="D11" s="191">
        <v>33380.097999999998</v>
      </c>
      <c r="E11" s="192">
        <v>21127.97</v>
      </c>
      <c r="F11" s="191">
        <v>42994.561000000002</v>
      </c>
      <c r="G11" s="193">
        <v>29323.576000000001</v>
      </c>
      <c r="H11" s="191">
        <v>75518.599000000002</v>
      </c>
      <c r="I11" s="192">
        <v>73257.069000000003</v>
      </c>
      <c r="J11" s="191">
        <v>68832.150999999998</v>
      </c>
      <c r="K11" s="193">
        <v>62068.067000000003</v>
      </c>
      <c r="L11" s="191">
        <v>-42138.501000000004</v>
      </c>
      <c r="M11" s="207">
        <v>-52129.099000000002</v>
      </c>
    </row>
    <row r="12" spans="1:16" ht="20.149999999999999" customHeight="1" x14ac:dyDescent="0.35">
      <c r="B12" s="204" t="s">
        <v>140</v>
      </c>
      <c r="C12" s="190" t="s">
        <v>141</v>
      </c>
      <c r="D12" s="191">
        <v>13908.677</v>
      </c>
      <c r="E12" s="192">
        <v>12227.786</v>
      </c>
      <c r="F12" s="191">
        <v>8838.2790000000005</v>
      </c>
      <c r="G12" s="193">
        <v>7876.6270000000004</v>
      </c>
      <c r="H12" s="191">
        <v>68645.638000000006</v>
      </c>
      <c r="I12" s="192">
        <v>60731.345999999998</v>
      </c>
      <c r="J12" s="191">
        <v>53788.027999999998</v>
      </c>
      <c r="K12" s="193">
        <v>44396.277999999998</v>
      </c>
      <c r="L12" s="191">
        <v>-54736.96100000001</v>
      </c>
      <c r="M12" s="207">
        <v>-48503.56</v>
      </c>
    </row>
    <row r="13" spans="1:16" ht="20.149999999999999" customHeight="1" x14ac:dyDescent="0.35">
      <c r="B13" s="204" t="s">
        <v>142</v>
      </c>
      <c r="C13" s="190" t="s">
        <v>143</v>
      </c>
      <c r="D13" s="191">
        <v>22850.567999999999</v>
      </c>
      <c r="E13" s="192">
        <v>16217.269</v>
      </c>
      <c r="F13" s="191">
        <v>49658.084999999999</v>
      </c>
      <c r="G13" s="193">
        <v>35406.46</v>
      </c>
      <c r="H13" s="191">
        <v>52633.419000000002</v>
      </c>
      <c r="I13" s="192">
        <v>41688.324999999997</v>
      </c>
      <c r="J13" s="191">
        <v>77106.395999999993</v>
      </c>
      <c r="K13" s="193">
        <v>42914.338000000003</v>
      </c>
      <c r="L13" s="191">
        <v>-29782.851000000002</v>
      </c>
      <c r="M13" s="207">
        <v>-25471.055999999997</v>
      </c>
    </row>
    <row r="14" spans="1:16" ht="20.149999999999999" customHeight="1" x14ac:dyDescent="0.35">
      <c r="B14" s="204" t="s">
        <v>144</v>
      </c>
      <c r="C14" s="190" t="s">
        <v>145</v>
      </c>
      <c r="D14" s="191">
        <v>11616.221</v>
      </c>
      <c r="E14" s="192">
        <v>11421.746999999999</v>
      </c>
      <c r="F14" s="191">
        <v>7252.8220000000001</v>
      </c>
      <c r="G14" s="193">
        <v>7041.6880000000001</v>
      </c>
      <c r="H14" s="191">
        <v>66825.16</v>
      </c>
      <c r="I14" s="192">
        <v>76101.921000000002</v>
      </c>
      <c r="J14" s="191">
        <v>42173.86</v>
      </c>
      <c r="K14" s="193">
        <v>41664.050000000003</v>
      </c>
      <c r="L14" s="191">
        <v>-55208.939000000006</v>
      </c>
      <c r="M14" s="207">
        <v>-64680.173999999999</v>
      </c>
    </row>
    <row r="15" spans="1:16" ht="20.149999999999999" customHeight="1" x14ac:dyDescent="0.35">
      <c r="B15" s="204" t="s">
        <v>146</v>
      </c>
      <c r="C15" s="190" t="s">
        <v>147</v>
      </c>
      <c r="D15" s="191">
        <v>5071.5169999999998</v>
      </c>
      <c r="E15" s="192">
        <v>3963.6990000000001</v>
      </c>
      <c r="F15" s="191">
        <v>9769.1309999999994</v>
      </c>
      <c r="G15" s="193">
        <v>7596.174</v>
      </c>
      <c r="H15" s="191">
        <v>2507.9389999999999</v>
      </c>
      <c r="I15" s="192">
        <v>3828.3180000000002</v>
      </c>
      <c r="J15" s="191">
        <v>1726.9690000000001</v>
      </c>
      <c r="K15" s="193">
        <v>2751.7489999999998</v>
      </c>
      <c r="L15" s="191">
        <v>2563.578</v>
      </c>
      <c r="M15" s="207">
        <v>135.38099999999986</v>
      </c>
    </row>
    <row r="16" spans="1:16" ht="20.149999999999999" customHeight="1" x14ac:dyDescent="0.35">
      <c r="B16" s="204" t="s">
        <v>171</v>
      </c>
      <c r="C16" s="190" t="s">
        <v>172</v>
      </c>
      <c r="D16" s="191">
        <v>271963.47399999999</v>
      </c>
      <c r="E16" s="192">
        <v>264597.07900000003</v>
      </c>
      <c r="F16" s="191">
        <v>122570.925</v>
      </c>
      <c r="G16" s="193">
        <v>115484.45699999999</v>
      </c>
      <c r="H16" s="191">
        <v>237680.29500000001</v>
      </c>
      <c r="I16" s="192">
        <v>246464.80499999999</v>
      </c>
      <c r="J16" s="191">
        <v>110127.698</v>
      </c>
      <c r="K16" s="193">
        <v>100536.73699999999</v>
      </c>
      <c r="L16" s="191">
        <v>34283.178999999975</v>
      </c>
      <c r="M16" s="207">
        <v>18132.274000000034</v>
      </c>
    </row>
    <row r="17" spans="2:13" ht="20.149999999999999" customHeight="1" x14ac:dyDescent="0.35">
      <c r="B17" s="204" t="s">
        <v>173</v>
      </c>
      <c r="C17" s="190" t="s">
        <v>174</v>
      </c>
      <c r="D17" s="191">
        <v>175573.641</v>
      </c>
      <c r="E17" s="192">
        <v>170227.41800000001</v>
      </c>
      <c r="F17" s="191">
        <v>164911.16899999999</v>
      </c>
      <c r="G17" s="193">
        <v>172530.89600000001</v>
      </c>
      <c r="H17" s="191">
        <v>42305.148999999998</v>
      </c>
      <c r="I17" s="192">
        <v>43031.463000000003</v>
      </c>
      <c r="J17" s="191">
        <v>36803.703000000001</v>
      </c>
      <c r="K17" s="193">
        <v>36465.186999999998</v>
      </c>
      <c r="L17" s="191">
        <v>133268.492</v>
      </c>
      <c r="M17" s="207">
        <v>127195.955</v>
      </c>
    </row>
    <row r="18" spans="2:13" ht="20.149999999999999" customHeight="1" x14ac:dyDescent="0.35">
      <c r="B18" s="204" t="s">
        <v>175</v>
      </c>
      <c r="C18" s="190" t="s">
        <v>176</v>
      </c>
      <c r="D18" s="191">
        <v>6931.8959999999997</v>
      </c>
      <c r="E18" s="192">
        <v>7128.884</v>
      </c>
      <c r="F18" s="191">
        <v>3570.8389999999999</v>
      </c>
      <c r="G18" s="193">
        <v>3797.982</v>
      </c>
      <c r="H18" s="191">
        <v>17518.291000000001</v>
      </c>
      <c r="I18" s="192">
        <v>19763.294000000002</v>
      </c>
      <c r="J18" s="191">
        <v>9277.4590000000007</v>
      </c>
      <c r="K18" s="193">
        <v>11709.96</v>
      </c>
      <c r="L18" s="191">
        <v>-10586.395</v>
      </c>
      <c r="M18" s="207">
        <v>-12634.410000000002</v>
      </c>
    </row>
    <row r="19" spans="2:13" ht="20.149999999999999" customHeight="1" x14ac:dyDescent="0.35">
      <c r="B19" s="204" t="s">
        <v>177</v>
      </c>
      <c r="C19" s="190" t="s">
        <v>178</v>
      </c>
      <c r="D19" s="191">
        <v>51641.146999999997</v>
      </c>
      <c r="E19" s="192">
        <v>45242.190999999999</v>
      </c>
      <c r="F19" s="191">
        <v>15187.341</v>
      </c>
      <c r="G19" s="193">
        <v>11961.38</v>
      </c>
      <c r="H19" s="191">
        <v>29855.101999999999</v>
      </c>
      <c r="I19" s="192">
        <v>29608.796999999999</v>
      </c>
      <c r="J19" s="191">
        <v>9316.7479999999996</v>
      </c>
      <c r="K19" s="193">
        <v>9850.8140000000003</v>
      </c>
      <c r="L19" s="191">
        <v>21786.044999999998</v>
      </c>
      <c r="M19" s="207">
        <v>15633.394</v>
      </c>
    </row>
    <row r="20" spans="2:13" ht="20.149999999999999" customHeight="1" x14ac:dyDescent="0.35">
      <c r="B20" s="204" t="s">
        <v>179</v>
      </c>
      <c r="C20" s="190" t="s">
        <v>180</v>
      </c>
      <c r="D20" s="191">
        <v>24701.535</v>
      </c>
      <c r="E20" s="192">
        <v>32442.843000000001</v>
      </c>
      <c r="F20" s="191">
        <v>24126.681</v>
      </c>
      <c r="G20" s="193">
        <v>47804.019</v>
      </c>
      <c r="H20" s="191">
        <v>25497.319</v>
      </c>
      <c r="I20" s="192">
        <v>22625.577000000001</v>
      </c>
      <c r="J20" s="191">
        <v>19922.925999999999</v>
      </c>
      <c r="K20" s="193">
        <v>19358.114000000001</v>
      </c>
      <c r="L20" s="191">
        <v>-795.78399999999965</v>
      </c>
      <c r="M20" s="207">
        <v>9817.2659999999996</v>
      </c>
    </row>
    <row r="21" spans="2:13" ht="20.149999999999999" customHeight="1" x14ac:dyDescent="0.35">
      <c r="B21" s="204" t="s">
        <v>181</v>
      </c>
      <c r="C21" s="190" t="s">
        <v>182</v>
      </c>
      <c r="D21" s="191">
        <v>763.71900000000005</v>
      </c>
      <c r="E21" s="192">
        <v>334.995</v>
      </c>
      <c r="F21" s="191">
        <v>1278.9770000000001</v>
      </c>
      <c r="G21" s="193">
        <v>203.988</v>
      </c>
      <c r="H21" s="191">
        <v>8554.3529999999992</v>
      </c>
      <c r="I21" s="192">
        <v>8342.4</v>
      </c>
      <c r="J21" s="191">
        <v>6478.1949999999997</v>
      </c>
      <c r="K21" s="193">
        <v>6372.2910000000002</v>
      </c>
      <c r="L21" s="191">
        <v>-7790.6339999999991</v>
      </c>
      <c r="M21" s="207">
        <v>-8007.4049999999997</v>
      </c>
    </row>
    <row r="22" spans="2:13" ht="20.149999999999999" customHeight="1" x14ac:dyDescent="0.35">
      <c r="B22" s="204" t="s">
        <v>183</v>
      </c>
      <c r="C22" s="190" t="s">
        <v>184</v>
      </c>
      <c r="D22" s="191">
        <v>2742.8919999999998</v>
      </c>
      <c r="E22" s="192">
        <v>2842.7339999999999</v>
      </c>
      <c r="F22" s="191">
        <v>559.75699999999995</v>
      </c>
      <c r="G22" s="193">
        <v>640.66600000000005</v>
      </c>
      <c r="H22" s="191">
        <v>48097.928</v>
      </c>
      <c r="I22" s="192">
        <v>57353.305</v>
      </c>
      <c r="J22" s="191">
        <v>9460.4159999999993</v>
      </c>
      <c r="K22" s="193">
        <v>10804.837</v>
      </c>
      <c r="L22" s="191">
        <v>-45355.036</v>
      </c>
      <c r="M22" s="207">
        <v>-54510.571000000004</v>
      </c>
    </row>
    <row r="23" spans="2:13" ht="20.149999999999999" customHeight="1" x14ac:dyDescent="0.35">
      <c r="B23" s="204" t="s">
        <v>185</v>
      </c>
      <c r="C23" s="190" t="s">
        <v>186</v>
      </c>
      <c r="D23" s="191">
        <v>5146.9129999999996</v>
      </c>
      <c r="E23" s="192">
        <v>9862.598</v>
      </c>
      <c r="F23" s="191">
        <v>715.17100000000005</v>
      </c>
      <c r="G23" s="193">
        <v>1338.925</v>
      </c>
      <c r="H23" s="191">
        <v>149706.83499999999</v>
      </c>
      <c r="I23" s="192">
        <v>189379.353</v>
      </c>
      <c r="J23" s="191">
        <v>18592.258000000002</v>
      </c>
      <c r="K23" s="193">
        <v>21232.594000000001</v>
      </c>
      <c r="L23" s="191">
        <v>-144559.92199999999</v>
      </c>
      <c r="M23" s="207">
        <v>-179516.755</v>
      </c>
    </row>
    <row r="24" spans="2:13" ht="20.149999999999999" customHeight="1" x14ac:dyDescent="0.35">
      <c r="B24" s="204" t="s">
        <v>148</v>
      </c>
      <c r="C24" s="190" t="s">
        <v>27</v>
      </c>
      <c r="D24" s="191">
        <v>20285.832999999999</v>
      </c>
      <c r="E24" s="192">
        <v>17867.392</v>
      </c>
      <c r="F24" s="191">
        <v>20534.891</v>
      </c>
      <c r="G24" s="193">
        <v>18583.276000000002</v>
      </c>
      <c r="H24" s="191">
        <v>164883.21299999999</v>
      </c>
      <c r="I24" s="192">
        <v>169823.247</v>
      </c>
      <c r="J24" s="191">
        <v>219630.02299999999</v>
      </c>
      <c r="K24" s="193">
        <v>234434.209</v>
      </c>
      <c r="L24" s="191">
        <v>-144597.38</v>
      </c>
      <c r="M24" s="207">
        <v>-151955.85500000001</v>
      </c>
    </row>
    <row r="25" spans="2:13" ht="20.149999999999999" customHeight="1" x14ac:dyDescent="0.35">
      <c r="B25" s="204" t="s">
        <v>162</v>
      </c>
      <c r="C25" s="190" t="s">
        <v>163</v>
      </c>
      <c r="D25" s="191">
        <v>15352.891</v>
      </c>
      <c r="E25" s="192">
        <v>14219.829</v>
      </c>
      <c r="F25" s="191">
        <v>6044.8940000000002</v>
      </c>
      <c r="G25" s="193">
        <v>6058.0619999999999</v>
      </c>
      <c r="H25" s="191">
        <v>107925.247</v>
      </c>
      <c r="I25" s="192">
        <v>92586.323000000004</v>
      </c>
      <c r="J25" s="191">
        <v>42864.569000000003</v>
      </c>
      <c r="K25" s="193">
        <v>40663.94</v>
      </c>
      <c r="L25" s="191">
        <v>-92572.356</v>
      </c>
      <c r="M25" s="207">
        <v>-78366.494000000006</v>
      </c>
    </row>
    <row r="26" spans="2:13" ht="20.149999999999999" customHeight="1" x14ac:dyDescent="0.35">
      <c r="B26" s="204" t="s">
        <v>149</v>
      </c>
      <c r="C26" s="190" t="s">
        <v>150</v>
      </c>
      <c r="D26" s="191">
        <v>12981.652</v>
      </c>
      <c r="E26" s="192">
        <v>11039.31</v>
      </c>
      <c r="F26" s="191">
        <v>12208.03</v>
      </c>
      <c r="G26" s="193">
        <v>9483.26</v>
      </c>
      <c r="H26" s="191">
        <v>250760.758</v>
      </c>
      <c r="I26" s="192">
        <v>262988.40000000002</v>
      </c>
      <c r="J26" s="191">
        <v>228079.20699999999</v>
      </c>
      <c r="K26" s="193">
        <v>225964.38099999999</v>
      </c>
      <c r="L26" s="191">
        <v>-237779.106</v>
      </c>
      <c r="M26" s="207">
        <v>-251949.09000000003</v>
      </c>
    </row>
    <row r="27" spans="2:13" ht="20.149999999999999" customHeight="1" x14ac:dyDescent="0.35">
      <c r="B27" s="204" t="s">
        <v>151</v>
      </c>
      <c r="C27" s="190" t="s">
        <v>152</v>
      </c>
      <c r="D27" s="191">
        <v>6076.3119999999999</v>
      </c>
      <c r="E27" s="192">
        <v>6289.3339999999998</v>
      </c>
      <c r="F27" s="191">
        <v>2413.5880000000002</v>
      </c>
      <c r="G27" s="193">
        <v>2486.6849999999999</v>
      </c>
      <c r="H27" s="191">
        <v>121915.308</v>
      </c>
      <c r="I27" s="192">
        <v>120388.341</v>
      </c>
      <c r="J27" s="191">
        <v>48946.194000000003</v>
      </c>
      <c r="K27" s="193">
        <v>46259.828999999998</v>
      </c>
      <c r="L27" s="191">
        <v>-115838.996</v>
      </c>
      <c r="M27" s="207">
        <v>-114099.007</v>
      </c>
    </row>
    <row r="28" spans="2:13" ht="20.149999999999999" customHeight="1" x14ac:dyDescent="0.35">
      <c r="B28" s="204" t="s">
        <v>153</v>
      </c>
      <c r="C28" s="190" t="s">
        <v>154</v>
      </c>
      <c r="D28" s="191">
        <v>780.53899999999999</v>
      </c>
      <c r="E28" s="192">
        <v>914.62300000000005</v>
      </c>
      <c r="F28" s="191">
        <v>591.41200000000003</v>
      </c>
      <c r="G28" s="193">
        <v>780.85699999999997</v>
      </c>
      <c r="H28" s="191">
        <v>51502.048000000003</v>
      </c>
      <c r="I28" s="192">
        <v>54070.148000000001</v>
      </c>
      <c r="J28" s="191">
        <v>47756.983999999997</v>
      </c>
      <c r="K28" s="193">
        <v>48232.622000000003</v>
      </c>
      <c r="L28" s="191">
        <v>-50721.509000000005</v>
      </c>
      <c r="M28" s="207">
        <v>-53155.525000000001</v>
      </c>
    </row>
    <row r="29" spans="2:13" ht="20.149999999999999" customHeight="1" x14ac:dyDescent="0.35">
      <c r="B29" s="204" t="s">
        <v>155</v>
      </c>
      <c r="C29" s="190" t="s">
        <v>156</v>
      </c>
      <c r="D29" s="191">
        <v>267780.30099999998</v>
      </c>
      <c r="E29" s="192">
        <v>273424.26799999998</v>
      </c>
      <c r="F29" s="191">
        <v>397851.99400000001</v>
      </c>
      <c r="G29" s="193">
        <v>466025.14500000002</v>
      </c>
      <c r="H29" s="191">
        <v>30903.845000000001</v>
      </c>
      <c r="I29" s="192">
        <v>21469.445</v>
      </c>
      <c r="J29" s="191">
        <v>24322.662</v>
      </c>
      <c r="K29" s="193">
        <v>18078.094000000001</v>
      </c>
      <c r="L29" s="191">
        <v>236876.45599999998</v>
      </c>
      <c r="M29" s="207">
        <v>251954.82299999997</v>
      </c>
    </row>
    <row r="30" spans="2:13" ht="20.149999999999999" customHeight="1" x14ac:dyDescent="0.35">
      <c r="B30" s="204" t="s">
        <v>157</v>
      </c>
      <c r="C30" s="190" t="s">
        <v>158</v>
      </c>
      <c r="D30" s="191">
        <v>2258.761</v>
      </c>
      <c r="E30" s="192">
        <v>3118.194</v>
      </c>
      <c r="F30" s="191">
        <v>963.48299999999995</v>
      </c>
      <c r="G30" s="193">
        <v>975.91399999999999</v>
      </c>
      <c r="H30" s="191">
        <v>37534.319000000003</v>
      </c>
      <c r="I30" s="192">
        <v>34615.981</v>
      </c>
      <c r="J30" s="191">
        <v>13750.821</v>
      </c>
      <c r="K30" s="193">
        <v>14198.112999999999</v>
      </c>
      <c r="L30" s="191">
        <v>-35275.558000000005</v>
      </c>
      <c r="M30" s="207">
        <v>-31497.787</v>
      </c>
    </row>
    <row r="31" spans="2:13" ht="20.149999999999999" customHeight="1" x14ac:dyDescent="0.35">
      <c r="B31" s="204" t="s">
        <v>164</v>
      </c>
      <c r="C31" s="190" t="s">
        <v>165</v>
      </c>
      <c r="D31" s="191">
        <v>45365.05</v>
      </c>
      <c r="E31" s="192">
        <v>43965.758999999998</v>
      </c>
      <c r="F31" s="191">
        <v>18339.171999999999</v>
      </c>
      <c r="G31" s="193">
        <v>18428.91</v>
      </c>
      <c r="H31" s="191">
        <v>287691.73499999999</v>
      </c>
      <c r="I31" s="192">
        <v>336765.61300000001</v>
      </c>
      <c r="J31" s="191">
        <v>70564.740999999995</v>
      </c>
      <c r="K31" s="193">
        <v>84406.978000000003</v>
      </c>
      <c r="L31" s="191">
        <v>-242326.685</v>
      </c>
      <c r="M31" s="207">
        <v>-292799.85399999999</v>
      </c>
    </row>
  </sheetData>
  <printOptions horizontalCentered="1"/>
  <pageMargins left="0.196850393700787" right="0.196850393700787" top="0.74173228346456999" bottom="0.511811023622047" header="0.196850393700787" footer="0.23622047244094502"/>
  <pageSetup paperSize="9" scale="90" orientation="landscape" r:id="rId1"/>
  <headerFooter alignWithMargins="0">
    <oddHeader>&amp;L&amp;"Times New Roman CE,Pogrubiona kursywa"&amp;12DRE&amp;C
&amp;8
&amp;"Times New Roman CE,Pogrubiona"&amp;14Polski handel zagraniczny towarami rolno-spożywczymi w okresie I-XI 2023r. - dane wstępne (UE + kraje trzecie).</oddHeader>
    <oddFooter>&amp;L&amp;"Times New Roman CE,Pogrubiona kursywa"&amp;12 Źródło: Min. Finansów&amp;CStrona &amp;P&amp;R&amp;"Times New Roman CE,Pogrubiona kursywa"&amp;12Przygotował: Adam Pachnicki</oddFooter>
  </headerFooter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39997558519241921"/>
    <pageSetUpPr fitToPage="1"/>
  </sheetPr>
  <dimension ref="A1:R50"/>
  <sheetViews>
    <sheetView showGridLines="0" topLeftCell="A2" zoomScaleNormal="100" workbookViewId="0">
      <selection activeCell="F8" sqref="F8:H26"/>
    </sheetView>
  </sheetViews>
  <sheetFormatPr defaultColWidth="9.1796875" defaultRowHeight="13" x14ac:dyDescent="0.3"/>
  <cols>
    <col min="1" max="1" width="10.7265625" style="256" customWidth="1"/>
    <col min="2" max="2" width="15.7265625" style="256" customWidth="1"/>
    <col min="3" max="5" width="10.7265625" style="256" customWidth="1"/>
    <col min="6" max="6" width="15.7265625" style="256" customWidth="1"/>
    <col min="7" max="8" width="10.7265625" style="256" customWidth="1"/>
    <col min="9" max="10" width="5.7265625" style="256" customWidth="1"/>
    <col min="11" max="11" width="15.7265625" style="256" customWidth="1"/>
    <col min="12" max="14" width="10.7265625" style="256" customWidth="1"/>
    <col min="15" max="15" width="15.7265625" style="256" customWidth="1"/>
    <col min="16" max="16" width="10" style="256" customWidth="1"/>
    <col min="17" max="17" width="10.7265625" style="256" customWidth="1"/>
    <col min="18" max="18" width="14.1796875" style="256" customWidth="1"/>
    <col min="19" max="16384" width="9.1796875" style="256"/>
  </cols>
  <sheetData>
    <row r="1" spans="1:18" s="33" customFormat="1" ht="25" customHeight="1" x14ac:dyDescent="0.25">
      <c r="C1" s="157"/>
      <c r="E1" s="34"/>
      <c r="J1" s="35"/>
      <c r="K1" s="36"/>
    </row>
    <row r="2" spans="1:18" s="33" customFormat="1" ht="25" customHeight="1" x14ac:dyDescent="0.25">
      <c r="A2" s="251"/>
      <c r="B2" s="38" t="s">
        <v>354</v>
      </c>
      <c r="C2" s="52"/>
      <c r="D2" s="252"/>
      <c r="E2" s="252"/>
      <c r="F2" s="252"/>
      <c r="G2" s="252"/>
      <c r="H2" s="252"/>
      <c r="I2" s="252"/>
    </row>
    <row r="3" spans="1:18" s="33" customFormat="1" ht="25" customHeight="1" thickBot="1" x14ac:dyDescent="0.35">
      <c r="B3" s="41"/>
      <c r="C3" s="177"/>
      <c r="D3" s="177"/>
      <c r="E3" s="179"/>
      <c r="F3" s="180"/>
      <c r="G3" s="253"/>
      <c r="H3" s="254"/>
      <c r="I3" s="183"/>
      <c r="J3" s="183"/>
      <c r="K3" s="183"/>
      <c r="L3" s="183"/>
      <c r="M3" s="183"/>
      <c r="N3" s="183"/>
      <c r="O3" s="183"/>
      <c r="P3" s="183"/>
      <c r="Q3" s="183"/>
    </row>
    <row r="4" spans="1:18" s="33" customFormat="1" ht="25" customHeight="1" thickTop="1" x14ac:dyDescent="0.3">
      <c r="B4" s="255" t="s">
        <v>329</v>
      </c>
      <c r="C4" s="52"/>
      <c r="D4" s="51"/>
      <c r="E4" s="52"/>
      <c r="F4" s="160"/>
      <c r="G4" s="256"/>
      <c r="H4" s="252"/>
      <c r="K4" s="256"/>
      <c r="L4" s="256"/>
      <c r="M4" s="256"/>
      <c r="P4" s="256"/>
      <c r="Q4" s="187" t="str">
        <f>POMOC!B5</f>
        <v>Notowania 17 - 23.08.2026 / Tydzień 33</v>
      </c>
    </row>
    <row r="5" spans="1:18" s="257" customFormat="1" ht="20.149999999999999" customHeight="1" x14ac:dyDescent="0.25">
      <c r="B5" s="314" t="s">
        <v>330</v>
      </c>
      <c r="C5" s="258"/>
      <c r="D5" s="259"/>
      <c r="E5" s="259"/>
      <c r="F5" s="259"/>
      <c r="M5" s="33"/>
      <c r="N5" s="33"/>
    </row>
    <row r="6" spans="1:18" s="257" customFormat="1" ht="20.149999999999999" customHeight="1" x14ac:dyDescent="0.45">
      <c r="B6" s="11" t="s">
        <v>120</v>
      </c>
      <c r="C6" s="10"/>
      <c r="D6" s="10"/>
      <c r="E6" s="10"/>
      <c r="F6" s="10"/>
      <c r="G6" s="10"/>
      <c r="H6" s="10"/>
      <c r="I6" s="10"/>
      <c r="K6" s="11" t="s">
        <v>161</v>
      </c>
      <c r="L6" s="10"/>
      <c r="M6" s="10"/>
      <c r="N6" s="10"/>
      <c r="O6" s="10"/>
    </row>
    <row r="7" spans="1:18" s="261" customFormat="1" ht="20.149999999999999" customHeight="1" x14ac:dyDescent="0.4">
      <c r="B7" s="244" t="s">
        <v>328</v>
      </c>
      <c r="C7" s="245"/>
      <c r="D7" s="245"/>
      <c r="E7" s="245"/>
      <c r="F7" s="246"/>
      <c r="G7" s="247"/>
      <c r="H7" s="248"/>
      <c r="I7" s="262"/>
      <c r="J7" s="262"/>
      <c r="K7" s="244" t="s">
        <v>328</v>
      </c>
      <c r="L7" s="245"/>
      <c r="M7" s="260"/>
      <c r="N7" s="260"/>
      <c r="O7" s="263"/>
      <c r="P7" s="264"/>
      <c r="Q7" s="264"/>
    </row>
    <row r="8" spans="1:18" ht="20.149999999999999" customHeight="1" x14ac:dyDescent="0.4">
      <c r="B8" s="225" t="s">
        <v>458</v>
      </c>
      <c r="C8" s="226"/>
      <c r="D8" s="227"/>
      <c r="E8" s="249"/>
      <c r="F8" s="225" t="s">
        <v>459</v>
      </c>
      <c r="G8" s="226"/>
      <c r="H8" s="227"/>
      <c r="I8" s="265"/>
      <c r="J8" s="265"/>
      <c r="K8" s="225" t="s">
        <v>458</v>
      </c>
      <c r="L8" s="226"/>
      <c r="M8" s="227"/>
      <c r="N8" s="249"/>
      <c r="O8" s="225" t="s">
        <v>459</v>
      </c>
      <c r="P8" s="226"/>
      <c r="Q8" s="227"/>
      <c r="R8" s="266"/>
    </row>
    <row r="9" spans="1:18" ht="40" customHeight="1" thickBot="1" x14ac:dyDescent="0.35">
      <c r="B9" s="228" t="s">
        <v>107</v>
      </c>
      <c r="C9" s="229" t="s">
        <v>108</v>
      </c>
      <c r="D9" s="230" t="s">
        <v>347</v>
      </c>
      <c r="E9" s="188"/>
      <c r="F9" s="228" t="s">
        <v>107</v>
      </c>
      <c r="G9" s="229" t="s">
        <v>108</v>
      </c>
      <c r="H9" s="230" t="s">
        <v>347</v>
      </c>
      <c r="K9" s="228" t="s">
        <v>107</v>
      </c>
      <c r="L9" s="229" t="s">
        <v>108</v>
      </c>
      <c r="M9" s="230" t="s">
        <v>347</v>
      </c>
      <c r="N9" s="188"/>
      <c r="O9" s="228" t="s">
        <v>107</v>
      </c>
      <c r="P9" s="229" t="s">
        <v>108</v>
      </c>
      <c r="Q9" s="230" t="s">
        <v>347</v>
      </c>
      <c r="R9" s="266"/>
    </row>
    <row r="10" spans="1:18" ht="20.149999999999999" customHeight="1" x14ac:dyDescent="0.35">
      <c r="B10" s="231" t="s">
        <v>109</v>
      </c>
      <c r="C10" s="232">
        <v>244814.32800000001</v>
      </c>
      <c r="D10" s="233">
        <v>359199.88099999999</v>
      </c>
      <c r="E10" s="188"/>
      <c r="F10" s="231" t="s">
        <v>109</v>
      </c>
      <c r="G10" s="232">
        <v>246472.02499999999</v>
      </c>
      <c r="H10" s="233">
        <v>400356.33199999999</v>
      </c>
      <c r="K10" s="231" t="s">
        <v>109</v>
      </c>
      <c r="L10" s="232">
        <v>54172.436999999998</v>
      </c>
      <c r="M10" s="233">
        <v>25256.617999999999</v>
      </c>
      <c r="N10" s="188"/>
      <c r="O10" s="231" t="s">
        <v>109</v>
      </c>
      <c r="P10" s="232">
        <v>54434.862000000001</v>
      </c>
      <c r="Q10" s="233">
        <v>25876.714</v>
      </c>
      <c r="R10" s="266"/>
    </row>
    <row r="11" spans="1:18" ht="20.149999999999999" customHeight="1" x14ac:dyDescent="0.35">
      <c r="B11" s="234" t="s">
        <v>115</v>
      </c>
      <c r="C11" s="235">
        <v>22710.474999999999</v>
      </c>
      <c r="D11" s="236">
        <v>35731.932000000001</v>
      </c>
      <c r="E11" s="188"/>
      <c r="F11" s="234" t="s">
        <v>110</v>
      </c>
      <c r="G11" s="240">
        <v>24534.341</v>
      </c>
      <c r="H11" s="250">
        <v>36870.120999999999</v>
      </c>
      <c r="K11" s="234" t="s">
        <v>115</v>
      </c>
      <c r="L11" s="235">
        <v>22455.432000000001</v>
      </c>
      <c r="M11" s="236">
        <v>8579.8580000000002</v>
      </c>
      <c r="N11" s="188"/>
      <c r="O11" s="234" t="s">
        <v>167</v>
      </c>
      <c r="P11" s="240">
        <v>23026.352999999999</v>
      </c>
      <c r="Q11" s="250">
        <v>7477.0290000000005</v>
      </c>
      <c r="R11" s="267"/>
    </row>
    <row r="12" spans="1:18" ht="20.149999999999999" customHeight="1" x14ac:dyDescent="0.35">
      <c r="B12" s="237" t="s">
        <v>112</v>
      </c>
      <c r="C12" s="238">
        <v>21198.707999999999</v>
      </c>
      <c r="D12" s="239">
        <v>29473.751</v>
      </c>
      <c r="E12" s="188"/>
      <c r="F12" s="237" t="s">
        <v>112</v>
      </c>
      <c r="G12" s="238">
        <v>20259.226999999999</v>
      </c>
      <c r="H12" s="239">
        <v>33694.686000000002</v>
      </c>
      <c r="K12" s="237" t="s">
        <v>167</v>
      </c>
      <c r="L12" s="238">
        <v>16175.862999999999</v>
      </c>
      <c r="M12" s="239">
        <v>6677.9979999999996</v>
      </c>
      <c r="N12" s="188"/>
      <c r="O12" s="237" t="s">
        <v>159</v>
      </c>
      <c r="P12" s="238">
        <v>16990.289000000001</v>
      </c>
      <c r="Q12" s="239">
        <v>11645.287</v>
      </c>
      <c r="R12" s="267"/>
    </row>
    <row r="13" spans="1:18" ht="20.149999999999999" customHeight="1" x14ac:dyDescent="0.35">
      <c r="B13" s="237" t="s">
        <v>114</v>
      </c>
      <c r="C13" s="238">
        <v>17082.681</v>
      </c>
      <c r="D13" s="239">
        <v>23115.741999999998</v>
      </c>
      <c r="E13" s="188"/>
      <c r="F13" s="237" t="s">
        <v>274</v>
      </c>
      <c r="G13" s="238">
        <v>18900.554</v>
      </c>
      <c r="H13" s="239">
        <v>41931.271999999997</v>
      </c>
      <c r="K13" s="237" t="s">
        <v>159</v>
      </c>
      <c r="L13" s="238">
        <v>5901.5820000000003</v>
      </c>
      <c r="M13" s="239">
        <v>4531.7730000000001</v>
      </c>
      <c r="N13" s="188"/>
      <c r="O13" s="237" t="s">
        <v>115</v>
      </c>
      <c r="P13" s="238">
        <v>6296.3220000000001</v>
      </c>
      <c r="Q13" s="239">
        <v>2851.0830000000001</v>
      </c>
      <c r="R13" s="267"/>
    </row>
    <row r="14" spans="1:18" ht="20.149999999999999" customHeight="1" x14ac:dyDescent="0.35">
      <c r="B14" s="237" t="s">
        <v>110</v>
      </c>
      <c r="C14" s="238">
        <v>16762.43</v>
      </c>
      <c r="D14" s="239">
        <v>22478.775000000001</v>
      </c>
      <c r="E14" s="188"/>
      <c r="F14" s="237" t="s">
        <v>111</v>
      </c>
      <c r="G14" s="238">
        <v>17311.911</v>
      </c>
      <c r="H14" s="239">
        <v>32159.682000000001</v>
      </c>
      <c r="K14" s="237" t="s">
        <v>117</v>
      </c>
      <c r="L14" s="238">
        <v>2300.4520000000002</v>
      </c>
      <c r="M14" s="239">
        <v>920.19500000000005</v>
      </c>
      <c r="N14" s="188"/>
      <c r="O14" s="237" t="s">
        <v>117</v>
      </c>
      <c r="P14" s="238">
        <v>1965.7</v>
      </c>
      <c r="Q14" s="239">
        <v>760.14</v>
      </c>
      <c r="R14" s="267"/>
    </row>
    <row r="15" spans="1:18" ht="20.149999999999999" customHeight="1" x14ac:dyDescent="0.35">
      <c r="B15" s="237" t="s">
        <v>274</v>
      </c>
      <c r="C15" s="238">
        <v>14577.316000000001</v>
      </c>
      <c r="D15" s="239">
        <v>29840.358</v>
      </c>
      <c r="E15" s="188"/>
      <c r="F15" s="237" t="s">
        <v>113</v>
      </c>
      <c r="G15" s="238">
        <v>15046.657999999999</v>
      </c>
      <c r="H15" s="239">
        <v>20511.928</v>
      </c>
      <c r="K15" s="237" t="s">
        <v>118</v>
      </c>
      <c r="L15" s="238">
        <v>1647.107</v>
      </c>
      <c r="M15" s="239">
        <v>780.86900000000003</v>
      </c>
      <c r="N15" s="188"/>
      <c r="O15" s="237" t="s">
        <v>362</v>
      </c>
      <c r="P15" s="238">
        <v>1552.0409999999999</v>
      </c>
      <c r="Q15" s="239">
        <v>814.673</v>
      </c>
      <c r="R15" s="267"/>
    </row>
    <row r="16" spans="1:18" ht="20.149999999999999" customHeight="1" x14ac:dyDescent="0.35">
      <c r="B16" s="237" t="s">
        <v>167</v>
      </c>
      <c r="C16" s="238">
        <v>13697.71</v>
      </c>
      <c r="D16" s="239">
        <v>26257.68</v>
      </c>
      <c r="E16" s="188"/>
      <c r="F16" s="237" t="s">
        <v>194</v>
      </c>
      <c r="G16" s="238">
        <v>11888.821</v>
      </c>
      <c r="H16" s="239">
        <v>18782.37</v>
      </c>
      <c r="K16" s="237" t="s">
        <v>114</v>
      </c>
      <c r="L16" s="238">
        <v>1433.075</v>
      </c>
      <c r="M16" s="239">
        <v>633.13199999999995</v>
      </c>
      <c r="N16" s="188"/>
      <c r="O16" s="237" t="s">
        <v>118</v>
      </c>
      <c r="P16" s="238">
        <v>1121.56</v>
      </c>
      <c r="Q16" s="239">
        <v>505.63900000000001</v>
      </c>
      <c r="R16" s="267"/>
    </row>
    <row r="17" spans="2:18" ht="20.149999999999999" customHeight="1" x14ac:dyDescent="0.35">
      <c r="B17" s="237" t="s">
        <v>111</v>
      </c>
      <c r="C17" s="238">
        <v>12224.97</v>
      </c>
      <c r="D17" s="239">
        <v>20680.627</v>
      </c>
      <c r="E17" s="188"/>
      <c r="F17" s="237" t="s">
        <v>119</v>
      </c>
      <c r="G17" s="238">
        <v>10986.784</v>
      </c>
      <c r="H17" s="239">
        <v>18366.368999999999</v>
      </c>
      <c r="K17" s="237" t="s">
        <v>111</v>
      </c>
      <c r="L17" s="238">
        <v>915.88499999999999</v>
      </c>
      <c r="M17" s="239">
        <v>641.43299999999999</v>
      </c>
      <c r="N17" s="188"/>
      <c r="O17" s="237" t="s">
        <v>111</v>
      </c>
      <c r="P17" s="238">
        <v>983.29100000000005</v>
      </c>
      <c r="Q17" s="239">
        <v>648.02300000000002</v>
      </c>
      <c r="R17" s="267"/>
    </row>
    <row r="18" spans="2:18" ht="20.149999999999999" customHeight="1" x14ac:dyDescent="0.35">
      <c r="B18" s="237" t="s">
        <v>194</v>
      </c>
      <c r="C18" s="238">
        <v>10360.475</v>
      </c>
      <c r="D18" s="239">
        <v>15105.159</v>
      </c>
      <c r="E18" s="188"/>
      <c r="F18" s="237" t="s">
        <v>114</v>
      </c>
      <c r="G18" s="238">
        <v>9394.7849999999999</v>
      </c>
      <c r="H18" s="239">
        <v>14922.528</v>
      </c>
      <c r="K18" s="237" t="s">
        <v>362</v>
      </c>
      <c r="L18" s="238">
        <v>706.46199999999999</v>
      </c>
      <c r="M18" s="239">
        <v>549.86400000000003</v>
      </c>
      <c r="N18" s="188"/>
      <c r="O18" s="237" t="s">
        <v>114</v>
      </c>
      <c r="P18" s="238">
        <v>797.47</v>
      </c>
      <c r="Q18" s="239">
        <v>406.89299999999997</v>
      </c>
      <c r="R18" s="267"/>
    </row>
    <row r="19" spans="2:18" ht="20.149999999999999" customHeight="1" x14ac:dyDescent="0.35">
      <c r="B19" s="237" t="s">
        <v>118</v>
      </c>
      <c r="C19" s="238">
        <v>10026.055</v>
      </c>
      <c r="D19" s="239">
        <v>12470.226000000001</v>
      </c>
      <c r="E19" s="188"/>
      <c r="F19" s="237" t="s">
        <v>118</v>
      </c>
      <c r="G19" s="238">
        <v>8658.2070000000003</v>
      </c>
      <c r="H19" s="239">
        <v>12002.964</v>
      </c>
      <c r="K19" s="237" t="s">
        <v>119</v>
      </c>
      <c r="L19" s="238">
        <v>441.94499999999999</v>
      </c>
      <c r="M19" s="239">
        <v>292.3</v>
      </c>
      <c r="N19" s="188"/>
      <c r="O19" s="237" t="s">
        <v>160</v>
      </c>
      <c r="P19" s="238">
        <v>422.91899999999998</v>
      </c>
      <c r="Q19" s="239">
        <v>166.565</v>
      </c>
      <c r="R19" s="267"/>
    </row>
    <row r="20" spans="2:18" ht="20.149999999999999" customHeight="1" x14ac:dyDescent="0.35">
      <c r="B20" s="237" t="s">
        <v>113</v>
      </c>
      <c r="C20" s="238">
        <v>8389.5939999999991</v>
      </c>
      <c r="D20" s="239">
        <v>10963.288</v>
      </c>
      <c r="E20" s="188"/>
      <c r="F20" s="237" t="s">
        <v>115</v>
      </c>
      <c r="G20" s="238">
        <v>8424.7459999999992</v>
      </c>
      <c r="H20" s="239">
        <v>14314.494000000001</v>
      </c>
      <c r="K20" s="237" t="s">
        <v>194</v>
      </c>
      <c r="L20" s="238">
        <v>422.23500000000001</v>
      </c>
      <c r="M20" s="239">
        <v>238.173</v>
      </c>
      <c r="N20" s="188"/>
      <c r="O20" s="237" t="s">
        <v>119</v>
      </c>
      <c r="P20" s="238">
        <v>386.95699999999999</v>
      </c>
      <c r="Q20" s="239">
        <v>183.06100000000001</v>
      </c>
      <c r="R20" s="267"/>
    </row>
    <row r="21" spans="2:18" ht="20.149999999999999" customHeight="1" x14ac:dyDescent="0.35">
      <c r="B21" s="237" t="s">
        <v>117</v>
      </c>
      <c r="C21" s="238">
        <v>7887.8289999999997</v>
      </c>
      <c r="D21" s="239">
        <v>9654.1029999999992</v>
      </c>
      <c r="E21" s="188"/>
      <c r="F21" s="237" t="s">
        <v>116</v>
      </c>
      <c r="G21" s="238">
        <v>7223.2790000000005</v>
      </c>
      <c r="H21" s="239">
        <v>9940.49</v>
      </c>
      <c r="K21" s="237" t="s">
        <v>160</v>
      </c>
      <c r="L21" s="238">
        <v>394.68200000000002</v>
      </c>
      <c r="M21" s="239">
        <v>214</v>
      </c>
      <c r="N21" s="188"/>
      <c r="O21" s="237" t="s">
        <v>327</v>
      </c>
      <c r="P21" s="238">
        <v>182.154</v>
      </c>
      <c r="Q21" s="239">
        <v>76.210999999999999</v>
      </c>
      <c r="R21" s="267"/>
    </row>
    <row r="22" spans="2:18" ht="20.149999999999999" customHeight="1" x14ac:dyDescent="0.35">
      <c r="B22" s="237" t="s">
        <v>116</v>
      </c>
      <c r="C22" s="238">
        <v>6667.4160000000002</v>
      </c>
      <c r="D22" s="239">
        <v>8595.8850000000002</v>
      </c>
      <c r="E22" s="188"/>
      <c r="F22" s="237" t="s">
        <v>167</v>
      </c>
      <c r="G22" s="238">
        <v>7056.0320000000002</v>
      </c>
      <c r="H22" s="239">
        <v>13267.796</v>
      </c>
      <c r="K22" s="237" t="s">
        <v>112</v>
      </c>
      <c r="L22" s="238">
        <v>231.21799999999999</v>
      </c>
      <c r="M22" s="239">
        <v>297.029</v>
      </c>
      <c r="N22" s="188"/>
      <c r="O22" s="237" t="s">
        <v>331</v>
      </c>
      <c r="P22" s="238">
        <v>117.95699999999999</v>
      </c>
      <c r="Q22" s="239">
        <v>36.951999999999998</v>
      </c>
      <c r="R22" s="267"/>
    </row>
    <row r="23" spans="2:18" ht="20.149999999999999" customHeight="1" x14ac:dyDescent="0.35">
      <c r="B23" s="237" t="s">
        <v>159</v>
      </c>
      <c r="C23" s="238">
        <v>6497.53</v>
      </c>
      <c r="D23" s="239">
        <v>8090.92</v>
      </c>
      <c r="E23" s="188"/>
      <c r="F23" s="237" t="s">
        <v>362</v>
      </c>
      <c r="G23" s="238">
        <v>7035.3559999999998</v>
      </c>
      <c r="H23" s="239">
        <v>11223.527</v>
      </c>
      <c r="K23" s="237" t="s">
        <v>124</v>
      </c>
      <c r="L23" s="238">
        <v>174.92699999999999</v>
      </c>
      <c r="M23" s="239">
        <v>201.78899999999999</v>
      </c>
      <c r="N23" s="188"/>
      <c r="O23" s="237" t="s">
        <v>420</v>
      </c>
      <c r="P23" s="238">
        <v>87.87</v>
      </c>
      <c r="Q23" s="239">
        <v>65.88</v>
      </c>
      <c r="R23" s="267"/>
    </row>
    <row r="24" spans="2:18" ht="20.149999999999999" customHeight="1" x14ac:dyDescent="0.35">
      <c r="B24" s="237" t="s">
        <v>119</v>
      </c>
      <c r="C24" s="238">
        <v>6183.6620000000003</v>
      </c>
      <c r="D24" s="239">
        <v>9428.3340000000007</v>
      </c>
      <c r="E24" s="188"/>
      <c r="F24" s="237" t="s">
        <v>327</v>
      </c>
      <c r="G24" s="238">
        <v>6847.259</v>
      </c>
      <c r="H24" s="239">
        <v>10276.746999999999</v>
      </c>
      <c r="K24" s="237" t="s">
        <v>331</v>
      </c>
      <c r="L24" s="238">
        <v>168.59200000000001</v>
      </c>
      <c r="M24" s="239">
        <v>64.756</v>
      </c>
      <c r="N24" s="188"/>
      <c r="O24" s="237" t="s">
        <v>509</v>
      </c>
      <c r="P24" s="238">
        <v>86.825999999999993</v>
      </c>
      <c r="Q24" s="239">
        <v>40.460999999999999</v>
      </c>
      <c r="R24" s="267"/>
    </row>
    <row r="25" spans="2:18" ht="20.149999999999999" customHeight="1" x14ac:dyDescent="0.35">
      <c r="B25" s="237" t="s">
        <v>327</v>
      </c>
      <c r="C25" s="238">
        <v>5858.3329999999996</v>
      </c>
      <c r="D25" s="239">
        <v>7744.3580000000002</v>
      </c>
      <c r="E25" s="188"/>
      <c r="F25" s="237" t="s">
        <v>348</v>
      </c>
      <c r="G25" s="238">
        <v>6102.9430000000002</v>
      </c>
      <c r="H25" s="239">
        <v>9333.9110000000001</v>
      </c>
      <c r="K25" s="237" t="s">
        <v>121</v>
      </c>
      <c r="L25" s="238">
        <v>138.429</v>
      </c>
      <c r="M25" s="239">
        <v>125.61199999999999</v>
      </c>
      <c r="N25" s="188"/>
      <c r="O25" s="237" t="s">
        <v>353</v>
      </c>
      <c r="P25" s="238">
        <v>76.823999999999998</v>
      </c>
      <c r="Q25" s="239">
        <v>22.581</v>
      </c>
      <c r="R25" s="267"/>
    </row>
    <row r="26" spans="2:18" ht="20.149999999999999" customHeight="1" x14ac:dyDescent="0.35">
      <c r="B26" s="241" t="s">
        <v>160</v>
      </c>
      <c r="C26" s="242">
        <v>4968.6949999999997</v>
      </c>
      <c r="D26" s="243">
        <v>7223.491</v>
      </c>
      <c r="E26" s="188"/>
      <c r="F26" s="241" t="s">
        <v>117</v>
      </c>
      <c r="G26" s="242">
        <v>5232.0619999999999</v>
      </c>
      <c r="H26" s="243">
        <v>6291.8519999999999</v>
      </c>
      <c r="I26" s="266"/>
      <c r="J26" s="266"/>
      <c r="K26" s="241" t="s">
        <v>327</v>
      </c>
      <c r="L26" s="242">
        <v>120.96899999999999</v>
      </c>
      <c r="M26" s="243">
        <v>70.298000000000002</v>
      </c>
      <c r="N26" s="188"/>
      <c r="O26" s="241" t="s">
        <v>194</v>
      </c>
      <c r="P26" s="242">
        <v>66.605000000000004</v>
      </c>
      <c r="Q26" s="243">
        <v>26.454999999999998</v>
      </c>
      <c r="R26" s="267"/>
    </row>
    <row r="27" spans="2:18" ht="20.149999999999999" customHeight="1" thickBot="1" x14ac:dyDescent="0.4">
      <c r="B27" s="268"/>
      <c r="C27" s="269"/>
      <c r="D27" s="269"/>
      <c r="E27" s="270"/>
      <c r="F27" s="271"/>
      <c r="G27" s="272"/>
      <c r="H27" s="270"/>
      <c r="I27" s="273"/>
      <c r="J27" s="273"/>
      <c r="K27" s="273"/>
      <c r="L27" s="273"/>
      <c r="M27" s="270"/>
      <c r="N27" s="270"/>
      <c r="O27" s="270"/>
      <c r="P27" s="270"/>
      <c r="Q27" s="270"/>
      <c r="R27" s="274"/>
    </row>
    <row r="28" spans="2:18" ht="20.149999999999999" customHeight="1" x14ac:dyDescent="0.35">
      <c r="B28" s="275"/>
      <c r="C28" s="276"/>
      <c r="D28" s="276"/>
      <c r="E28" s="266"/>
      <c r="F28" s="277"/>
      <c r="G28" s="278"/>
      <c r="H28" s="266"/>
      <c r="I28" s="279"/>
      <c r="J28" s="279"/>
      <c r="K28" s="279"/>
      <c r="L28" s="279"/>
      <c r="M28" s="266"/>
      <c r="N28" s="266"/>
      <c r="O28" s="266"/>
      <c r="P28" s="266"/>
      <c r="Q28" s="266"/>
      <c r="R28" s="267"/>
    </row>
    <row r="30" spans="2:18" ht="18.5" x14ac:dyDescent="0.45">
      <c r="B30" s="11" t="s">
        <v>387</v>
      </c>
      <c r="C30" s="10"/>
      <c r="D30" s="10"/>
      <c r="E30" s="10"/>
      <c r="F30" s="10"/>
      <c r="G30" s="10"/>
      <c r="H30" s="10"/>
      <c r="K30" s="11" t="s">
        <v>391</v>
      </c>
      <c r="L30" s="10"/>
      <c r="M30" s="10"/>
      <c r="N30" s="10"/>
      <c r="O30" s="10"/>
      <c r="P30" s="10"/>
      <c r="Q30" s="10"/>
    </row>
    <row r="31" spans="2:18" ht="15.5" x14ac:dyDescent="0.35">
      <c r="B31" s="244" t="s">
        <v>328</v>
      </c>
      <c r="C31" s="245"/>
      <c r="D31" s="245"/>
      <c r="E31" s="245"/>
      <c r="F31" s="246"/>
      <c r="G31" s="247"/>
      <c r="H31" s="248"/>
      <c r="K31" s="244" t="s">
        <v>328</v>
      </c>
      <c r="L31" s="245"/>
      <c r="M31" s="245"/>
      <c r="N31" s="245"/>
      <c r="O31" s="246"/>
      <c r="P31" s="247"/>
      <c r="Q31" s="248"/>
    </row>
    <row r="32" spans="2:18" ht="17" x14ac:dyDescent="0.4">
      <c r="B32" s="225" t="s">
        <v>381</v>
      </c>
      <c r="C32" s="226"/>
      <c r="D32" s="227"/>
      <c r="E32" s="249"/>
      <c r="F32" s="225" t="s">
        <v>382</v>
      </c>
      <c r="G32" s="226"/>
      <c r="H32" s="227"/>
      <c r="K32" s="225" t="s">
        <v>381</v>
      </c>
      <c r="L32" s="226"/>
      <c r="M32" s="227"/>
      <c r="N32" s="249"/>
      <c r="O32" s="225" t="s">
        <v>382</v>
      </c>
      <c r="P32" s="226"/>
      <c r="Q32" s="227"/>
    </row>
    <row r="33" spans="2:17" ht="29.5" thickBot="1" x14ac:dyDescent="0.35">
      <c r="B33" s="228" t="s">
        <v>107</v>
      </c>
      <c r="C33" s="229" t="s">
        <v>108</v>
      </c>
      <c r="D33" s="230" t="s">
        <v>347</v>
      </c>
      <c r="E33" s="188"/>
      <c r="F33" s="228" t="s">
        <v>107</v>
      </c>
      <c r="G33" s="229" t="s">
        <v>108</v>
      </c>
      <c r="H33" s="230" t="s">
        <v>347</v>
      </c>
      <c r="K33" s="228" t="s">
        <v>107</v>
      </c>
      <c r="L33" s="229" t="s">
        <v>108</v>
      </c>
      <c r="M33" s="230" t="s">
        <v>347</v>
      </c>
      <c r="N33" s="188"/>
      <c r="O33" s="228" t="s">
        <v>107</v>
      </c>
      <c r="P33" s="229" t="s">
        <v>108</v>
      </c>
      <c r="Q33" s="230" t="s">
        <v>347</v>
      </c>
    </row>
    <row r="34" spans="2:17" ht="14.5" x14ac:dyDescent="0.35">
      <c r="B34" s="231" t="s">
        <v>109</v>
      </c>
      <c r="C34" s="232">
        <v>196843.81899999999</v>
      </c>
      <c r="D34" s="233">
        <v>85744.637000000002</v>
      </c>
      <c r="E34" s="188"/>
      <c r="F34" s="231" t="s">
        <v>109</v>
      </c>
      <c r="G34" s="232">
        <v>190546.14300000001</v>
      </c>
      <c r="H34" s="233">
        <v>81680.519</v>
      </c>
      <c r="K34" s="231" t="s">
        <v>109</v>
      </c>
      <c r="L34" s="232">
        <v>39674.430999999997</v>
      </c>
      <c r="M34" s="233">
        <v>59395.803</v>
      </c>
      <c r="N34" s="188"/>
      <c r="O34" s="231" t="s">
        <v>109</v>
      </c>
      <c r="P34" s="232">
        <v>38777.673000000003</v>
      </c>
      <c r="Q34" s="233">
        <v>64072.976000000002</v>
      </c>
    </row>
    <row r="35" spans="2:17" ht="14.5" x14ac:dyDescent="0.35">
      <c r="B35" s="234" t="s">
        <v>115</v>
      </c>
      <c r="C35" s="235">
        <v>55409.377</v>
      </c>
      <c r="D35" s="236">
        <v>22660.763999999999</v>
      </c>
      <c r="E35" s="188"/>
      <c r="F35" s="234" t="s">
        <v>115</v>
      </c>
      <c r="G35" s="240">
        <v>56375.955000000002</v>
      </c>
      <c r="H35" s="250">
        <v>21953.82</v>
      </c>
      <c r="K35" s="234" t="s">
        <v>167</v>
      </c>
      <c r="L35" s="235">
        <v>11007.226000000001</v>
      </c>
      <c r="M35" s="236">
        <v>16551.742999999999</v>
      </c>
      <c r="N35" s="188"/>
      <c r="O35" s="234" t="s">
        <v>167</v>
      </c>
      <c r="P35" s="240">
        <v>11233.004000000001</v>
      </c>
      <c r="Q35" s="250">
        <v>18783.72</v>
      </c>
    </row>
    <row r="36" spans="2:17" ht="14.5" x14ac:dyDescent="0.35">
      <c r="B36" s="237" t="s">
        <v>117</v>
      </c>
      <c r="C36" s="238">
        <v>37422.31</v>
      </c>
      <c r="D36" s="239">
        <v>15979.846</v>
      </c>
      <c r="E36" s="188"/>
      <c r="F36" s="237" t="s">
        <v>117</v>
      </c>
      <c r="G36" s="238">
        <v>34072.243000000002</v>
      </c>
      <c r="H36" s="239">
        <v>14894.218000000001</v>
      </c>
      <c r="K36" s="237" t="s">
        <v>117</v>
      </c>
      <c r="L36" s="238">
        <v>9075.19</v>
      </c>
      <c r="M36" s="239">
        <v>10477.814</v>
      </c>
      <c r="N36" s="188"/>
      <c r="O36" s="237" t="s">
        <v>117</v>
      </c>
      <c r="P36" s="238">
        <v>7221.6980000000003</v>
      </c>
      <c r="Q36" s="239">
        <v>8793.7150000000001</v>
      </c>
    </row>
    <row r="37" spans="2:17" ht="14.5" x14ac:dyDescent="0.35">
      <c r="B37" s="237" t="s">
        <v>121</v>
      </c>
      <c r="C37" s="238">
        <v>29016.448</v>
      </c>
      <c r="D37" s="239">
        <v>11777.669</v>
      </c>
      <c r="E37" s="188"/>
      <c r="F37" s="237" t="s">
        <v>121</v>
      </c>
      <c r="G37" s="238">
        <v>30864.553</v>
      </c>
      <c r="H37" s="239">
        <v>12027.222</v>
      </c>
      <c r="K37" s="237" t="s">
        <v>115</v>
      </c>
      <c r="L37" s="238">
        <v>4200.232</v>
      </c>
      <c r="M37" s="239">
        <v>6423.2650000000003</v>
      </c>
      <c r="N37" s="188"/>
      <c r="O37" s="237" t="s">
        <v>115</v>
      </c>
      <c r="P37" s="238">
        <v>4467.2669999999998</v>
      </c>
      <c r="Q37" s="239">
        <v>7158.7920000000004</v>
      </c>
    </row>
    <row r="38" spans="2:17" ht="14.5" x14ac:dyDescent="0.35">
      <c r="B38" s="237" t="s">
        <v>124</v>
      </c>
      <c r="C38" s="238">
        <v>11825.855</v>
      </c>
      <c r="D38" s="239">
        <v>7948.7139999999999</v>
      </c>
      <c r="E38" s="188"/>
      <c r="F38" s="237" t="s">
        <v>122</v>
      </c>
      <c r="G38" s="238">
        <v>10043.785</v>
      </c>
      <c r="H38" s="239">
        <v>4873.1639999999998</v>
      </c>
      <c r="K38" s="237" t="s">
        <v>121</v>
      </c>
      <c r="L38" s="238">
        <v>3466.81</v>
      </c>
      <c r="M38" s="239">
        <v>5244.4229999999998</v>
      </c>
      <c r="N38" s="188"/>
      <c r="O38" s="237" t="s">
        <v>121</v>
      </c>
      <c r="P38" s="238">
        <v>4315.4179999999997</v>
      </c>
      <c r="Q38" s="239">
        <v>5977.7969999999996</v>
      </c>
    </row>
    <row r="39" spans="2:17" ht="14.5" x14ac:dyDescent="0.35">
      <c r="B39" s="237" t="s">
        <v>122</v>
      </c>
      <c r="C39" s="238">
        <v>10952.092000000001</v>
      </c>
      <c r="D39" s="239">
        <v>5031.4809999999998</v>
      </c>
      <c r="E39" s="188"/>
      <c r="F39" s="237" t="s">
        <v>118</v>
      </c>
      <c r="G39" s="238">
        <v>8546.3979999999992</v>
      </c>
      <c r="H39" s="239">
        <v>3080.1950000000002</v>
      </c>
      <c r="K39" s="237" t="s">
        <v>159</v>
      </c>
      <c r="L39" s="238">
        <v>2475.3359999999998</v>
      </c>
      <c r="M39" s="239">
        <v>2171.9479999999999</v>
      </c>
      <c r="N39" s="188"/>
      <c r="O39" s="237" t="s">
        <v>353</v>
      </c>
      <c r="P39" s="238">
        <v>3713.1979999999999</v>
      </c>
      <c r="Q39" s="239">
        <v>7929.0020000000004</v>
      </c>
    </row>
    <row r="40" spans="2:17" ht="14.5" x14ac:dyDescent="0.35">
      <c r="B40" s="237" t="s">
        <v>118</v>
      </c>
      <c r="C40" s="238">
        <v>7614.6260000000002</v>
      </c>
      <c r="D40" s="239">
        <v>2748.2950000000001</v>
      </c>
      <c r="E40" s="188"/>
      <c r="F40" s="237" t="s">
        <v>124</v>
      </c>
      <c r="G40" s="238">
        <v>8439</v>
      </c>
      <c r="H40" s="239">
        <v>5865.8090000000002</v>
      </c>
      <c r="K40" s="237" t="s">
        <v>353</v>
      </c>
      <c r="L40" s="238">
        <v>2461.1019999999999</v>
      </c>
      <c r="M40" s="239">
        <v>5303.44</v>
      </c>
      <c r="N40" s="188"/>
      <c r="O40" s="237" t="s">
        <v>159</v>
      </c>
      <c r="P40" s="238">
        <v>1623.8820000000001</v>
      </c>
      <c r="Q40" s="239">
        <v>1578.3720000000001</v>
      </c>
    </row>
    <row r="41" spans="2:17" ht="14.5" x14ac:dyDescent="0.35">
      <c r="B41" s="237" t="s">
        <v>388</v>
      </c>
      <c r="C41" s="238">
        <v>5839.683</v>
      </c>
      <c r="D41" s="239">
        <v>1920.819</v>
      </c>
      <c r="E41" s="188"/>
      <c r="F41" s="237" t="s">
        <v>388</v>
      </c>
      <c r="G41" s="238">
        <v>5695.0219999999999</v>
      </c>
      <c r="H41" s="239">
        <v>1852.1959999999999</v>
      </c>
      <c r="K41" s="237" t="s">
        <v>124</v>
      </c>
      <c r="L41" s="238">
        <v>1439.875</v>
      </c>
      <c r="M41" s="239">
        <v>1763.5129999999999</v>
      </c>
      <c r="N41" s="188"/>
      <c r="O41" s="237" t="s">
        <v>124</v>
      </c>
      <c r="P41" s="238">
        <v>1255.5050000000001</v>
      </c>
      <c r="Q41" s="239">
        <v>1719.2180000000001</v>
      </c>
    </row>
    <row r="42" spans="2:17" ht="14.5" x14ac:dyDescent="0.35">
      <c r="B42" s="237" t="s">
        <v>389</v>
      </c>
      <c r="C42" s="238">
        <v>5033.7139999999999</v>
      </c>
      <c r="D42" s="239">
        <v>1896.1410000000001</v>
      </c>
      <c r="E42" s="188"/>
      <c r="F42" s="237" t="s">
        <v>362</v>
      </c>
      <c r="G42" s="238">
        <v>5445.6930000000002</v>
      </c>
      <c r="H42" s="239">
        <v>3318.4009999999998</v>
      </c>
      <c r="K42" s="237" t="s">
        <v>114</v>
      </c>
      <c r="L42" s="238">
        <v>1218.3710000000001</v>
      </c>
      <c r="M42" s="239">
        <v>2718.2370000000001</v>
      </c>
      <c r="N42" s="188"/>
      <c r="O42" s="237" t="s">
        <v>112</v>
      </c>
      <c r="P42" s="238">
        <v>842.52</v>
      </c>
      <c r="Q42" s="239">
        <v>2420.761</v>
      </c>
    </row>
    <row r="43" spans="2:17" ht="14.5" x14ac:dyDescent="0.35">
      <c r="B43" s="237" t="s">
        <v>112</v>
      </c>
      <c r="C43" s="238">
        <v>5003.5240000000003</v>
      </c>
      <c r="D43" s="239">
        <v>2430.614</v>
      </c>
      <c r="E43" s="188"/>
      <c r="F43" s="237" t="s">
        <v>167</v>
      </c>
      <c r="G43" s="238">
        <v>3744.1039999999998</v>
      </c>
      <c r="H43" s="239">
        <v>1623.548</v>
      </c>
      <c r="K43" s="237" t="s">
        <v>112</v>
      </c>
      <c r="L43" s="238">
        <v>967.31799999999998</v>
      </c>
      <c r="M43" s="239">
        <v>2410.951</v>
      </c>
      <c r="N43" s="188"/>
      <c r="O43" s="237" t="s">
        <v>116</v>
      </c>
      <c r="P43" s="238">
        <v>769.774</v>
      </c>
      <c r="Q43" s="239">
        <v>1845.742</v>
      </c>
    </row>
    <row r="44" spans="2:17" ht="14.5" x14ac:dyDescent="0.35">
      <c r="B44" s="237" t="s">
        <v>362</v>
      </c>
      <c r="C44" s="238">
        <v>4904.7529999999997</v>
      </c>
      <c r="D44" s="239">
        <v>2595.652</v>
      </c>
      <c r="E44" s="188"/>
      <c r="F44" s="237" t="s">
        <v>363</v>
      </c>
      <c r="G44" s="238">
        <v>3696.212</v>
      </c>
      <c r="H44" s="239">
        <v>1347.8340000000001</v>
      </c>
      <c r="K44" s="237" t="s">
        <v>327</v>
      </c>
      <c r="L44" s="238">
        <v>944.59</v>
      </c>
      <c r="M44" s="239">
        <v>1892.105</v>
      </c>
      <c r="N44" s="188"/>
      <c r="O44" s="237" t="s">
        <v>327</v>
      </c>
      <c r="P44" s="238">
        <v>677.45799999999997</v>
      </c>
      <c r="Q44" s="239">
        <v>1696.502</v>
      </c>
    </row>
    <row r="45" spans="2:17" ht="14.5" x14ac:dyDescent="0.35">
      <c r="B45" s="237" t="s">
        <v>167</v>
      </c>
      <c r="C45" s="238">
        <v>4141.1480000000001</v>
      </c>
      <c r="D45" s="239">
        <v>1770.2360000000001</v>
      </c>
      <c r="E45" s="188"/>
      <c r="F45" s="237" t="s">
        <v>353</v>
      </c>
      <c r="G45" s="238">
        <v>3640.0569999999998</v>
      </c>
      <c r="H45" s="239">
        <v>1477.654</v>
      </c>
      <c r="K45" s="237" t="s">
        <v>118</v>
      </c>
      <c r="L45" s="238">
        <v>420.166</v>
      </c>
      <c r="M45" s="239">
        <v>272.09500000000003</v>
      </c>
      <c r="N45" s="188"/>
      <c r="O45" s="237" t="s">
        <v>114</v>
      </c>
      <c r="P45" s="238">
        <v>582.20799999999997</v>
      </c>
      <c r="Q45" s="239">
        <v>1421.71</v>
      </c>
    </row>
    <row r="46" spans="2:17" ht="14.5" x14ac:dyDescent="0.35">
      <c r="B46" s="237" t="s">
        <v>363</v>
      </c>
      <c r="C46" s="238">
        <v>3728.75</v>
      </c>
      <c r="D46" s="239">
        <v>1361.057</v>
      </c>
      <c r="E46" s="188"/>
      <c r="F46" s="237" t="s">
        <v>389</v>
      </c>
      <c r="G46" s="238">
        <v>3589.6419999999998</v>
      </c>
      <c r="H46" s="239">
        <v>1404.835</v>
      </c>
      <c r="K46" s="237" t="s">
        <v>119</v>
      </c>
      <c r="L46" s="238">
        <v>368.46899999999999</v>
      </c>
      <c r="M46" s="239">
        <v>702.36900000000003</v>
      </c>
      <c r="N46" s="188"/>
      <c r="O46" s="237" t="s">
        <v>119</v>
      </c>
      <c r="P46" s="238">
        <v>434.93400000000003</v>
      </c>
      <c r="Q46" s="239">
        <v>1060.856</v>
      </c>
    </row>
    <row r="47" spans="2:17" ht="14.5" x14ac:dyDescent="0.35">
      <c r="B47" s="237" t="s">
        <v>353</v>
      </c>
      <c r="C47" s="238">
        <v>3088.7350000000001</v>
      </c>
      <c r="D47" s="239">
        <v>1295.855</v>
      </c>
      <c r="E47" s="188"/>
      <c r="F47" s="237" t="s">
        <v>114</v>
      </c>
      <c r="G47" s="238">
        <v>3550.518</v>
      </c>
      <c r="H47" s="239">
        <v>1902.3340000000001</v>
      </c>
      <c r="K47" s="237" t="s">
        <v>362</v>
      </c>
      <c r="L47" s="238">
        <v>367.30399999999997</v>
      </c>
      <c r="M47" s="239">
        <v>1081.99</v>
      </c>
      <c r="N47" s="188"/>
      <c r="O47" s="237" t="s">
        <v>111</v>
      </c>
      <c r="P47" s="238">
        <v>312.12900000000002</v>
      </c>
      <c r="Q47" s="239">
        <v>715.06500000000005</v>
      </c>
    </row>
    <row r="48" spans="2:17" ht="14.5" x14ac:dyDescent="0.35">
      <c r="B48" s="237" t="s">
        <v>114</v>
      </c>
      <c r="C48" s="238">
        <v>2686.9960000000001</v>
      </c>
      <c r="D48" s="239">
        <v>1507.09</v>
      </c>
      <c r="E48" s="188"/>
      <c r="F48" s="237" t="s">
        <v>112</v>
      </c>
      <c r="G48" s="238">
        <v>3507.123</v>
      </c>
      <c r="H48" s="239">
        <v>1739.8869999999999</v>
      </c>
      <c r="K48" s="237" t="s">
        <v>111</v>
      </c>
      <c r="L48" s="238">
        <v>286.68400000000003</v>
      </c>
      <c r="M48" s="239">
        <v>568.9</v>
      </c>
      <c r="N48" s="188"/>
      <c r="O48" s="237" t="s">
        <v>194</v>
      </c>
      <c r="P48" s="238">
        <v>283.31700000000001</v>
      </c>
      <c r="Q48" s="239">
        <v>528.81500000000005</v>
      </c>
    </row>
    <row r="49" spans="2:17" ht="14.5" x14ac:dyDescent="0.35">
      <c r="B49" s="237" t="s">
        <v>390</v>
      </c>
      <c r="C49" s="238">
        <v>2027.559</v>
      </c>
      <c r="D49" s="239">
        <v>627.19000000000005</v>
      </c>
      <c r="E49" s="188"/>
      <c r="F49" s="237" t="s">
        <v>390</v>
      </c>
      <c r="G49" s="238">
        <v>2068.8679999999999</v>
      </c>
      <c r="H49" s="239">
        <v>620.95000000000005</v>
      </c>
      <c r="K49" s="237" t="s">
        <v>194</v>
      </c>
      <c r="L49" s="238">
        <v>237.364</v>
      </c>
      <c r="M49" s="239">
        <v>370.34300000000002</v>
      </c>
      <c r="N49" s="188"/>
      <c r="O49" s="237" t="s">
        <v>331</v>
      </c>
      <c r="P49" s="238">
        <v>228.45400000000001</v>
      </c>
      <c r="Q49" s="239">
        <v>344.95</v>
      </c>
    </row>
    <row r="50" spans="2:17" ht="14.5" x14ac:dyDescent="0.35">
      <c r="B50" s="241" t="s">
        <v>194</v>
      </c>
      <c r="C50" s="242">
        <v>1973</v>
      </c>
      <c r="D50" s="243">
        <v>1051.3140000000001</v>
      </c>
      <c r="E50" s="188"/>
      <c r="F50" s="241" t="s">
        <v>327</v>
      </c>
      <c r="G50" s="242">
        <v>1825.163</v>
      </c>
      <c r="H50" s="243">
        <v>1063.528</v>
      </c>
      <c r="K50" s="241" t="s">
        <v>160</v>
      </c>
      <c r="L50" s="242">
        <v>179.85</v>
      </c>
      <c r="M50" s="243">
        <v>397.62799999999999</v>
      </c>
      <c r="N50" s="188"/>
      <c r="O50" s="241" t="s">
        <v>191</v>
      </c>
      <c r="P50" s="242">
        <v>149.12100000000001</v>
      </c>
      <c r="Q50" s="243">
        <v>152</v>
      </c>
    </row>
  </sheetData>
  <pageMargins left="0" right="0" top="0.35433070866141736" bottom="0.35433070866141736" header="0.23622047244094491" footer="0.11811023622047245"/>
  <pageSetup paperSize="9" scale="54" orientation="landscape" r:id="rId1"/>
  <headerFooter alignWithMargins="0">
    <oddFooter>&amp;L&amp;"Times New Roman CE,Pogrubiona kursywa"&amp;12Źródło: Dane MF, CIHZ&amp;R&amp;"Times New Roman CE,Pogrubiona kursywa"&amp;12Przygotowała: Agnieszka Szarejko-Pater</oddFooter>
  </headerFooter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39997558519241921"/>
    <pageSetUpPr fitToPage="1"/>
  </sheetPr>
  <dimension ref="A1:R51"/>
  <sheetViews>
    <sheetView showGridLines="0" zoomScaleNormal="100" workbookViewId="0">
      <selection activeCell="K33" sqref="K33"/>
    </sheetView>
  </sheetViews>
  <sheetFormatPr defaultColWidth="9.1796875" defaultRowHeight="13" x14ac:dyDescent="0.3"/>
  <cols>
    <col min="1" max="1" width="10.7265625" style="256" customWidth="1"/>
    <col min="2" max="2" width="15.7265625" style="256" customWidth="1"/>
    <col min="3" max="5" width="10.7265625" style="256" customWidth="1"/>
    <col min="6" max="6" width="26.81640625" style="256" bestFit="1" customWidth="1"/>
    <col min="7" max="8" width="10.7265625" style="256" customWidth="1"/>
    <col min="9" max="10" width="5.7265625" style="256" customWidth="1"/>
    <col min="11" max="11" width="15.7265625" style="256" customWidth="1"/>
    <col min="12" max="14" width="10.7265625" style="256" customWidth="1"/>
    <col min="15" max="15" width="15.7265625" style="256" customWidth="1"/>
    <col min="16" max="16" width="10" style="256" customWidth="1"/>
    <col min="17" max="17" width="10.7265625" style="256" customWidth="1"/>
    <col min="18" max="18" width="14.1796875" style="256" customWidth="1"/>
    <col min="19" max="16384" width="9.1796875" style="256"/>
  </cols>
  <sheetData>
    <row r="1" spans="1:18" s="33" customFormat="1" ht="25" customHeight="1" x14ac:dyDescent="0.25">
      <c r="C1" s="157"/>
      <c r="E1" s="34"/>
      <c r="J1" s="35"/>
      <c r="K1" s="36"/>
    </row>
    <row r="2" spans="1:18" s="33" customFormat="1" ht="25" customHeight="1" x14ac:dyDescent="0.25">
      <c r="A2" s="251"/>
      <c r="B2" s="38" t="s">
        <v>332</v>
      </c>
      <c r="C2" s="52"/>
      <c r="D2" s="252"/>
      <c r="E2" s="252"/>
      <c r="F2" s="252"/>
      <c r="G2" s="252"/>
      <c r="H2" s="252"/>
      <c r="I2" s="252"/>
    </row>
    <row r="3" spans="1:18" s="33" customFormat="1" ht="25" customHeight="1" thickBot="1" x14ac:dyDescent="0.35">
      <c r="B3" s="41"/>
      <c r="C3" s="177"/>
      <c r="D3" s="177"/>
      <c r="E3" s="179"/>
      <c r="F3" s="180"/>
      <c r="G3" s="253"/>
      <c r="H3" s="254"/>
      <c r="I3" s="183"/>
      <c r="J3" s="183"/>
      <c r="K3" s="183"/>
      <c r="L3" s="183"/>
      <c r="M3" s="183"/>
      <c r="N3" s="183"/>
      <c r="O3" s="183"/>
      <c r="P3" s="183"/>
      <c r="Q3" s="183"/>
    </row>
    <row r="4" spans="1:18" s="33" customFormat="1" ht="25" customHeight="1" thickTop="1" x14ac:dyDescent="0.3">
      <c r="B4" s="255" t="s">
        <v>329</v>
      </c>
      <c r="C4" s="52"/>
      <c r="D4" s="51"/>
      <c r="E4" s="52"/>
      <c r="F4" s="160"/>
      <c r="G4" s="256"/>
      <c r="H4" s="252"/>
      <c r="K4" s="256"/>
      <c r="L4" s="256"/>
      <c r="M4" s="256"/>
      <c r="P4" s="256"/>
      <c r="Q4" s="187" t="str">
        <f>POMOC!B5</f>
        <v>Notowania 17 - 23.08.2026 / Tydzień 33</v>
      </c>
    </row>
    <row r="5" spans="1:18" s="257" customFormat="1" ht="20.149999999999999" customHeight="1" x14ac:dyDescent="0.25">
      <c r="B5" s="314" t="s">
        <v>330</v>
      </c>
      <c r="C5" s="258"/>
      <c r="D5" s="259"/>
      <c r="E5" s="259"/>
      <c r="F5" s="259"/>
      <c r="M5" s="33"/>
      <c r="N5" s="33"/>
    </row>
    <row r="6" spans="1:18" s="257" customFormat="1" ht="20.149999999999999" customHeight="1" x14ac:dyDescent="0.45">
      <c r="B6" s="11" t="s">
        <v>400</v>
      </c>
      <c r="C6" s="10"/>
      <c r="D6" s="10"/>
      <c r="E6" s="10"/>
      <c r="F6" s="10"/>
      <c r="G6" s="10"/>
      <c r="H6" s="10"/>
      <c r="I6" s="10"/>
      <c r="J6" s="11" t="s">
        <v>405</v>
      </c>
      <c r="K6" s="10"/>
      <c r="L6" s="10"/>
      <c r="M6" s="10"/>
      <c r="N6" s="10"/>
      <c r="O6" s="10"/>
    </row>
    <row r="7" spans="1:18" s="261" customFormat="1" ht="20.149999999999999" customHeight="1" x14ac:dyDescent="0.4">
      <c r="B7" s="244" t="s">
        <v>328</v>
      </c>
      <c r="C7" s="245"/>
      <c r="D7" s="245"/>
      <c r="E7" s="245"/>
      <c r="F7" s="246"/>
      <c r="G7" s="247"/>
      <c r="H7" s="248"/>
      <c r="I7" s="262"/>
      <c r="J7" s="262"/>
      <c r="K7" s="244" t="s">
        <v>328</v>
      </c>
      <c r="L7" s="245"/>
      <c r="M7" s="260"/>
      <c r="N7" s="260"/>
      <c r="O7" s="263"/>
      <c r="P7" s="264"/>
      <c r="Q7" s="264"/>
    </row>
    <row r="8" spans="1:18" ht="20.149999999999999" customHeight="1" x14ac:dyDescent="0.4">
      <c r="B8" s="225" t="s">
        <v>458</v>
      </c>
      <c r="C8" s="226"/>
      <c r="D8" s="227"/>
      <c r="E8" s="249"/>
      <c r="F8" s="225" t="s">
        <v>459</v>
      </c>
      <c r="G8" s="226"/>
      <c r="H8" s="227"/>
      <c r="I8" s="265"/>
      <c r="J8" s="265"/>
      <c r="K8" s="225" t="s">
        <v>458</v>
      </c>
      <c r="L8" s="226"/>
      <c r="M8" s="227"/>
      <c r="N8" s="249"/>
      <c r="O8" s="225" t="s">
        <v>459</v>
      </c>
      <c r="P8" s="226"/>
      <c r="Q8" s="227"/>
      <c r="R8" s="266"/>
    </row>
    <row r="9" spans="1:18" ht="40" customHeight="1" thickBot="1" x14ac:dyDescent="0.35">
      <c r="B9" s="228" t="s">
        <v>107</v>
      </c>
      <c r="C9" s="229" t="s">
        <v>108</v>
      </c>
      <c r="D9" s="230" t="s">
        <v>347</v>
      </c>
      <c r="E9" s="188"/>
      <c r="F9" s="228" t="s">
        <v>107</v>
      </c>
      <c r="G9" s="229" t="s">
        <v>108</v>
      </c>
      <c r="H9" s="230" t="s">
        <v>347</v>
      </c>
      <c r="K9" s="228" t="s">
        <v>107</v>
      </c>
      <c r="L9" s="229" t="s">
        <v>108</v>
      </c>
      <c r="M9" s="230" t="s">
        <v>347</v>
      </c>
      <c r="N9" s="188"/>
      <c r="O9" s="228" t="s">
        <v>107</v>
      </c>
      <c r="P9" s="229" t="s">
        <v>108</v>
      </c>
      <c r="Q9" s="230" t="s">
        <v>347</v>
      </c>
      <c r="R9" s="266"/>
    </row>
    <row r="10" spans="1:18" ht="20.149999999999999" customHeight="1" x14ac:dyDescent="0.35">
      <c r="B10" s="231" t="s">
        <v>109</v>
      </c>
      <c r="C10" s="232">
        <v>164883.21299999999</v>
      </c>
      <c r="D10" s="233">
        <v>219630.02299999999</v>
      </c>
      <c r="E10" s="188"/>
      <c r="F10" s="231" t="s">
        <v>109</v>
      </c>
      <c r="G10" s="232">
        <v>169823.247</v>
      </c>
      <c r="H10" s="233">
        <v>234434.209</v>
      </c>
      <c r="K10" s="231" t="s">
        <v>109</v>
      </c>
      <c r="L10" s="232">
        <v>248174.367</v>
      </c>
      <c r="M10" s="233">
        <v>127578.546</v>
      </c>
      <c r="N10" s="188"/>
      <c r="O10" s="231" t="s">
        <v>109</v>
      </c>
      <c r="P10" s="232">
        <v>286410.962</v>
      </c>
      <c r="Q10" s="233">
        <v>119409.107</v>
      </c>
      <c r="R10" s="266"/>
    </row>
    <row r="11" spans="1:18" ht="20.149999999999999" customHeight="1" x14ac:dyDescent="0.35">
      <c r="B11" s="234" t="s">
        <v>392</v>
      </c>
      <c r="C11" s="235">
        <v>83760.820999999996</v>
      </c>
      <c r="D11" s="236">
        <v>114217.317</v>
      </c>
      <c r="E11" s="188"/>
      <c r="F11" s="234" t="s">
        <v>392</v>
      </c>
      <c r="G11" s="240">
        <v>83455.948000000004</v>
      </c>
      <c r="H11" s="250">
        <v>116762.208</v>
      </c>
      <c r="K11" s="234" t="s">
        <v>167</v>
      </c>
      <c r="L11" s="235">
        <v>88759.457999999999</v>
      </c>
      <c r="M11" s="236">
        <v>50031.508999999998</v>
      </c>
      <c r="N11" s="188"/>
      <c r="O11" s="234" t="s">
        <v>167</v>
      </c>
      <c r="P11" s="240">
        <v>94309.686000000002</v>
      </c>
      <c r="Q11" s="250">
        <v>43562.05</v>
      </c>
      <c r="R11" s="267"/>
    </row>
    <row r="12" spans="1:18" ht="20.149999999999999" customHeight="1" x14ac:dyDescent="0.35">
      <c r="B12" s="237" t="s">
        <v>393</v>
      </c>
      <c r="C12" s="238">
        <v>38096.739000000001</v>
      </c>
      <c r="D12" s="239">
        <v>44499.123</v>
      </c>
      <c r="E12" s="188"/>
      <c r="F12" s="237" t="s">
        <v>393</v>
      </c>
      <c r="G12" s="238">
        <v>39808.358999999997</v>
      </c>
      <c r="H12" s="239">
        <v>52501.457000000002</v>
      </c>
      <c r="K12" s="237" t="s">
        <v>116</v>
      </c>
      <c r="L12" s="238">
        <v>45508.523999999998</v>
      </c>
      <c r="M12" s="239">
        <v>23982.588</v>
      </c>
      <c r="N12" s="188"/>
      <c r="O12" s="237" t="s">
        <v>116</v>
      </c>
      <c r="P12" s="238">
        <v>83083.126000000004</v>
      </c>
      <c r="Q12" s="239">
        <v>33904.120000000003</v>
      </c>
      <c r="R12" s="267"/>
    </row>
    <row r="13" spans="1:18" ht="20.149999999999999" customHeight="1" x14ac:dyDescent="0.35">
      <c r="B13" s="237" t="s">
        <v>394</v>
      </c>
      <c r="C13" s="238">
        <v>20034.98</v>
      </c>
      <c r="D13" s="239">
        <v>28951.234</v>
      </c>
      <c r="E13" s="188"/>
      <c r="F13" s="237" t="s">
        <v>394</v>
      </c>
      <c r="G13" s="238">
        <v>25835.592000000001</v>
      </c>
      <c r="H13" s="239">
        <v>38537.482000000004</v>
      </c>
      <c r="K13" s="237" t="s">
        <v>115</v>
      </c>
      <c r="L13" s="238">
        <v>38086.946000000004</v>
      </c>
      <c r="M13" s="239">
        <v>13804.135</v>
      </c>
      <c r="N13" s="188"/>
      <c r="O13" s="237" t="s">
        <v>115</v>
      </c>
      <c r="P13" s="238">
        <v>43327.51</v>
      </c>
      <c r="Q13" s="239">
        <v>12894.128000000001</v>
      </c>
      <c r="R13" s="267"/>
    </row>
    <row r="14" spans="1:18" ht="20.149999999999999" customHeight="1" x14ac:dyDescent="0.35">
      <c r="B14" s="237" t="s">
        <v>364</v>
      </c>
      <c r="C14" s="238">
        <v>16306.224</v>
      </c>
      <c r="D14" s="239">
        <v>22237.717000000001</v>
      </c>
      <c r="E14" s="188"/>
      <c r="F14" s="237" t="s">
        <v>364</v>
      </c>
      <c r="G14" s="238">
        <v>13835.891</v>
      </c>
      <c r="H14" s="239">
        <v>18262.398000000001</v>
      </c>
      <c r="K14" s="237" t="s">
        <v>334</v>
      </c>
      <c r="L14" s="238">
        <v>33719.784</v>
      </c>
      <c r="M14" s="239">
        <v>16365.65</v>
      </c>
      <c r="N14" s="188"/>
      <c r="O14" s="237" t="s">
        <v>334</v>
      </c>
      <c r="P14" s="238">
        <v>26292.415000000001</v>
      </c>
      <c r="Q14" s="239">
        <v>12040.58</v>
      </c>
      <c r="R14" s="267"/>
    </row>
    <row r="15" spans="1:18" ht="20.149999999999999" customHeight="1" x14ac:dyDescent="0.35">
      <c r="B15" s="237" t="s">
        <v>395</v>
      </c>
      <c r="C15" s="238">
        <v>3592.3290000000002</v>
      </c>
      <c r="D15" s="239">
        <v>5514.2719999999999</v>
      </c>
      <c r="E15" s="188"/>
      <c r="F15" s="237" t="s">
        <v>398</v>
      </c>
      <c r="G15" s="238">
        <v>2739.5540000000001</v>
      </c>
      <c r="H15" s="239">
        <v>3456.1970000000001</v>
      </c>
      <c r="K15" s="237" t="s">
        <v>333</v>
      </c>
      <c r="L15" s="238">
        <v>21134.359</v>
      </c>
      <c r="M15" s="239">
        <v>15432.983</v>
      </c>
      <c r="N15" s="188"/>
      <c r="O15" s="237" t="s">
        <v>333</v>
      </c>
      <c r="P15" s="238">
        <v>17088.877</v>
      </c>
      <c r="Q15" s="239">
        <v>9826.1569999999992</v>
      </c>
      <c r="R15" s="267"/>
    </row>
    <row r="16" spans="1:18" ht="20.149999999999999" customHeight="1" x14ac:dyDescent="0.35">
      <c r="B16" s="237" t="s">
        <v>397</v>
      </c>
      <c r="C16" s="238">
        <v>568.59400000000005</v>
      </c>
      <c r="D16" s="239">
        <v>1086.0050000000001</v>
      </c>
      <c r="E16" s="188"/>
      <c r="F16" s="237" t="s">
        <v>395</v>
      </c>
      <c r="G16" s="238">
        <v>1375.489</v>
      </c>
      <c r="H16" s="239">
        <v>2164.817</v>
      </c>
      <c r="K16" s="237" t="s">
        <v>121</v>
      </c>
      <c r="L16" s="238">
        <v>6733.2550000000001</v>
      </c>
      <c r="M16" s="239">
        <v>2633.5619999999999</v>
      </c>
      <c r="N16" s="188"/>
      <c r="O16" s="237" t="s">
        <v>124</v>
      </c>
      <c r="P16" s="238">
        <v>10345.895</v>
      </c>
      <c r="Q16" s="239">
        <v>3024.44</v>
      </c>
      <c r="R16" s="267"/>
    </row>
    <row r="17" spans="2:18" ht="20.149999999999999" customHeight="1" x14ac:dyDescent="0.35">
      <c r="B17" s="237" t="s">
        <v>116</v>
      </c>
      <c r="C17" s="238">
        <v>512.02</v>
      </c>
      <c r="D17" s="239">
        <v>512.89200000000005</v>
      </c>
      <c r="E17" s="188"/>
      <c r="F17" s="237" t="s">
        <v>116</v>
      </c>
      <c r="G17" s="238">
        <v>494.48899999999998</v>
      </c>
      <c r="H17" s="239">
        <v>493.99200000000002</v>
      </c>
      <c r="K17" s="237" t="s">
        <v>124</v>
      </c>
      <c r="L17" s="238">
        <v>5663.31</v>
      </c>
      <c r="M17" s="239">
        <v>1872.925</v>
      </c>
      <c r="N17" s="188"/>
      <c r="O17" s="237" t="s">
        <v>353</v>
      </c>
      <c r="P17" s="238">
        <v>5390.0640000000003</v>
      </c>
      <c r="Q17" s="239">
        <v>1273.07</v>
      </c>
      <c r="R17" s="267"/>
    </row>
    <row r="18" spans="2:18" ht="20.149999999999999" customHeight="1" x14ac:dyDescent="0.35">
      <c r="B18" s="237" t="s">
        <v>124</v>
      </c>
      <c r="C18" s="238">
        <v>404.45699999999999</v>
      </c>
      <c r="D18" s="239">
        <v>19.353999999999999</v>
      </c>
      <c r="E18" s="188"/>
      <c r="F18" s="237" t="s">
        <v>124</v>
      </c>
      <c r="G18" s="238">
        <v>434.39800000000002</v>
      </c>
      <c r="H18" s="239">
        <v>19.631</v>
      </c>
      <c r="K18" s="237" t="s">
        <v>353</v>
      </c>
      <c r="L18" s="238">
        <v>2726.0160000000001</v>
      </c>
      <c r="M18" s="239">
        <v>589.58500000000004</v>
      </c>
      <c r="N18" s="188"/>
      <c r="O18" s="237" t="s">
        <v>403</v>
      </c>
      <c r="P18" s="238">
        <v>2227.788</v>
      </c>
      <c r="Q18" s="239">
        <v>691.30100000000004</v>
      </c>
      <c r="R18" s="267"/>
    </row>
    <row r="19" spans="2:18" ht="20.149999999999999" customHeight="1" x14ac:dyDescent="0.35">
      <c r="B19" s="237" t="s">
        <v>396</v>
      </c>
      <c r="C19" s="238">
        <v>397.05700000000002</v>
      </c>
      <c r="D19" s="239">
        <v>605.04700000000003</v>
      </c>
      <c r="E19" s="188"/>
      <c r="F19" s="237" t="s">
        <v>396</v>
      </c>
      <c r="G19" s="238">
        <v>313.30900000000003</v>
      </c>
      <c r="H19" s="239">
        <v>391.19600000000003</v>
      </c>
      <c r="K19" s="237" t="s">
        <v>123</v>
      </c>
      <c r="L19" s="238">
        <v>1533.306</v>
      </c>
      <c r="M19" s="239">
        <v>695.755</v>
      </c>
      <c r="N19" s="188"/>
      <c r="O19" s="237" t="s">
        <v>402</v>
      </c>
      <c r="P19" s="238">
        <v>1165.8030000000001</v>
      </c>
      <c r="Q19" s="239">
        <v>804</v>
      </c>
      <c r="R19" s="267"/>
    </row>
    <row r="20" spans="2:18" ht="20.149999999999999" customHeight="1" x14ac:dyDescent="0.35">
      <c r="B20" s="237" t="s">
        <v>121</v>
      </c>
      <c r="C20" s="238">
        <v>369.52800000000002</v>
      </c>
      <c r="D20" s="239">
        <v>979.89300000000003</v>
      </c>
      <c r="E20" s="188"/>
      <c r="F20" s="237" t="s">
        <v>399</v>
      </c>
      <c r="G20" s="238">
        <v>259.68299999999999</v>
      </c>
      <c r="H20" s="239">
        <v>366.01299999999998</v>
      </c>
      <c r="K20" s="237" t="s">
        <v>401</v>
      </c>
      <c r="L20" s="238">
        <v>1368.462</v>
      </c>
      <c r="M20" s="239">
        <v>476.988</v>
      </c>
      <c r="N20" s="188"/>
      <c r="O20" s="237" t="s">
        <v>404</v>
      </c>
      <c r="P20" s="238">
        <v>526.43100000000004</v>
      </c>
      <c r="Q20" s="239">
        <v>239.54400000000001</v>
      </c>
      <c r="R20" s="267"/>
    </row>
    <row r="21" spans="2:18" ht="20.149999999999999" customHeight="1" x14ac:dyDescent="0.35">
      <c r="B21" s="237" t="s">
        <v>398</v>
      </c>
      <c r="C21" s="238">
        <v>266.59800000000001</v>
      </c>
      <c r="D21" s="239">
        <v>318.88900000000001</v>
      </c>
      <c r="E21" s="188"/>
      <c r="F21" s="237" t="s">
        <v>121</v>
      </c>
      <c r="G21" s="238">
        <v>251.434</v>
      </c>
      <c r="H21" s="239">
        <v>192.18799999999999</v>
      </c>
      <c r="K21" s="237" t="s">
        <v>403</v>
      </c>
      <c r="L21" s="238">
        <v>1184.0820000000001</v>
      </c>
      <c r="M21" s="239">
        <v>685.05600000000004</v>
      </c>
      <c r="N21" s="188"/>
      <c r="O21" s="237" t="s">
        <v>121</v>
      </c>
      <c r="P21" s="238">
        <v>514.9</v>
      </c>
      <c r="Q21" s="239">
        <v>191.07300000000001</v>
      </c>
      <c r="R21" s="267"/>
    </row>
    <row r="22" spans="2:18" ht="20.149999999999999" customHeight="1" x14ac:dyDescent="0.35">
      <c r="B22" s="237" t="s">
        <v>125</v>
      </c>
      <c r="C22" s="238">
        <v>118.724</v>
      </c>
      <c r="D22" s="239">
        <v>221.38499999999999</v>
      </c>
      <c r="E22" s="188"/>
      <c r="F22" s="237" t="s">
        <v>397</v>
      </c>
      <c r="G22" s="238">
        <v>181.12200000000001</v>
      </c>
      <c r="H22" s="239">
        <v>271.70800000000003</v>
      </c>
      <c r="K22" s="237" t="s">
        <v>402</v>
      </c>
      <c r="L22" s="238">
        <v>1070.787</v>
      </c>
      <c r="M22" s="239">
        <v>708.5</v>
      </c>
      <c r="N22" s="188"/>
      <c r="O22" s="237" t="s">
        <v>159</v>
      </c>
      <c r="P22" s="238">
        <v>498.59699999999998</v>
      </c>
      <c r="Q22" s="239">
        <v>144.93600000000001</v>
      </c>
      <c r="R22" s="267"/>
    </row>
    <row r="23" spans="2:18" ht="20.149999999999999" customHeight="1" x14ac:dyDescent="0.35">
      <c r="B23" s="237" t="s">
        <v>366</v>
      </c>
      <c r="C23" s="238">
        <v>105.896</v>
      </c>
      <c r="D23" s="239">
        <v>117.158</v>
      </c>
      <c r="E23" s="188"/>
      <c r="F23" s="237" t="s">
        <v>365</v>
      </c>
      <c r="G23" s="238">
        <v>140.697</v>
      </c>
      <c r="H23" s="239">
        <v>16.949000000000002</v>
      </c>
      <c r="K23" s="237" t="s">
        <v>110</v>
      </c>
      <c r="L23" s="238">
        <v>265.53800000000001</v>
      </c>
      <c r="M23" s="239">
        <v>97.48</v>
      </c>
      <c r="N23" s="188"/>
      <c r="O23" s="237" t="s">
        <v>362</v>
      </c>
      <c r="P23" s="238">
        <v>441.25200000000001</v>
      </c>
      <c r="Q23" s="239">
        <v>230.65700000000001</v>
      </c>
      <c r="R23" s="267"/>
    </row>
    <row r="24" spans="2:18" ht="20.149999999999999" customHeight="1" x14ac:dyDescent="0.35">
      <c r="B24" s="237" t="s">
        <v>113</v>
      </c>
      <c r="C24" s="238">
        <v>68.956000000000003</v>
      </c>
      <c r="D24" s="239">
        <v>7.8579999999999997</v>
      </c>
      <c r="E24" s="188"/>
      <c r="F24" s="237" t="s">
        <v>366</v>
      </c>
      <c r="G24" s="238">
        <v>121.116</v>
      </c>
      <c r="H24" s="239">
        <v>192.23400000000001</v>
      </c>
      <c r="K24" s="237" t="s">
        <v>159</v>
      </c>
      <c r="L24" s="238">
        <v>137.28</v>
      </c>
      <c r="M24" s="239">
        <v>34.32</v>
      </c>
      <c r="N24" s="188"/>
      <c r="O24" s="237" t="s">
        <v>194</v>
      </c>
      <c r="P24" s="238">
        <v>439.87299999999999</v>
      </c>
      <c r="Q24" s="239">
        <v>223.768</v>
      </c>
      <c r="R24" s="267"/>
    </row>
    <row r="25" spans="2:18" ht="20.149999999999999" customHeight="1" x14ac:dyDescent="0.35">
      <c r="B25" s="237" t="s">
        <v>399</v>
      </c>
      <c r="C25" s="238">
        <v>59.286000000000001</v>
      </c>
      <c r="D25" s="239">
        <v>172.642</v>
      </c>
      <c r="E25" s="188"/>
      <c r="F25" s="237" t="s">
        <v>115</v>
      </c>
      <c r="G25" s="238">
        <v>101.20099999999999</v>
      </c>
      <c r="H25" s="239">
        <v>46.180999999999997</v>
      </c>
      <c r="K25" s="237" t="s">
        <v>194</v>
      </c>
      <c r="L25" s="238">
        <v>125.53100000000001</v>
      </c>
      <c r="M25" s="239">
        <v>90.546999999999997</v>
      </c>
      <c r="N25" s="188"/>
      <c r="O25" s="237" t="s">
        <v>110</v>
      </c>
      <c r="P25" s="238">
        <v>257.36599999999999</v>
      </c>
      <c r="Q25" s="239">
        <v>88.424999999999997</v>
      </c>
      <c r="R25" s="267"/>
    </row>
    <row r="26" spans="2:18" ht="20.149999999999999" customHeight="1" x14ac:dyDescent="0.35">
      <c r="B26" s="241"/>
      <c r="C26" s="242"/>
      <c r="D26" s="243"/>
      <c r="E26" s="188"/>
      <c r="F26" s="241"/>
      <c r="G26" s="242"/>
      <c r="H26" s="243"/>
      <c r="I26" s="266"/>
      <c r="J26" s="266"/>
      <c r="K26" s="241"/>
      <c r="L26" s="242"/>
      <c r="M26" s="243"/>
      <c r="N26" s="188"/>
      <c r="O26" s="241"/>
      <c r="P26" s="242"/>
      <c r="Q26" s="243"/>
      <c r="R26" s="267"/>
    </row>
    <row r="27" spans="2:18" ht="20.149999999999999" customHeight="1" thickBot="1" x14ac:dyDescent="0.4">
      <c r="B27" s="268"/>
      <c r="C27" s="269"/>
      <c r="D27" s="269"/>
      <c r="E27" s="270"/>
      <c r="F27" s="271"/>
      <c r="G27" s="272"/>
      <c r="H27" s="270"/>
      <c r="I27" s="273"/>
      <c r="J27" s="273"/>
      <c r="K27" s="273"/>
      <c r="L27" s="273"/>
      <c r="M27" s="270"/>
      <c r="N27" s="270"/>
      <c r="O27" s="270"/>
      <c r="P27" s="270"/>
      <c r="Q27" s="270"/>
      <c r="R27" s="274"/>
    </row>
    <row r="28" spans="2:18" ht="20.149999999999999" customHeight="1" x14ac:dyDescent="0.35">
      <c r="B28" s="275"/>
      <c r="C28" s="276"/>
      <c r="D28" s="276"/>
      <c r="E28" s="266"/>
      <c r="F28" s="277"/>
      <c r="G28" s="278"/>
      <c r="H28" s="266"/>
      <c r="I28" s="279"/>
      <c r="J28" s="279"/>
      <c r="K28" s="279"/>
      <c r="L28" s="279"/>
      <c r="M28" s="266"/>
      <c r="N28" s="266"/>
      <c r="O28" s="266"/>
      <c r="P28" s="266"/>
      <c r="Q28" s="266"/>
      <c r="R28" s="267"/>
    </row>
    <row r="31" spans="2:18" ht="18.5" x14ac:dyDescent="0.45">
      <c r="B31" s="11" t="s">
        <v>406</v>
      </c>
      <c r="C31" s="10"/>
      <c r="D31" s="10"/>
      <c r="E31" s="10"/>
      <c r="F31" s="10"/>
      <c r="G31" s="10"/>
      <c r="H31" s="10"/>
    </row>
    <row r="32" spans="2:18" ht="15.5" x14ac:dyDescent="0.35">
      <c r="B32" s="244" t="s">
        <v>328</v>
      </c>
      <c r="C32" s="245"/>
      <c r="D32" s="245"/>
      <c r="E32" s="245"/>
      <c r="F32" s="246"/>
      <c r="G32" s="247"/>
      <c r="H32" s="248"/>
    </row>
    <row r="33" spans="2:8" ht="17" x14ac:dyDescent="0.4">
      <c r="B33" s="225" t="s">
        <v>381</v>
      </c>
      <c r="C33" s="226"/>
      <c r="D33" s="227"/>
      <c r="E33" s="249"/>
      <c r="F33" s="225" t="s">
        <v>382</v>
      </c>
      <c r="G33" s="226"/>
      <c r="H33" s="227"/>
    </row>
    <row r="34" spans="2:8" ht="29.5" thickBot="1" x14ac:dyDescent="0.35">
      <c r="B34" s="228" t="s">
        <v>107</v>
      </c>
      <c r="C34" s="229" t="s">
        <v>108</v>
      </c>
      <c r="D34" s="230" t="s">
        <v>347</v>
      </c>
      <c r="E34" s="188"/>
      <c r="F34" s="228" t="s">
        <v>107</v>
      </c>
      <c r="G34" s="229" t="s">
        <v>108</v>
      </c>
      <c r="H34" s="230" t="s">
        <v>347</v>
      </c>
    </row>
    <row r="35" spans="2:8" ht="14.5" x14ac:dyDescent="0.35">
      <c r="B35" s="231" t="s">
        <v>109</v>
      </c>
      <c r="C35" s="232">
        <v>98636.297999999995</v>
      </c>
      <c r="D35" s="233">
        <v>40444.928</v>
      </c>
      <c r="E35" s="188"/>
      <c r="F35" s="231" t="s">
        <v>109</v>
      </c>
      <c r="G35" s="232">
        <v>100958.61500000001</v>
      </c>
      <c r="H35" s="233">
        <v>37592.525000000001</v>
      </c>
    </row>
    <row r="36" spans="2:8" ht="14.5" x14ac:dyDescent="0.35">
      <c r="B36" s="234" t="s">
        <v>116</v>
      </c>
      <c r="C36" s="235">
        <v>43451.57</v>
      </c>
      <c r="D36" s="236">
        <v>17525.421999999999</v>
      </c>
      <c r="E36" s="188"/>
      <c r="F36" s="234" t="s">
        <v>116</v>
      </c>
      <c r="G36" s="240">
        <v>44300.478000000003</v>
      </c>
      <c r="H36" s="250">
        <v>16201.947</v>
      </c>
    </row>
    <row r="37" spans="2:8" ht="14.5" x14ac:dyDescent="0.35">
      <c r="B37" s="237" t="s">
        <v>115</v>
      </c>
      <c r="C37" s="238">
        <v>19235.48</v>
      </c>
      <c r="D37" s="239">
        <v>6165.6930000000002</v>
      </c>
      <c r="E37" s="188"/>
      <c r="F37" s="237" t="s">
        <v>115</v>
      </c>
      <c r="G37" s="238">
        <v>21544.014999999999</v>
      </c>
      <c r="H37" s="239">
        <v>6677.1930000000002</v>
      </c>
    </row>
    <row r="38" spans="2:8" ht="14.5" x14ac:dyDescent="0.35">
      <c r="B38" s="237" t="s">
        <v>167</v>
      </c>
      <c r="C38" s="238">
        <v>17042.7</v>
      </c>
      <c r="D38" s="239">
        <v>9076.7729999999992</v>
      </c>
      <c r="E38" s="188"/>
      <c r="F38" s="237" t="s">
        <v>333</v>
      </c>
      <c r="G38" s="238">
        <v>12885.179</v>
      </c>
      <c r="H38" s="239">
        <v>4688.7259999999997</v>
      </c>
    </row>
    <row r="39" spans="2:8" ht="14.5" x14ac:dyDescent="0.35">
      <c r="B39" s="237" t="s">
        <v>333</v>
      </c>
      <c r="C39" s="238">
        <v>10362.826999999999</v>
      </c>
      <c r="D39" s="239">
        <v>4164.5290000000005</v>
      </c>
      <c r="E39" s="188"/>
      <c r="F39" s="237" t="s">
        <v>167</v>
      </c>
      <c r="G39" s="238">
        <v>9274.5259999999998</v>
      </c>
      <c r="H39" s="239">
        <v>4433.2870000000003</v>
      </c>
    </row>
    <row r="40" spans="2:8" ht="14.5" x14ac:dyDescent="0.35">
      <c r="B40" s="237" t="s">
        <v>407</v>
      </c>
      <c r="C40" s="238">
        <v>5810.9459999999999</v>
      </c>
      <c r="D40" s="239">
        <v>2193.8649999999998</v>
      </c>
      <c r="E40" s="188"/>
      <c r="F40" s="237" t="s">
        <v>407</v>
      </c>
      <c r="G40" s="238">
        <v>7089.8630000000003</v>
      </c>
      <c r="H40" s="239">
        <v>2761.9140000000002</v>
      </c>
    </row>
    <row r="41" spans="2:8" ht="14.5" x14ac:dyDescent="0.35">
      <c r="B41" s="237" t="s">
        <v>334</v>
      </c>
      <c r="C41" s="238">
        <v>1427.4359999999999</v>
      </c>
      <c r="D41" s="239">
        <v>656.51099999999997</v>
      </c>
      <c r="E41" s="188"/>
      <c r="F41" s="237" t="s">
        <v>348</v>
      </c>
      <c r="G41" s="238">
        <v>2172.8229999999999</v>
      </c>
      <c r="H41" s="239">
        <v>897.98699999999997</v>
      </c>
    </row>
    <row r="42" spans="2:8" ht="14.5" x14ac:dyDescent="0.35">
      <c r="B42" s="237" t="s">
        <v>353</v>
      </c>
      <c r="C42" s="238">
        <v>276.58100000000002</v>
      </c>
      <c r="D42" s="239">
        <v>134.053</v>
      </c>
      <c r="E42" s="188"/>
      <c r="F42" s="237" t="s">
        <v>362</v>
      </c>
      <c r="G42" s="238">
        <v>1291.8019999999999</v>
      </c>
      <c r="H42" s="239">
        <v>460.00099999999998</v>
      </c>
    </row>
    <row r="43" spans="2:8" ht="14.5" x14ac:dyDescent="0.35">
      <c r="B43" s="237" t="s">
        <v>408</v>
      </c>
      <c r="C43" s="238">
        <v>194.88200000000001</v>
      </c>
      <c r="D43" s="239">
        <v>115.925</v>
      </c>
      <c r="E43" s="188"/>
      <c r="F43" s="237" t="s">
        <v>334</v>
      </c>
      <c r="G43" s="238">
        <v>1056.595</v>
      </c>
      <c r="H43" s="239">
        <v>765.64300000000003</v>
      </c>
    </row>
    <row r="44" spans="2:8" ht="14.5" x14ac:dyDescent="0.35">
      <c r="B44" s="237" t="s">
        <v>335</v>
      </c>
      <c r="C44" s="238">
        <v>169.364</v>
      </c>
      <c r="D44" s="239">
        <v>115.59</v>
      </c>
      <c r="E44" s="188"/>
      <c r="F44" s="237" t="s">
        <v>110</v>
      </c>
      <c r="G44" s="238">
        <v>384.94</v>
      </c>
      <c r="H44" s="239">
        <v>185.02</v>
      </c>
    </row>
    <row r="45" spans="2:8" ht="14.5" x14ac:dyDescent="0.35">
      <c r="B45" s="237" t="s">
        <v>118</v>
      </c>
      <c r="C45" s="238">
        <v>169.33600000000001</v>
      </c>
      <c r="D45" s="239">
        <v>64.510999999999996</v>
      </c>
      <c r="E45" s="188"/>
      <c r="F45" s="237" t="s">
        <v>353</v>
      </c>
      <c r="G45" s="238">
        <v>322.49</v>
      </c>
      <c r="H45" s="239">
        <v>129.03399999999999</v>
      </c>
    </row>
    <row r="46" spans="2:8" ht="14.5" x14ac:dyDescent="0.35">
      <c r="B46" s="237" t="s">
        <v>122</v>
      </c>
      <c r="C46" s="238">
        <v>120.818</v>
      </c>
      <c r="D46" s="239">
        <v>47.945</v>
      </c>
      <c r="E46" s="188"/>
      <c r="F46" s="237" t="s">
        <v>335</v>
      </c>
      <c r="G46" s="238">
        <v>199.76499999999999</v>
      </c>
      <c r="H46" s="239">
        <v>219.09</v>
      </c>
    </row>
    <row r="47" spans="2:8" ht="14.5" x14ac:dyDescent="0.35">
      <c r="B47" s="237" t="s">
        <v>403</v>
      </c>
      <c r="C47" s="238">
        <v>117.76300000000001</v>
      </c>
      <c r="D47" s="239">
        <v>42.12</v>
      </c>
      <c r="E47" s="188"/>
      <c r="F47" s="237" t="s">
        <v>389</v>
      </c>
      <c r="G47" s="238">
        <v>171.227</v>
      </c>
      <c r="H47" s="239">
        <v>71.617999999999995</v>
      </c>
    </row>
    <row r="48" spans="2:8" ht="14.5" x14ac:dyDescent="0.35">
      <c r="B48" s="237" t="s">
        <v>409</v>
      </c>
      <c r="C48" s="238">
        <v>65.872</v>
      </c>
      <c r="D48" s="239">
        <v>29.545999999999999</v>
      </c>
      <c r="E48" s="188"/>
      <c r="F48" s="237" t="s">
        <v>118</v>
      </c>
      <c r="G48" s="238">
        <v>86.927999999999997</v>
      </c>
      <c r="H48" s="239">
        <v>33.511000000000003</v>
      </c>
    </row>
    <row r="49" spans="2:8" ht="14.5" x14ac:dyDescent="0.35">
      <c r="B49" s="237" t="s">
        <v>110</v>
      </c>
      <c r="C49" s="238">
        <v>65.122</v>
      </c>
      <c r="D49" s="239">
        <v>53.185000000000002</v>
      </c>
      <c r="E49" s="188"/>
      <c r="F49" s="237" t="s">
        <v>408</v>
      </c>
      <c r="G49" s="238">
        <v>73.706000000000003</v>
      </c>
      <c r="H49" s="239">
        <v>28.38</v>
      </c>
    </row>
    <row r="50" spans="2:8" ht="14.5" x14ac:dyDescent="0.35">
      <c r="B50" s="237" t="s">
        <v>124</v>
      </c>
      <c r="C50" s="238">
        <v>51.286000000000001</v>
      </c>
      <c r="D50" s="239">
        <v>23.638999999999999</v>
      </c>
      <c r="E50" s="188"/>
      <c r="F50" s="237" t="s">
        <v>123</v>
      </c>
      <c r="G50" s="238">
        <v>32.357999999999997</v>
      </c>
      <c r="H50" s="239">
        <v>9.7100000000000009</v>
      </c>
    </row>
    <row r="51" spans="2:8" ht="14.5" x14ac:dyDescent="0.35">
      <c r="B51" s="241" t="s">
        <v>348</v>
      </c>
      <c r="C51" s="242">
        <v>42.417999999999999</v>
      </c>
      <c r="D51" s="243">
        <v>20.59</v>
      </c>
      <c r="E51" s="188"/>
      <c r="F51" s="241" t="s">
        <v>124</v>
      </c>
      <c r="G51" s="242">
        <v>32.356999999999999</v>
      </c>
      <c r="H51" s="243">
        <v>14.353</v>
      </c>
    </row>
  </sheetData>
  <pageMargins left="0" right="0" top="0.35433070866141736" bottom="0.35433070866141736" header="0.23622047244094491" footer="0.11811023622047245"/>
  <pageSetup paperSize="9" scale="54" orientation="landscape" r:id="rId1"/>
  <headerFooter alignWithMargins="0">
    <oddFooter>&amp;L&amp;"Times New Roman CE,Pogrubiona kursywa"&amp;12Źródło: Dane MF, CIHZ&amp;R&amp;"Times New Roman CE,Pogrubiona kursywa"&amp;12Przygotowała: Agnieszka Szarejko-Pater</oddFooter>
  </headerFooter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39997558519241921"/>
    <pageSetUpPr fitToPage="1"/>
  </sheetPr>
  <dimension ref="A1:L38"/>
  <sheetViews>
    <sheetView showGridLines="0" zoomScale="85" zoomScaleNormal="85" workbookViewId="0">
      <selection activeCell="G8" sqref="G8:I26"/>
    </sheetView>
  </sheetViews>
  <sheetFormatPr defaultColWidth="9.1796875" defaultRowHeight="13" x14ac:dyDescent="0.3"/>
  <cols>
    <col min="1" max="1" width="10.7265625" style="256" customWidth="1"/>
    <col min="2" max="2" width="20.7265625" style="256" customWidth="1"/>
    <col min="3" max="6" width="10.7265625" style="256" customWidth="1"/>
    <col min="7" max="7" width="20.7265625" style="256" customWidth="1"/>
    <col min="8" max="10" width="10.7265625" style="256" customWidth="1"/>
    <col min="11" max="12" width="5.7265625" style="256" customWidth="1"/>
    <col min="13" max="16384" width="9.1796875" style="256"/>
  </cols>
  <sheetData>
    <row r="1" spans="1:12" s="33" customFormat="1" ht="25" customHeight="1" x14ac:dyDescent="0.25">
      <c r="D1" s="157"/>
      <c r="G1" s="34"/>
    </row>
    <row r="2" spans="1:12" s="33" customFormat="1" ht="25" customHeight="1" x14ac:dyDescent="0.25">
      <c r="A2" s="251"/>
      <c r="B2" s="38" t="s">
        <v>410</v>
      </c>
      <c r="C2" s="38"/>
      <c r="D2" s="52"/>
      <c r="E2" s="252"/>
      <c r="F2" s="252"/>
      <c r="G2" s="252"/>
      <c r="H2" s="252"/>
      <c r="I2" s="252"/>
      <c r="J2" s="252"/>
      <c r="K2" s="252"/>
      <c r="L2" s="252"/>
    </row>
    <row r="3" spans="1:12" s="33" customFormat="1" ht="25" customHeight="1" thickBot="1" x14ac:dyDescent="0.35">
      <c r="B3" s="423" t="s">
        <v>411</v>
      </c>
      <c r="C3" s="41"/>
      <c r="D3" s="177"/>
      <c r="E3" s="178"/>
      <c r="F3" s="177"/>
      <c r="G3" s="179"/>
      <c r="H3" s="180"/>
      <c r="I3" s="253"/>
      <c r="J3" s="253"/>
      <c r="K3" s="254"/>
      <c r="L3" s="183"/>
    </row>
    <row r="4" spans="1:12" s="33" customFormat="1" ht="25" customHeight="1" thickTop="1" x14ac:dyDescent="0.3">
      <c r="B4" s="255" t="s">
        <v>329</v>
      </c>
      <c r="C4" s="159"/>
      <c r="D4" s="52"/>
      <c r="E4" s="51"/>
      <c r="F4" s="52"/>
      <c r="G4" s="53"/>
      <c r="H4" s="160"/>
      <c r="I4" s="252"/>
      <c r="J4" s="252"/>
      <c r="K4" s="285"/>
    </row>
    <row r="5" spans="1:12" s="257" customFormat="1" ht="20.149999999999999" customHeight="1" x14ac:dyDescent="0.3">
      <c r="B5" s="258" t="s">
        <v>330</v>
      </c>
      <c r="C5" s="258"/>
      <c r="D5" s="259"/>
      <c r="E5" s="259"/>
      <c r="F5" s="259"/>
      <c r="G5" s="259"/>
      <c r="I5" s="424"/>
    </row>
    <row r="6" spans="1:12" s="257" customFormat="1" ht="20.149999999999999" customHeight="1" x14ac:dyDescent="0.3">
      <c r="B6" s="425"/>
      <c r="C6" s="425"/>
      <c r="D6" s="425"/>
      <c r="E6" s="425"/>
      <c r="F6" s="425"/>
      <c r="G6" s="425"/>
      <c r="H6" s="425"/>
      <c r="I6" s="424"/>
    </row>
    <row r="7" spans="1:12" s="261" customFormat="1" ht="40" customHeight="1" x14ac:dyDescent="0.25">
      <c r="B7" s="426" t="s">
        <v>412</v>
      </c>
      <c r="C7" s="427"/>
      <c r="D7" s="427"/>
      <c r="E7" s="428"/>
      <c r="F7" s="263"/>
      <c r="G7" s="429"/>
      <c r="H7" s="430"/>
      <c r="I7" s="427"/>
      <c r="J7" s="427"/>
      <c r="K7" s="431"/>
    </row>
    <row r="8" spans="1:12" ht="20.149999999999999" customHeight="1" x14ac:dyDescent="0.4">
      <c r="B8" s="225" t="s">
        <v>458</v>
      </c>
      <c r="C8" s="226"/>
      <c r="D8" s="227"/>
      <c r="E8" s="227"/>
      <c r="F8" s="249"/>
      <c r="G8" s="225" t="s">
        <v>459</v>
      </c>
      <c r="H8" s="226"/>
      <c r="I8" s="227"/>
      <c r="J8" s="227"/>
      <c r="K8" s="432"/>
      <c r="L8" s="265"/>
    </row>
    <row r="9" spans="1:12" ht="40" customHeight="1" thickBot="1" x14ac:dyDescent="0.35">
      <c r="B9" s="228" t="s">
        <v>107</v>
      </c>
      <c r="C9" s="229" t="s">
        <v>108</v>
      </c>
      <c r="D9" s="230" t="s">
        <v>347</v>
      </c>
      <c r="E9" s="230" t="s">
        <v>414</v>
      </c>
      <c r="F9" s="188"/>
      <c r="G9" s="228" t="s">
        <v>107</v>
      </c>
      <c r="H9" s="229" t="s">
        <v>108</v>
      </c>
      <c r="I9" s="230" t="s">
        <v>347</v>
      </c>
      <c r="J9" s="230" t="s">
        <v>414</v>
      </c>
      <c r="K9" s="433"/>
    </row>
    <row r="10" spans="1:12" ht="20.149999999999999" customHeight="1" x14ac:dyDescent="0.35">
      <c r="B10" s="231" t="s">
        <v>109</v>
      </c>
      <c r="C10" s="434">
        <v>244814.32800000001</v>
      </c>
      <c r="D10" s="435">
        <v>359199.88099999999</v>
      </c>
      <c r="E10" s="233">
        <v>121510.11500000001</v>
      </c>
      <c r="F10" s="188"/>
      <c r="G10" s="231" t="s">
        <v>109</v>
      </c>
      <c r="H10" s="434">
        <v>246472.02499999999</v>
      </c>
      <c r="I10" s="435">
        <v>400356.33199999999</v>
      </c>
      <c r="J10" s="233">
        <v>120336.791</v>
      </c>
      <c r="K10" s="433"/>
    </row>
    <row r="11" spans="1:12" ht="20.149999999999999" customHeight="1" x14ac:dyDescent="0.35">
      <c r="B11" s="234" t="s">
        <v>115</v>
      </c>
      <c r="C11" s="436">
        <v>22710.474999999999</v>
      </c>
      <c r="D11" s="437">
        <v>35731.932000000001</v>
      </c>
      <c r="E11" s="236">
        <v>10668.68</v>
      </c>
      <c r="F11" s="188"/>
      <c r="G11" s="234" t="s">
        <v>110</v>
      </c>
      <c r="H11" s="438">
        <v>24534.341</v>
      </c>
      <c r="I11" s="240">
        <v>36870.120999999999</v>
      </c>
      <c r="J11" s="250">
        <v>11543.733</v>
      </c>
      <c r="K11" s="433"/>
    </row>
    <row r="12" spans="1:12" ht="20.149999999999999" customHeight="1" x14ac:dyDescent="0.35">
      <c r="B12" s="237" t="s">
        <v>112</v>
      </c>
      <c r="C12" s="439">
        <v>21198.707999999999</v>
      </c>
      <c r="D12" s="238">
        <v>29473.751</v>
      </c>
      <c r="E12" s="239">
        <v>11481.727000000001</v>
      </c>
      <c r="F12" s="188"/>
      <c r="G12" s="237" t="s">
        <v>112</v>
      </c>
      <c r="H12" s="439">
        <v>20259.226999999999</v>
      </c>
      <c r="I12" s="238">
        <v>33694.686000000002</v>
      </c>
      <c r="J12" s="239">
        <v>11611.22</v>
      </c>
      <c r="K12" s="433"/>
    </row>
    <row r="13" spans="1:12" ht="20.149999999999999" customHeight="1" x14ac:dyDescent="0.35">
      <c r="B13" s="237" t="s">
        <v>114</v>
      </c>
      <c r="C13" s="439">
        <v>17082.681</v>
      </c>
      <c r="D13" s="238">
        <v>23115.741999999998</v>
      </c>
      <c r="E13" s="239">
        <v>7050.9589999999998</v>
      </c>
      <c r="F13" s="188"/>
      <c r="G13" s="237" t="s">
        <v>274</v>
      </c>
      <c r="H13" s="439">
        <v>18900.554</v>
      </c>
      <c r="I13" s="238">
        <v>41931.271999999997</v>
      </c>
      <c r="J13" s="239">
        <v>6158.8819999999996</v>
      </c>
      <c r="K13" s="433"/>
    </row>
    <row r="14" spans="1:12" ht="20.149999999999999" customHeight="1" x14ac:dyDescent="0.35">
      <c r="B14" s="237" t="s">
        <v>110</v>
      </c>
      <c r="C14" s="439">
        <v>16762.43</v>
      </c>
      <c r="D14" s="238">
        <v>22478.775000000001</v>
      </c>
      <c r="E14" s="239">
        <v>6809.0360000000001</v>
      </c>
      <c r="F14" s="188"/>
      <c r="G14" s="237" t="s">
        <v>111</v>
      </c>
      <c r="H14" s="439">
        <v>17311.911</v>
      </c>
      <c r="I14" s="238">
        <v>32159.682000000001</v>
      </c>
      <c r="J14" s="239">
        <v>6963.2190000000001</v>
      </c>
      <c r="K14" s="433"/>
    </row>
    <row r="15" spans="1:12" ht="20.149999999999999" customHeight="1" x14ac:dyDescent="0.35">
      <c r="B15" s="237" t="s">
        <v>274</v>
      </c>
      <c r="C15" s="439">
        <v>14577.316000000001</v>
      </c>
      <c r="D15" s="238">
        <v>29840.358</v>
      </c>
      <c r="E15" s="239">
        <v>6046.84</v>
      </c>
      <c r="F15" s="188"/>
      <c r="G15" s="237" t="s">
        <v>113</v>
      </c>
      <c r="H15" s="439">
        <v>15046.657999999999</v>
      </c>
      <c r="I15" s="238">
        <v>20511.928</v>
      </c>
      <c r="J15" s="239">
        <v>4852.63</v>
      </c>
      <c r="K15" s="433"/>
    </row>
    <row r="16" spans="1:12" ht="20.149999999999999" customHeight="1" x14ac:dyDescent="0.35">
      <c r="B16" s="237" t="s">
        <v>167</v>
      </c>
      <c r="C16" s="439">
        <v>13697.71</v>
      </c>
      <c r="D16" s="238">
        <v>26257.68</v>
      </c>
      <c r="E16" s="239">
        <v>6254.4549999999999</v>
      </c>
      <c r="F16" s="188"/>
      <c r="G16" s="237" t="s">
        <v>194</v>
      </c>
      <c r="H16" s="439">
        <v>11888.821</v>
      </c>
      <c r="I16" s="238">
        <v>18782.37</v>
      </c>
      <c r="J16" s="239">
        <v>5704.42</v>
      </c>
      <c r="K16" s="433"/>
    </row>
    <row r="17" spans="2:12" ht="20.149999999999999" customHeight="1" x14ac:dyDescent="0.35">
      <c r="B17" s="237" t="s">
        <v>111</v>
      </c>
      <c r="C17" s="439">
        <v>12224.97</v>
      </c>
      <c r="D17" s="238">
        <v>20680.627</v>
      </c>
      <c r="E17" s="239">
        <v>7444.3310000000001</v>
      </c>
      <c r="F17" s="188"/>
      <c r="G17" s="237" t="s">
        <v>119</v>
      </c>
      <c r="H17" s="439">
        <v>10986.784</v>
      </c>
      <c r="I17" s="238">
        <v>18366.368999999999</v>
      </c>
      <c r="J17" s="239">
        <v>5203.7529999999997</v>
      </c>
      <c r="K17" s="433"/>
    </row>
    <row r="18" spans="2:12" ht="20.149999999999999" customHeight="1" x14ac:dyDescent="0.35">
      <c r="B18" s="237" t="s">
        <v>194</v>
      </c>
      <c r="C18" s="439">
        <v>10360.475</v>
      </c>
      <c r="D18" s="238">
        <v>15105.159</v>
      </c>
      <c r="E18" s="239">
        <v>4380.3919999999998</v>
      </c>
      <c r="F18" s="188"/>
      <c r="G18" s="237" t="s">
        <v>114</v>
      </c>
      <c r="H18" s="439">
        <v>9394.7849999999999</v>
      </c>
      <c r="I18" s="238">
        <v>14922.528</v>
      </c>
      <c r="J18" s="239">
        <v>9388.4390000000003</v>
      </c>
      <c r="K18" s="433"/>
    </row>
    <row r="19" spans="2:12" ht="20.149999999999999" customHeight="1" x14ac:dyDescent="0.35">
      <c r="B19" s="237" t="s">
        <v>118</v>
      </c>
      <c r="C19" s="439">
        <v>10026.055</v>
      </c>
      <c r="D19" s="238">
        <v>12470.226000000001</v>
      </c>
      <c r="E19" s="239">
        <v>9217.92</v>
      </c>
      <c r="F19" s="188"/>
      <c r="G19" s="237" t="s">
        <v>118</v>
      </c>
      <c r="H19" s="439">
        <v>8658.2070000000003</v>
      </c>
      <c r="I19" s="238">
        <v>12002.964</v>
      </c>
      <c r="J19" s="239">
        <v>5278.7340000000004</v>
      </c>
      <c r="K19" s="433"/>
    </row>
    <row r="20" spans="2:12" ht="20.149999999999999" customHeight="1" x14ac:dyDescent="0.35">
      <c r="B20" s="237" t="s">
        <v>113</v>
      </c>
      <c r="C20" s="439">
        <v>8389.5939999999991</v>
      </c>
      <c r="D20" s="238">
        <v>10963.288</v>
      </c>
      <c r="E20" s="239">
        <v>7895.1880000000001</v>
      </c>
      <c r="F20" s="188"/>
      <c r="G20" s="237" t="s">
        <v>115</v>
      </c>
      <c r="H20" s="439">
        <v>8424.7459999999992</v>
      </c>
      <c r="I20" s="238">
        <v>14314.494000000001</v>
      </c>
      <c r="J20" s="239">
        <v>5599.52</v>
      </c>
      <c r="K20" s="433"/>
    </row>
    <row r="21" spans="2:12" ht="20.149999999999999" customHeight="1" x14ac:dyDescent="0.35">
      <c r="B21" s="237" t="s">
        <v>117</v>
      </c>
      <c r="C21" s="439">
        <v>7887.8289999999997</v>
      </c>
      <c r="D21" s="238">
        <v>9654.1029999999992</v>
      </c>
      <c r="E21" s="239">
        <v>3627.163</v>
      </c>
      <c r="F21" s="188"/>
      <c r="G21" s="237" t="s">
        <v>116</v>
      </c>
      <c r="H21" s="439">
        <v>7223.2790000000005</v>
      </c>
      <c r="I21" s="238">
        <v>9940.49</v>
      </c>
      <c r="J21" s="239">
        <v>4048.6439999999998</v>
      </c>
      <c r="K21" s="433"/>
    </row>
    <row r="22" spans="2:12" ht="20.149999999999999" customHeight="1" x14ac:dyDescent="0.35">
      <c r="B22" s="237" t="s">
        <v>116</v>
      </c>
      <c r="C22" s="439">
        <v>6667.4160000000002</v>
      </c>
      <c r="D22" s="238">
        <v>8595.8850000000002</v>
      </c>
      <c r="E22" s="239">
        <v>4168.7939999999999</v>
      </c>
      <c r="F22" s="188"/>
      <c r="G22" s="237" t="s">
        <v>167</v>
      </c>
      <c r="H22" s="439">
        <v>7056.0320000000002</v>
      </c>
      <c r="I22" s="238">
        <v>13267.796</v>
      </c>
      <c r="J22" s="239">
        <v>3937.4520000000002</v>
      </c>
      <c r="K22" s="433"/>
    </row>
    <row r="23" spans="2:12" ht="20.149999999999999" customHeight="1" x14ac:dyDescent="0.35">
      <c r="B23" s="237" t="s">
        <v>159</v>
      </c>
      <c r="C23" s="439">
        <v>6497.53</v>
      </c>
      <c r="D23" s="238">
        <v>8090.92</v>
      </c>
      <c r="E23" s="239">
        <v>3856.7530000000002</v>
      </c>
      <c r="F23" s="188"/>
      <c r="G23" s="237" t="s">
        <v>362</v>
      </c>
      <c r="H23" s="439">
        <v>7035.3559999999998</v>
      </c>
      <c r="I23" s="238">
        <v>11223.527</v>
      </c>
      <c r="J23" s="239">
        <v>3814.636</v>
      </c>
      <c r="K23" s="433"/>
    </row>
    <row r="24" spans="2:12" ht="20.149999999999999" customHeight="1" x14ac:dyDescent="0.35">
      <c r="B24" s="237" t="s">
        <v>119</v>
      </c>
      <c r="C24" s="439">
        <v>6183.6620000000003</v>
      </c>
      <c r="D24" s="238">
        <v>9428.3340000000007</v>
      </c>
      <c r="E24" s="239">
        <v>3146.5590000000002</v>
      </c>
      <c r="F24" s="188"/>
      <c r="G24" s="237" t="s">
        <v>327</v>
      </c>
      <c r="H24" s="439">
        <v>6847.259</v>
      </c>
      <c r="I24" s="238">
        <v>10276.746999999999</v>
      </c>
      <c r="J24" s="239">
        <v>2836.0239999999999</v>
      </c>
      <c r="K24" s="433"/>
    </row>
    <row r="25" spans="2:12" ht="20.149999999999999" customHeight="1" x14ac:dyDescent="0.35">
      <c r="B25" s="237" t="s">
        <v>327</v>
      </c>
      <c r="C25" s="439">
        <v>5858.3329999999996</v>
      </c>
      <c r="D25" s="238">
        <v>7744.3580000000002</v>
      </c>
      <c r="E25" s="239">
        <v>2017.0989999999999</v>
      </c>
      <c r="F25" s="188"/>
      <c r="G25" s="237" t="s">
        <v>348</v>
      </c>
      <c r="H25" s="439">
        <v>6102.9430000000002</v>
      </c>
      <c r="I25" s="238">
        <v>9333.9110000000001</v>
      </c>
      <c r="J25" s="239">
        <v>3443.223</v>
      </c>
      <c r="K25" s="433"/>
    </row>
    <row r="26" spans="2:12" ht="20.149999999999999" customHeight="1" x14ac:dyDescent="0.35">
      <c r="B26" s="234" t="s">
        <v>160</v>
      </c>
      <c r="C26" s="439">
        <v>4968.6949999999997</v>
      </c>
      <c r="D26" s="238">
        <v>7223.491</v>
      </c>
      <c r="E26" s="239">
        <v>5164.4489999999996</v>
      </c>
      <c r="F26" s="188"/>
      <c r="G26" s="234" t="s">
        <v>117</v>
      </c>
      <c r="H26" s="439">
        <v>5232.0619999999999</v>
      </c>
      <c r="I26" s="238">
        <v>6291.8519999999999</v>
      </c>
      <c r="J26" s="239">
        <v>1980.5840000000001</v>
      </c>
      <c r="K26" s="440"/>
      <c r="L26" s="266"/>
    </row>
    <row r="27" spans="2:12" ht="20.149999999999999" customHeight="1" x14ac:dyDescent="0.35">
      <c r="B27" s="234"/>
      <c r="C27" s="439"/>
      <c r="D27" s="238"/>
      <c r="E27" s="239"/>
      <c r="F27" s="188"/>
      <c r="G27" s="234"/>
      <c r="H27" s="439"/>
      <c r="I27" s="238"/>
      <c r="J27" s="239"/>
      <c r="K27" s="440"/>
      <c r="L27" s="266"/>
    </row>
    <row r="28" spans="2:12" ht="20.149999999999999" customHeight="1" x14ac:dyDescent="0.35">
      <c r="B28" s="234"/>
      <c r="C28" s="439"/>
      <c r="D28" s="238"/>
      <c r="E28" s="239"/>
      <c r="F28" s="188"/>
      <c r="G28" s="234"/>
      <c r="H28" s="439"/>
      <c r="I28" s="238"/>
      <c r="J28" s="239"/>
      <c r="K28" s="440"/>
      <c r="L28" s="266"/>
    </row>
    <row r="29" spans="2:12" ht="20.149999999999999" customHeight="1" x14ac:dyDescent="0.35">
      <c r="B29" s="241"/>
      <c r="C29" s="441"/>
      <c r="D29" s="242"/>
      <c r="E29" s="243"/>
      <c r="F29" s="188"/>
      <c r="G29" s="241"/>
      <c r="H29" s="441"/>
      <c r="I29" s="242"/>
      <c r="J29" s="243"/>
      <c r="K29" s="442"/>
      <c r="L29" s="443"/>
    </row>
    <row r="30" spans="2:12" ht="20.149999999999999" customHeight="1" x14ac:dyDescent="0.35">
      <c r="B30" s="275"/>
      <c r="C30" s="276"/>
      <c r="D30" s="276"/>
      <c r="E30" s="276"/>
      <c r="F30" s="266"/>
      <c r="G30" s="277"/>
      <c r="H30" s="278"/>
      <c r="I30" s="279"/>
      <c r="J30" s="266"/>
      <c r="K30" s="444"/>
      <c r="L30" s="279"/>
    </row>
    <row r="38" spans="1:1" x14ac:dyDescent="0.3">
      <c r="A38" s="445"/>
    </row>
  </sheetData>
  <pageMargins left="0" right="0" top="0.35433070866141736" bottom="0.35433070866141736" header="0.23622047244094491" footer="0.11811023622047245"/>
  <pageSetup paperSize="9" scale="54" orientation="landscape" r:id="rId1"/>
  <headerFooter alignWithMargins="0">
    <oddFooter>&amp;L&amp;"Times New Roman CE,Pogrubiona kursywa"&amp;12Źródło: Dane MF, CIHZ&amp;R&amp;"Times New Roman CE,Pogrubiona kursywa"&amp;12Przygotowała: Agnieszka Szarejko-Pater</oddFooter>
  </headerFooter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39997558519241921"/>
    <pageSetUpPr fitToPage="1"/>
  </sheetPr>
  <dimension ref="A1:L31"/>
  <sheetViews>
    <sheetView showGridLines="0" topLeftCell="A3" zoomScale="85" zoomScaleNormal="85" workbookViewId="0">
      <selection activeCell="G6" sqref="G6"/>
    </sheetView>
  </sheetViews>
  <sheetFormatPr defaultColWidth="9.1796875" defaultRowHeight="13" x14ac:dyDescent="0.3"/>
  <cols>
    <col min="1" max="1" width="10.7265625" style="256" customWidth="1"/>
    <col min="2" max="2" width="20.7265625" style="256" customWidth="1"/>
    <col min="3" max="6" width="10.7265625" style="256" customWidth="1"/>
    <col min="7" max="7" width="20.7265625" style="256" customWidth="1"/>
    <col min="8" max="10" width="10.7265625" style="256" customWidth="1"/>
    <col min="11" max="12" width="5.7265625" style="256" customWidth="1"/>
    <col min="13" max="16384" width="9.1796875" style="256"/>
  </cols>
  <sheetData>
    <row r="1" spans="1:12" s="33" customFormat="1" ht="25" customHeight="1" x14ac:dyDescent="0.25">
      <c r="D1" s="157"/>
      <c r="G1" s="34"/>
    </row>
    <row r="2" spans="1:12" s="33" customFormat="1" ht="25" customHeight="1" x14ac:dyDescent="0.25">
      <c r="A2" s="251"/>
      <c r="B2" s="38" t="s">
        <v>415</v>
      </c>
      <c r="C2" s="38"/>
      <c r="D2" s="52"/>
      <c r="E2" s="252"/>
      <c r="F2" s="252"/>
      <c r="G2" s="252"/>
      <c r="H2" s="252"/>
      <c r="I2" s="252"/>
      <c r="J2" s="252"/>
      <c r="K2" s="252"/>
      <c r="L2" s="252"/>
    </row>
    <row r="3" spans="1:12" s="33" customFormat="1" ht="25" customHeight="1" thickBot="1" x14ac:dyDescent="0.35">
      <c r="B3" s="423"/>
      <c r="C3" s="41"/>
      <c r="D3" s="177"/>
      <c r="E3" s="178"/>
      <c r="F3" s="177"/>
      <c r="G3" s="179"/>
      <c r="H3" s="180"/>
      <c r="I3" s="253"/>
      <c r="J3" s="253"/>
      <c r="K3" s="254"/>
      <c r="L3" s="183"/>
    </row>
    <row r="4" spans="1:12" s="33" customFormat="1" ht="24.75" customHeight="1" thickTop="1" x14ac:dyDescent="0.3">
      <c r="B4" s="255" t="s">
        <v>329</v>
      </c>
      <c r="C4" s="159"/>
      <c r="D4" s="52"/>
      <c r="E4" s="51"/>
      <c r="F4" s="52"/>
      <c r="G4" s="53"/>
      <c r="H4" s="160"/>
      <c r="I4" s="252"/>
      <c r="J4" s="252"/>
      <c r="K4" s="285"/>
    </row>
    <row r="5" spans="1:12" s="257" customFormat="1" ht="20.149999999999999" customHeight="1" x14ac:dyDescent="0.3">
      <c r="B5" s="258"/>
      <c r="C5" s="258"/>
      <c r="D5" s="259"/>
      <c r="E5" s="259"/>
      <c r="F5" s="259"/>
      <c r="G5" s="259"/>
      <c r="I5" s="424"/>
    </row>
    <row r="6" spans="1:12" s="257" customFormat="1" ht="20.149999999999999" customHeight="1" x14ac:dyDescent="0.3">
      <c r="B6" s="425"/>
      <c r="C6" s="425"/>
      <c r="D6" s="425"/>
      <c r="E6" s="425"/>
      <c r="F6" s="425"/>
      <c r="G6" s="425"/>
      <c r="H6" s="425"/>
      <c r="I6" s="424"/>
    </row>
    <row r="7" spans="1:12" s="261" customFormat="1" ht="40" customHeight="1" x14ac:dyDescent="0.25">
      <c r="B7" s="426" t="s">
        <v>412</v>
      </c>
      <c r="C7" s="427"/>
      <c r="D7" s="427"/>
      <c r="E7" s="428"/>
      <c r="F7" s="263"/>
      <c r="G7" s="429"/>
      <c r="H7" s="430"/>
      <c r="I7" s="427"/>
      <c r="J7" s="427"/>
      <c r="K7" s="431"/>
    </row>
    <row r="8" spans="1:12" ht="20.149999999999999" customHeight="1" x14ac:dyDescent="0.4">
      <c r="B8" s="225" t="s">
        <v>416</v>
      </c>
      <c r="C8" s="226"/>
      <c r="D8" s="227"/>
      <c r="E8" s="227"/>
      <c r="F8" s="249"/>
      <c r="G8" s="225" t="s">
        <v>417</v>
      </c>
      <c r="H8" s="226"/>
      <c r="I8" s="227"/>
      <c r="J8" s="227"/>
      <c r="K8" s="432"/>
      <c r="L8" s="265"/>
    </row>
    <row r="9" spans="1:12" ht="40" customHeight="1" thickBot="1" x14ac:dyDescent="0.35">
      <c r="B9" s="228" t="s">
        <v>107</v>
      </c>
      <c r="C9" s="229" t="s">
        <v>413</v>
      </c>
      <c r="D9" s="230" t="s">
        <v>414</v>
      </c>
      <c r="E9" s="230" t="s">
        <v>414</v>
      </c>
      <c r="F9" s="188"/>
      <c r="G9" s="228" t="s">
        <v>107</v>
      </c>
      <c r="H9" s="229" t="s">
        <v>413</v>
      </c>
      <c r="I9" s="230" t="s">
        <v>414</v>
      </c>
      <c r="J9" s="230" t="s">
        <v>414</v>
      </c>
      <c r="K9" s="433"/>
    </row>
    <row r="10" spans="1:12" ht="20.149999999999999" customHeight="1" x14ac:dyDescent="0.35">
      <c r="B10" s="231" t="s">
        <v>109</v>
      </c>
      <c r="C10" s="434">
        <v>477007.24900000001</v>
      </c>
      <c r="D10" s="435">
        <v>806264.68599999999</v>
      </c>
      <c r="E10" s="233">
        <v>806264.68599999999</v>
      </c>
      <c r="F10" s="188"/>
      <c r="G10" s="231" t="s">
        <v>109</v>
      </c>
      <c r="H10" s="434">
        <v>486212.408</v>
      </c>
      <c r="I10" s="435">
        <v>700508.13699999999</v>
      </c>
      <c r="J10" s="233">
        <v>700508.13699999999</v>
      </c>
      <c r="K10" s="433"/>
    </row>
    <row r="11" spans="1:12" ht="20.149999999999999" customHeight="1" x14ac:dyDescent="0.35">
      <c r="B11" s="234" t="s">
        <v>115</v>
      </c>
      <c r="C11" s="436">
        <v>57867.332999999999</v>
      </c>
      <c r="D11" s="437">
        <v>111789.819</v>
      </c>
      <c r="E11" s="236">
        <v>111789.819</v>
      </c>
      <c r="F11" s="188"/>
      <c r="G11" s="234" t="s">
        <v>110</v>
      </c>
      <c r="H11" s="438">
        <v>44556.36</v>
      </c>
      <c r="I11" s="240">
        <v>62719.406999999999</v>
      </c>
      <c r="J11" s="250">
        <v>62719.406999999999</v>
      </c>
      <c r="K11" s="433"/>
    </row>
    <row r="12" spans="1:12" ht="20.149999999999999" customHeight="1" x14ac:dyDescent="0.35">
      <c r="B12" s="237" t="s">
        <v>112</v>
      </c>
      <c r="C12" s="439">
        <v>33670.529000000002</v>
      </c>
      <c r="D12" s="238">
        <v>56733.489000000001</v>
      </c>
      <c r="E12" s="239">
        <v>56733.489000000001</v>
      </c>
      <c r="F12" s="188"/>
      <c r="G12" s="237" t="s">
        <v>112</v>
      </c>
      <c r="H12" s="439">
        <v>43974.120999999999</v>
      </c>
      <c r="I12" s="238">
        <v>57414.521000000001</v>
      </c>
      <c r="J12" s="239">
        <v>57414.521000000001</v>
      </c>
      <c r="K12" s="433"/>
    </row>
    <row r="13" spans="1:12" ht="20.149999999999999" customHeight="1" x14ac:dyDescent="0.35">
      <c r="B13" s="237" t="s">
        <v>110</v>
      </c>
      <c r="C13" s="439">
        <v>32613.758000000002</v>
      </c>
      <c r="D13" s="238">
        <v>49925.33</v>
      </c>
      <c r="E13" s="239">
        <v>49925.33</v>
      </c>
      <c r="F13" s="188"/>
      <c r="G13" s="237" t="s">
        <v>115</v>
      </c>
      <c r="H13" s="439">
        <v>41697.462</v>
      </c>
      <c r="I13" s="238">
        <v>76603.03</v>
      </c>
      <c r="J13" s="239">
        <v>76603.03</v>
      </c>
      <c r="K13" s="433"/>
    </row>
    <row r="14" spans="1:12" ht="20.149999999999999" customHeight="1" x14ac:dyDescent="0.35">
      <c r="B14" s="237" t="s">
        <v>167</v>
      </c>
      <c r="C14" s="439">
        <v>30039.133000000002</v>
      </c>
      <c r="D14" s="238">
        <v>64552.434999999998</v>
      </c>
      <c r="E14" s="239">
        <v>64552.434999999998</v>
      </c>
      <c r="F14" s="188"/>
      <c r="G14" s="237" t="s">
        <v>114</v>
      </c>
      <c r="H14" s="439">
        <v>28312.106</v>
      </c>
      <c r="I14" s="238">
        <v>37366.124000000003</v>
      </c>
      <c r="J14" s="239">
        <v>37366.124000000003</v>
      </c>
      <c r="K14" s="433"/>
    </row>
    <row r="15" spans="1:12" ht="20.149999999999999" customHeight="1" x14ac:dyDescent="0.35">
      <c r="B15" s="237" t="s">
        <v>113</v>
      </c>
      <c r="C15" s="439">
        <v>27433.207999999999</v>
      </c>
      <c r="D15" s="238">
        <v>36502.19</v>
      </c>
      <c r="E15" s="239">
        <v>36502.19</v>
      </c>
      <c r="F15" s="188"/>
      <c r="G15" s="237" t="s">
        <v>113</v>
      </c>
      <c r="H15" s="439">
        <v>25530.056</v>
      </c>
      <c r="I15" s="238">
        <v>32109.57</v>
      </c>
      <c r="J15" s="239">
        <v>32109.57</v>
      </c>
      <c r="K15" s="433"/>
    </row>
    <row r="16" spans="1:12" ht="20.149999999999999" customHeight="1" x14ac:dyDescent="0.35">
      <c r="B16" s="237" t="s">
        <v>114</v>
      </c>
      <c r="C16" s="439">
        <v>24858.527999999998</v>
      </c>
      <c r="D16" s="238">
        <v>39726.658000000003</v>
      </c>
      <c r="E16" s="239">
        <v>39726.658000000003</v>
      </c>
      <c r="F16" s="188"/>
      <c r="G16" s="237" t="s">
        <v>111</v>
      </c>
      <c r="H16" s="439">
        <v>22781.441999999999</v>
      </c>
      <c r="I16" s="238">
        <v>35680.951999999997</v>
      </c>
      <c r="J16" s="239">
        <v>35680.951999999997</v>
      </c>
      <c r="K16" s="433"/>
    </row>
    <row r="17" spans="2:12" ht="20.149999999999999" customHeight="1" x14ac:dyDescent="0.35">
      <c r="B17" s="237" t="s">
        <v>274</v>
      </c>
      <c r="C17" s="439">
        <v>22469.752</v>
      </c>
      <c r="D17" s="238">
        <v>49837.466</v>
      </c>
      <c r="E17" s="239">
        <v>49837.466</v>
      </c>
      <c r="F17" s="188"/>
      <c r="G17" s="237" t="s">
        <v>167</v>
      </c>
      <c r="H17" s="439">
        <v>22191.287</v>
      </c>
      <c r="I17" s="238">
        <v>39796.766000000003</v>
      </c>
      <c r="J17" s="239">
        <v>39796.766000000003</v>
      </c>
      <c r="K17" s="433"/>
    </row>
    <row r="18" spans="2:12" ht="20.149999999999999" customHeight="1" x14ac:dyDescent="0.35">
      <c r="B18" s="237" t="s">
        <v>118</v>
      </c>
      <c r="C18" s="439">
        <v>19970.989000000001</v>
      </c>
      <c r="D18" s="238">
        <v>27948.481</v>
      </c>
      <c r="E18" s="239">
        <v>27948.481</v>
      </c>
      <c r="F18" s="188"/>
      <c r="G18" s="237" t="s">
        <v>194</v>
      </c>
      <c r="H18" s="439">
        <v>21094.25</v>
      </c>
      <c r="I18" s="238">
        <v>30551.64</v>
      </c>
      <c r="J18" s="239">
        <v>30551.64</v>
      </c>
      <c r="K18" s="433"/>
    </row>
    <row r="19" spans="2:12" ht="20.149999999999999" customHeight="1" x14ac:dyDescent="0.35">
      <c r="B19" s="237" t="s">
        <v>117</v>
      </c>
      <c r="C19" s="439">
        <v>19033.955000000002</v>
      </c>
      <c r="D19" s="238">
        <v>26116.881000000001</v>
      </c>
      <c r="E19" s="239">
        <v>26116.881000000001</v>
      </c>
      <c r="F19" s="188"/>
      <c r="G19" s="237" t="s">
        <v>118</v>
      </c>
      <c r="H19" s="439">
        <v>19925.550999999999</v>
      </c>
      <c r="I19" s="238">
        <v>23047.834999999999</v>
      </c>
      <c r="J19" s="239">
        <v>23047.834999999999</v>
      </c>
      <c r="K19" s="433"/>
    </row>
    <row r="20" spans="2:12" ht="20.149999999999999" customHeight="1" x14ac:dyDescent="0.35">
      <c r="B20" s="237" t="s">
        <v>121</v>
      </c>
      <c r="C20" s="439">
        <v>18373.113000000001</v>
      </c>
      <c r="D20" s="238">
        <v>36300.870999999999</v>
      </c>
      <c r="E20" s="239">
        <v>36300.870999999999</v>
      </c>
      <c r="F20" s="188"/>
      <c r="G20" s="237" t="s">
        <v>274</v>
      </c>
      <c r="H20" s="439">
        <v>19620.358</v>
      </c>
      <c r="I20" s="238">
        <v>40302.203999999998</v>
      </c>
      <c r="J20" s="239">
        <v>40302.203999999998</v>
      </c>
      <c r="K20" s="433"/>
    </row>
    <row r="21" spans="2:12" ht="20.149999999999999" customHeight="1" x14ac:dyDescent="0.35">
      <c r="B21" s="237" t="s">
        <v>116</v>
      </c>
      <c r="C21" s="439">
        <v>16763.657999999999</v>
      </c>
      <c r="D21" s="238">
        <v>24837.097000000002</v>
      </c>
      <c r="E21" s="239">
        <v>24837.097000000002</v>
      </c>
      <c r="F21" s="188"/>
      <c r="G21" s="237" t="s">
        <v>119</v>
      </c>
      <c r="H21" s="439">
        <v>16914.04</v>
      </c>
      <c r="I21" s="238">
        <v>23227.383000000002</v>
      </c>
      <c r="J21" s="239">
        <v>23227.383000000002</v>
      </c>
      <c r="K21" s="433"/>
    </row>
    <row r="22" spans="2:12" ht="20.149999999999999" customHeight="1" x14ac:dyDescent="0.35">
      <c r="B22" s="237" t="s">
        <v>194</v>
      </c>
      <c r="C22" s="439">
        <v>14988.316000000001</v>
      </c>
      <c r="D22" s="238">
        <v>28111.281999999999</v>
      </c>
      <c r="E22" s="239">
        <v>28111.281999999999</v>
      </c>
      <c r="F22" s="188"/>
      <c r="G22" s="237" t="s">
        <v>116</v>
      </c>
      <c r="H22" s="439">
        <v>12877.455</v>
      </c>
      <c r="I22" s="238">
        <v>16281.914000000001</v>
      </c>
      <c r="J22" s="239">
        <v>16281.914000000001</v>
      </c>
      <c r="K22" s="433"/>
    </row>
    <row r="23" spans="2:12" ht="20.149999999999999" customHeight="1" x14ac:dyDescent="0.35">
      <c r="B23" s="237" t="s">
        <v>111</v>
      </c>
      <c r="C23" s="439">
        <v>12330.199000000001</v>
      </c>
      <c r="D23" s="238">
        <v>24681.040000000001</v>
      </c>
      <c r="E23" s="239">
        <v>24681.040000000001</v>
      </c>
      <c r="F23" s="188"/>
      <c r="G23" s="237" t="s">
        <v>117</v>
      </c>
      <c r="H23" s="439">
        <v>12822.665999999999</v>
      </c>
      <c r="I23" s="238">
        <v>15261.061</v>
      </c>
      <c r="J23" s="239">
        <v>15261.061</v>
      </c>
      <c r="K23" s="433"/>
    </row>
    <row r="24" spans="2:12" ht="20.149999999999999" customHeight="1" x14ac:dyDescent="0.35">
      <c r="B24" s="237" t="s">
        <v>418</v>
      </c>
      <c r="C24" s="439">
        <v>9933.7540000000008</v>
      </c>
      <c r="D24" s="238">
        <v>16666.478999999999</v>
      </c>
      <c r="E24" s="239">
        <v>16666.478999999999</v>
      </c>
      <c r="F24" s="188"/>
      <c r="G24" s="237" t="s">
        <v>159</v>
      </c>
      <c r="H24" s="439">
        <v>11756.689</v>
      </c>
      <c r="I24" s="238">
        <v>13267.849</v>
      </c>
      <c r="J24" s="239">
        <v>13267.849</v>
      </c>
      <c r="K24" s="433"/>
    </row>
    <row r="25" spans="2:12" ht="20.149999999999999" customHeight="1" x14ac:dyDescent="0.35">
      <c r="B25" s="237" t="s">
        <v>327</v>
      </c>
      <c r="C25" s="439">
        <v>9878.4660000000003</v>
      </c>
      <c r="D25" s="238">
        <v>14686.39</v>
      </c>
      <c r="E25" s="239">
        <v>14686.39</v>
      </c>
      <c r="F25" s="188"/>
      <c r="G25" s="237" t="s">
        <v>327</v>
      </c>
      <c r="H25" s="439">
        <v>11296.415999999999</v>
      </c>
      <c r="I25" s="238">
        <v>14748.796</v>
      </c>
      <c r="J25" s="239">
        <v>14748.796</v>
      </c>
      <c r="K25" s="433"/>
    </row>
    <row r="26" spans="2:12" ht="20.149999999999999" customHeight="1" x14ac:dyDescent="0.35">
      <c r="B26" s="234" t="s">
        <v>119</v>
      </c>
      <c r="C26" s="439">
        <v>9688.0030000000006</v>
      </c>
      <c r="D26" s="238">
        <v>17808.343000000001</v>
      </c>
      <c r="E26" s="239">
        <v>17808.343000000001</v>
      </c>
      <c r="F26" s="188"/>
      <c r="G26" s="234" t="s">
        <v>348</v>
      </c>
      <c r="H26" s="439">
        <v>10017.868</v>
      </c>
      <c r="I26" s="238">
        <v>13195.878000000001</v>
      </c>
      <c r="J26" s="239">
        <v>13195.878000000001</v>
      </c>
      <c r="K26" s="440"/>
      <c r="L26" s="266"/>
    </row>
    <row r="27" spans="2:12" ht="20.149999999999999" customHeight="1" x14ac:dyDescent="0.35">
      <c r="B27" s="234" t="s">
        <v>353</v>
      </c>
      <c r="C27" s="439">
        <v>8958.1299999999992</v>
      </c>
      <c r="D27" s="238">
        <v>16148.075000000001</v>
      </c>
      <c r="E27" s="239">
        <v>16148.075000000001</v>
      </c>
      <c r="F27" s="188"/>
      <c r="G27" s="234" t="s">
        <v>362</v>
      </c>
      <c r="H27" s="439">
        <v>9845.2829999999994</v>
      </c>
      <c r="I27" s="238">
        <v>14244.856</v>
      </c>
      <c r="J27" s="239">
        <v>14244.856</v>
      </c>
      <c r="K27" s="440"/>
      <c r="L27" s="266"/>
    </row>
    <row r="28" spans="2:12" ht="20.149999999999999" customHeight="1" x14ac:dyDescent="0.35">
      <c r="B28" s="234" t="s">
        <v>419</v>
      </c>
      <c r="C28" s="439">
        <v>8770.6</v>
      </c>
      <c r="D28" s="238">
        <v>9608.91</v>
      </c>
      <c r="E28" s="239">
        <v>9608.91</v>
      </c>
      <c r="F28" s="188"/>
      <c r="G28" s="234" t="s">
        <v>420</v>
      </c>
      <c r="H28" s="439">
        <v>9803.5360000000001</v>
      </c>
      <c r="I28" s="238">
        <v>12824.444</v>
      </c>
      <c r="J28" s="239">
        <v>12824.444</v>
      </c>
      <c r="K28" s="440"/>
      <c r="L28" s="266"/>
    </row>
    <row r="29" spans="2:12" ht="20.149999999999999" customHeight="1" x14ac:dyDescent="0.35">
      <c r="B29" s="241" t="s">
        <v>420</v>
      </c>
      <c r="C29" s="441">
        <v>8576.8389999999999</v>
      </c>
      <c r="D29" s="242">
        <v>13919.759</v>
      </c>
      <c r="E29" s="243">
        <v>13919.759</v>
      </c>
      <c r="F29" s="188"/>
      <c r="G29" s="241" t="s">
        <v>160</v>
      </c>
      <c r="H29" s="441">
        <v>8383.107</v>
      </c>
      <c r="I29" s="242">
        <v>11582.628000000001</v>
      </c>
      <c r="J29" s="243">
        <v>11582.628000000001</v>
      </c>
      <c r="K29" s="442"/>
      <c r="L29" s="443"/>
    </row>
    <row r="30" spans="2:12" ht="20.149999999999999" customHeight="1" x14ac:dyDescent="0.35">
      <c r="B30" s="275" t="s">
        <v>160</v>
      </c>
      <c r="C30" s="276">
        <v>8361.0759999999991</v>
      </c>
      <c r="D30" s="276">
        <v>15058.968000000001</v>
      </c>
      <c r="E30" s="276"/>
      <c r="F30" s="266"/>
      <c r="G30" s="277"/>
      <c r="H30" s="278"/>
      <c r="I30" s="279"/>
      <c r="J30" s="266"/>
      <c r="K30" s="444"/>
      <c r="L30" s="279"/>
    </row>
    <row r="31" spans="2:12" ht="20.149999999999999" customHeight="1" x14ac:dyDescent="0.3">
      <c r="C31" s="188"/>
      <c r="D31" s="266"/>
      <c r="E31" s="266"/>
      <c r="F31" s="446"/>
      <c r="G31" s="446"/>
      <c r="H31" s="446"/>
      <c r="I31" s="447"/>
      <c r="J31" s="266"/>
      <c r="K31" s="440"/>
      <c r="L31" s="266"/>
    </row>
  </sheetData>
  <pageMargins left="0" right="0" top="0.35433070866141736" bottom="0.35433070866141736" header="0.23622047244094491" footer="0.11811023622047245"/>
  <pageSetup paperSize="9" scale="54" orientation="landscape" r:id="rId1"/>
  <headerFooter alignWithMargins="0">
    <oddFooter>&amp;L&amp;"Times New Roman CE,Pogrubiona kursywa"&amp;12Źródło: Dane MF, CIHZ&amp;R&amp;"Times New Roman CE,Pogrubiona kursywa"&amp;12Przygotowała: Agnieszka Szarejko-Pater</oddFooter>
  </headerFooter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39997558519241921"/>
    <pageSetUpPr fitToPage="1"/>
  </sheetPr>
  <dimension ref="A1:AD32"/>
  <sheetViews>
    <sheetView showGridLines="0" zoomScale="85" zoomScaleNormal="85" workbookViewId="0">
      <selection activeCell="H10" sqref="H10"/>
    </sheetView>
  </sheetViews>
  <sheetFormatPr defaultColWidth="9.1796875" defaultRowHeight="13" x14ac:dyDescent="0.3"/>
  <cols>
    <col min="1" max="1" width="10.7265625" style="256" customWidth="1"/>
    <col min="2" max="2" width="20.7265625" style="256" customWidth="1"/>
    <col min="3" max="18" width="10.7265625" style="256" customWidth="1"/>
    <col min="19" max="19" width="20.7265625" style="256" customWidth="1"/>
    <col min="20" max="23" width="10.7265625" style="256" customWidth="1"/>
    <col min="24" max="24" width="14.1796875" style="256" customWidth="1"/>
    <col min="25" max="16384" width="9.1796875" style="256"/>
  </cols>
  <sheetData>
    <row r="1" spans="1:30" s="33" customFormat="1" ht="25" customHeight="1" x14ac:dyDescent="0.25">
      <c r="D1" s="157"/>
      <c r="G1" s="34"/>
      <c r="M1" s="36"/>
    </row>
    <row r="2" spans="1:30" s="33" customFormat="1" ht="25" customHeight="1" x14ac:dyDescent="0.25">
      <c r="A2" s="251"/>
      <c r="B2" s="38" t="s">
        <v>421</v>
      </c>
      <c r="C2" s="38"/>
      <c r="D2" s="52"/>
      <c r="E2" s="252"/>
      <c r="F2" s="252"/>
      <c r="G2" s="252"/>
      <c r="H2" s="252"/>
      <c r="I2" s="252"/>
      <c r="J2" s="252"/>
      <c r="K2" s="252"/>
      <c r="L2" s="252"/>
    </row>
    <row r="3" spans="1:30" s="33" customFormat="1" ht="25" customHeight="1" thickBot="1" x14ac:dyDescent="0.35">
      <c r="B3" s="423" t="s">
        <v>422</v>
      </c>
      <c r="C3" s="41"/>
      <c r="D3" s="177"/>
      <c r="E3" s="178"/>
      <c r="F3" s="177"/>
      <c r="G3" s="179"/>
      <c r="H3" s="180"/>
      <c r="I3" s="253"/>
      <c r="J3" s="253"/>
      <c r="K3" s="254"/>
      <c r="L3" s="183"/>
      <c r="M3" s="183"/>
      <c r="N3" s="183"/>
      <c r="O3" s="183"/>
      <c r="P3" s="183"/>
      <c r="R3" s="448"/>
    </row>
    <row r="4" spans="1:30" s="33" customFormat="1" ht="25" customHeight="1" thickTop="1" x14ac:dyDescent="0.3">
      <c r="B4" s="255" t="s">
        <v>329</v>
      </c>
      <c r="C4" s="159"/>
      <c r="D4" s="52"/>
      <c r="E4" s="51"/>
      <c r="F4" s="52"/>
      <c r="G4" s="53"/>
      <c r="H4" s="160"/>
      <c r="I4" s="252"/>
      <c r="J4" s="252"/>
      <c r="K4" s="285"/>
      <c r="O4" s="256"/>
      <c r="P4" s="187" t="str">
        <f>[5]POMOC!B6</f>
        <v>Notowania 15 - 21.06.2026 / Tydzień 25</v>
      </c>
    </row>
    <row r="5" spans="1:30" s="257" customFormat="1" ht="20.149999999999999" customHeight="1" x14ac:dyDescent="0.35">
      <c r="B5" s="258" t="s">
        <v>423</v>
      </c>
      <c r="P5" s="449"/>
    </row>
    <row r="6" spans="1:30" s="257" customFormat="1" ht="20.149999999999999" customHeight="1" x14ac:dyDescent="0.25">
      <c r="B6" s="259"/>
    </row>
    <row r="7" spans="1:30" s="450" customFormat="1" ht="40" customHeight="1" x14ac:dyDescent="0.25">
      <c r="A7" s="590" t="s">
        <v>424</v>
      </c>
      <c r="B7" s="590"/>
      <c r="C7" s="590"/>
      <c r="D7" s="590"/>
      <c r="E7" s="590"/>
      <c r="F7" s="590"/>
      <c r="G7" s="590"/>
      <c r="H7" s="590"/>
      <c r="I7" s="590"/>
      <c r="J7" s="590"/>
      <c r="K7" s="590"/>
      <c r="L7" s="590"/>
      <c r="M7" s="590"/>
      <c r="N7" s="590"/>
      <c r="O7" s="590"/>
      <c r="P7" s="590"/>
    </row>
    <row r="8" spans="1:30" s="451" customFormat="1" ht="20.149999999999999" customHeight="1" x14ac:dyDescent="0.25">
      <c r="B8" s="452"/>
      <c r="C8" s="453" t="s">
        <v>413</v>
      </c>
      <c r="D8" s="454"/>
      <c r="E8" s="454"/>
      <c r="F8" s="454"/>
      <c r="G8" s="454"/>
      <c r="H8" s="454"/>
      <c r="I8" s="455"/>
      <c r="J8" s="453" t="s">
        <v>425</v>
      </c>
      <c r="K8" s="454"/>
      <c r="L8" s="454"/>
      <c r="M8" s="454"/>
      <c r="N8" s="454"/>
      <c r="O8" s="454"/>
      <c r="P8" s="454"/>
      <c r="T8" s="456"/>
      <c r="U8" s="457"/>
      <c r="V8" s="458"/>
      <c r="W8" s="458"/>
      <c r="X8" s="458"/>
      <c r="Y8" s="459"/>
      <c r="Z8" s="460"/>
      <c r="AA8" s="460"/>
      <c r="AB8" s="460"/>
      <c r="AC8" s="461"/>
      <c r="AD8" s="456"/>
    </row>
    <row r="9" spans="1:30" ht="60" customHeight="1" thickBot="1" x14ac:dyDescent="0.35">
      <c r="B9" s="462" t="s">
        <v>107</v>
      </c>
      <c r="C9" s="463" t="s">
        <v>426</v>
      </c>
      <c r="D9" s="464" t="s">
        <v>427</v>
      </c>
      <c r="E9" s="465" t="s">
        <v>428</v>
      </c>
      <c r="F9" s="466" t="str">
        <f>'EXP-IMP KRAJE'!B8</f>
        <v>I-V 2025r.*</v>
      </c>
      <c r="G9" s="467" t="str">
        <f>'EXP-IMP KRAJE'!G8</f>
        <v>I-V 2026r.*</v>
      </c>
      <c r="H9" s="468" t="s">
        <v>429</v>
      </c>
      <c r="I9" s="469" t="s">
        <v>430</v>
      </c>
      <c r="J9" s="470" t="str">
        <f>C9</f>
        <v>2024 r.
(dane ostateczne)</v>
      </c>
      <c r="K9" s="463" t="str">
        <f>D9</f>
        <v>2025 r. 
(dane wstępne)</v>
      </c>
      <c r="L9" s="465" t="s">
        <v>428</v>
      </c>
      <c r="M9" s="466" t="str">
        <f>F9</f>
        <v>I-V 2025r.*</v>
      </c>
      <c r="N9" s="467" t="str">
        <f>G9</f>
        <v>I-V 2026r.*</v>
      </c>
      <c r="O9" s="468" t="str">
        <f>H9</f>
        <v>Zmiana (%) 
I - IV 2026 r.
do 
I - IV 2025 r.</v>
      </c>
      <c r="P9" s="471" t="str">
        <f>I9</f>
        <v>Udział (%)
I - IV 2026 r.</v>
      </c>
      <c r="T9" s="472"/>
      <c r="U9" s="473"/>
      <c r="V9" s="473"/>
      <c r="W9" s="473"/>
      <c r="X9" s="473"/>
      <c r="Y9" s="474"/>
      <c r="Z9" s="472"/>
      <c r="AA9" s="473"/>
      <c r="AB9" s="473"/>
      <c r="AC9" s="473"/>
      <c r="AD9" s="473"/>
    </row>
    <row r="10" spans="1:30" ht="20.149999999999999" customHeight="1" x14ac:dyDescent="0.35">
      <c r="B10" s="231" t="str">
        <f>'EXP-IMP KRAJE'!G10</f>
        <v>OGÓŁEM</v>
      </c>
      <c r="C10" s="475">
        <f>IFERROR(VLOOKUP(B10,'EXP-IMP KRAJE LATA'!$B$10:$E$29,2,FALSE),"--")</f>
        <v>477007.24900000001</v>
      </c>
      <c r="D10" s="233">
        <f>IFERROR(VLOOKUP(B10,'EXP-IMP KRAJE LATA'!$G$10:$J$29,2,FALSE),"--")</f>
        <v>486212.408</v>
      </c>
      <c r="E10" s="476">
        <f>IFERROR((D10-C10)/C10*100,"--")</f>
        <v>1.9297733984751215</v>
      </c>
      <c r="F10" s="475">
        <f>IFERROR(VLOOKUP(B10,'EXP-IMP KRAJE'!$B$7:$E$29,2,FALSE),"--")</f>
        <v>244814.32800000001</v>
      </c>
      <c r="G10" s="477">
        <f>IFERROR(VLOOKUP(B10,'EXP-IMP KRAJE'!$G$7:$J$29,2,FALSE),"--")</f>
        <v>246472.02499999999</v>
      </c>
      <c r="H10" s="478">
        <f>IFERROR((G10-F10)/F10*100,"--")</f>
        <v>0.67712417550985238</v>
      </c>
      <c r="I10" s="479">
        <f>G10/$G$10*100</f>
        <v>100</v>
      </c>
      <c r="J10" s="475">
        <f>IFERROR(VLOOKUP(B10,'EXP-IMP KRAJE LATA'!$B$10:$E$29,4,FALSE),"--")</f>
        <v>806264.68599999999</v>
      </c>
      <c r="K10" s="233">
        <f>IFERROR(VLOOKUP(B10,'EXP-IMP KRAJE LATA'!$G$10:$J$29,4,FALSE),"--")</f>
        <v>700508.13699999999</v>
      </c>
      <c r="L10" s="476">
        <f>IFERROR((K10-J10)/J10*100,"--")</f>
        <v>-13.116852422828302</v>
      </c>
      <c r="M10" s="475">
        <f>IFERROR(VLOOKUP(B10,'EXP-IMP KRAJE'!$B$7:$E$29,4,FALSE),"--")</f>
        <v>121510.11500000001</v>
      </c>
      <c r="N10" s="233">
        <f>IFERROR(VLOOKUP(B10,'EXP-IMP KRAJE'!$G$7:$J$29,4,FALSE),"--")</f>
        <v>120336.791</v>
      </c>
      <c r="O10" s="478">
        <f>IFERROR((N10-M10)/M10*100,"--")</f>
        <v>-0.96561837670880968</v>
      </c>
      <c r="P10" s="480">
        <f>N10/$N$10*100</f>
        <v>100</v>
      </c>
      <c r="T10" s="481"/>
      <c r="U10" s="482"/>
      <c r="V10" s="482"/>
      <c r="W10" s="482"/>
      <c r="X10" s="483"/>
      <c r="Y10" s="474"/>
      <c r="Z10" s="482"/>
      <c r="AA10" s="482"/>
      <c r="AB10" s="482"/>
      <c r="AC10" s="482"/>
      <c r="AD10" s="484"/>
    </row>
    <row r="11" spans="1:30" ht="20.149999999999999" customHeight="1" x14ac:dyDescent="0.35">
      <c r="B11" s="237" t="str">
        <f>'EXP-IMP KRAJE'!G11</f>
        <v>Egipt</v>
      </c>
      <c r="C11" s="485">
        <f>IFERROR(VLOOKUP(B11,'EXP-IMP KRAJE LATA'!$B$10:$E$29,2,FALSE),"--")</f>
        <v>32613.758000000002</v>
      </c>
      <c r="D11" s="250">
        <f>IFERROR(VLOOKUP(B11,'EXP-IMP KRAJE LATA'!$G$10:$J$29,2,FALSE),"--")</f>
        <v>44556.36</v>
      </c>
      <c r="E11" s="486">
        <f t="shared" ref="E11:E25" si="0">IFERROR((D11-C11)/C11*100,"--")</f>
        <v>36.618294647308041</v>
      </c>
      <c r="F11" s="485">
        <f>IFERROR(VLOOKUP(B11,'EXP-IMP KRAJE'!$B$7:$E$29,2,FALSE),"--")</f>
        <v>16762.43</v>
      </c>
      <c r="G11" s="487">
        <f>IFERROR(VLOOKUP(B11,'EXP-IMP KRAJE'!$G$7:$J$29,2,FALSE),"--")</f>
        <v>24534.341</v>
      </c>
      <c r="H11" s="488">
        <f t="shared" ref="H11:H25" si="1">IFERROR((G11-F11)/F11*100,"--")</f>
        <v>46.365061628892704</v>
      </c>
      <c r="I11" s="489">
        <f t="shared" ref="I11:I25" si="2">G11/$G$10*100</f>
        <v>9.9542092048783228</v>
      </c>
      <c r="J11" s="485">
        <f>IFERROR(VLOOKUP(B11,'EXP-IMP KRAJE LATA'!$B$10:$E$29,4,FALSE),"--")</f>
        <v>49925.33</v>
      </c>
      <c r="K11" s="250">
        <f>IFERROR(VLOOKUP(B11,'EXP-IMP KRAJE LATA'!$G$10:$J$29,4,FALSE),"--")</f>
        <v>62719.406999999999</v>
      </c>
      <c r="L11" s="486">
        <f t="shared" ref="L11:L25" si="3">IFERROR((K11-J11)/J11*100,"--")</f>
        <v>25.626424502351806</v>
      </c>
      <c r="M11" s="485">
        <f>IFERROR(VLOOKUP(B11,'EXP-IMP KRAJE'!$B$7:$E$29,4,FALSE),"--")</f>
        <v>6809.0360000000001</v>
      </c>
      <c r="N11" s="250">
        <f>IFERROR(VLOOKUP(B11,'EXP-IMP KRAJE'!$G$7:$J$29,4,FALSE),"--")</f>
        <v>11543.733</v>
      </c>
      <c r="O11" s="488">
        <f t="shared" ref="O11:O25" si="4">IFERROR((N11-M11)/M11*100,"--")</f>
        <v>69.535496654739376</v>
      </c>
      <c r="P11" s="490">
        <f t="shared" ref="P11:P25" si="5">N11/$N$10*100</f>
        <v>9.5928542751318684</v>
      </c>
      <c r="T11" s="491"/>
      <c r="U11" s="492"/>
      <c r="V11" s="492"/>
      <c r="W11" s="492"/>
      <c r="X11" s="493"/>
      <c r="Y11" s="474"/>
      <c r="Z11" s="491"/>
      <c r="AA11" s="492"/>
      <c r="AB11" s="492"/>
      <c r="AC11" s="492"/>
      <c r="AD11" s="493"/>
    </row>
    <row r="12" spans="1:30" ht="20.149999999999999" customHeight="1" x14ac:dyDescent="0.35">
      <c r="B12" s="237" t="str">
        <f>'EXP-IMP KRAJE'!G12</f>
        <v>Rumunia</v>
      </c>
      <c r="C12" s="494">
        <f>IFERROR(VLOOKUP(B12,'EXP-IMP KRAJE LATA'!$B$10:$E$29,2,FALSE),"--")</f>
        <v>33670.529000000002</v>
      </c>
      <c r="D12" s="239">
        <f>IFERROR(VLOOKUP(B12,'EXP-IMP KRAJE LATA'!$G$10:$J$29,2,FALSE),"--")</f>
        <v>43974.120999999999</v>
      </c>
      <c r="E12" s="495">
        <f t="shared" si="0"/>
        <v>30.601218056300798</v>
      </c>
      <c r="F12" s="494">
        <f>IFERROR(VLOOKUP(B12,'EXP-IMP KRAJE'!$B$7:$E$29,2,FALSE),"--")</f>
        <v>21198.707999999999</v>
      </c>
      <c r="G12" s="496">
        <f>IFERROR(VLOOKUP(B12,'EXP-IMP KRAJE'!$G$7:$J$29,2,FALSE),"--")</f>
        <v>20259.226999999999</v>
      </c>
      <c r="H12" s="488">
        <f t="shared" si="1"/>
        <v>-4.4317842389262587</v>
      </c>
      <c r="I12" s="497">
        <f t="shared" si="2"/>
        <v>8.2196861895381428</v>
      </c>
      <c r="J12" s="494">
        <f>IFERROR(VLOOKUP(B12,'EXP-IMP KRAJE LATA'!$B$10:$E$29,4,FALSE),"--")</f>
        <v>56733.489000000001</v>
      </c>
      <c r="K12" s="239">
        <f>IFERROR(VLOOKUP(B12,'EXP-IMP KRAJE LATA'!$G$10:$J$29,4,FALSE),"--")</f>
        <v>57414.521000000001</v>
      </c>
      <c r="L12" s="495">
        <f t="shared" si="3"/>
        <v>1.2004056369598548</v>
      </c>
      <c r="M12" s="494">
        <f>IFERROR(VLOOKUP(B12,'EXP-IMP KRAJE'!$B$7:$E$29,4,FALSE),"--")</f>
        <v>11481.727000000001</v>
      </c>
      <c r="N12" s="239">
        <f>IFERROR(VLOOKUP(B12,'EXP-IMP KRAJE'!$G$7:$J$29,4,FALSE),"--")</f>
        <v>11611.22</v>
      </c>
      <c r="O12" s="488">
        <f t="shared" si="4"/>
        <v>1.1278181409469024</v>
      </c>
      <c r="P12" s="498">
        <f t="shared" si="5"/>
        <v>9.6489360431756896</v>
      </c>
      <c r="T12" s="491"/>
      <c r="U12" s="492"/>
      <c r="V12" s="492"/>
      <c r="W12" s="492"/>
      <c r="X12" s="493"/>
      <c r="Y12" s="499"/>
      <c r="Z12" s="500"/>
      <c r="AA12" s="500"/>
      <c r="AB12" s="500"/>
      <c r="AC12" s="501"/>
      <c r="AD12" s="474"/>
    </row>
    <row r="13" spans="1:30" ht="20.149999999999999" customHeight="1" x14ac:dyDescent="0.35">
      <c r="B13" s="237" t="str">
        <f>'EXP-IMP KRAJE'!G13</f>
        <v>Kazachstan</v>
      </c>
      <c r="C13" s="494">
        <f>IFERROR(VLOOKUP(B13,'EXP-IMP KRAJE LATA'!$B$10:$E$29,2,FALSE),"--")</f>
        <v>22469.752</v>
      </c>
      <c r="D13" s="239">
        <f>IFERROR(VLOOKUP(B13,'EXP-IMP KRAJE LATA'!$G$10:$J$29,2,FALSE),"--")</f>
        <v>19620.358</v>
      </c>
      <c r="E13" s="495">
        <f t="shared" si="0"/>
        <v>-12.681021134545677</v>
      </c>
      <c r="F13" s="494">
        <f>IFERROR(VLOOKUP(B13,'EXP-IMP KRAJE'!$B$7:$E$29,2,FALSE),"--")</f>
        <v>14577.316000000001</v>
      </c>
      <c r="G13" s="496">
        <f>IFERROR(VLOOKUP(B13,'EXP-IMP KRAJE'!$G$7:$J$29,2,FALSE),"--")</f>
        <v>18900.554</v>
      </c>
      <c r="H13" s="488">
        <f t="shared" si="1"/>
        <v>29.657297680862506</v>
      </c>
      <c r="I13" s="497">
        <f t="shared" si="2"/>
        <v>7.668437827781875</v>
      </c>
      <c r="J13" s="494">
        <f>IFERROR(VLOOKUP(B13,'EXP-IMP KRAJE LATA'!$B$10:$E$29,4,FALSE),"--")</f>
        <v>49837.466</v>
      </c>
      <c r="K13" s="239">
        <f>IFERROR(VLOOKUP(B13,'EXP-IMP KRAJE LATA'!$G$10:$J$29,4,FALSE),"--")</f>
        <v>40302.203999999998</v>
      </c>
      <c r="L13" s="495">
        <f t="shared" si="3"/>
        <v>-19.132718344869303</v>
      </c>
      <c r="M13" s="494">
        <f>IFERROR(VLOOKUP(B13,'EXP-IMP KRAJE'!$B$7:$E$29,4,FALSE),"--")</f>
        <v>6046.84</v>
      </c>
      <c r="N13" s="239">
        <f>IFERROR(VLOOKUP(B13,'EXP-IMP KRAJE'!$G$7:$J$29,4,FALSE),"--")</f>
        <v>6158.8819999999996</v>
      </c>
      <c r="O13" s="488">
        <f t="shared" si="4"/>
        <v>1.8529016808779373</v>
      </c>
      <c r="P13" s="498">
        <f t="shared" si="5"/>
        <v>5.1180374254786294</v>
      </c>
      <c r="T13" s="491"/>
      <c r="U13" s="492"/>
      <c r="V13" s="492"/>
      <c r="W13" s="492"/>
      <c r="X13" s="493"/>
      <c r="Y13" s="502"/>
      <c r="Z13" s="500"/>
      <c r="AA13" s="500"/>
      <c r="AB13" s="500"/>
      <c r="AC13" s="501"/>
      <c r="AD13" s="474"/>
    </row>
    <row r="14" spans="1:30" ht="20.149999999999999" customHeight="1" x14ac:dyDescent="0.35">
      <c r="B14" s="237" t="str">
        <f>'EXP-IMP KRAJE'!G14</f>
        <v>Białoruś</v>
      </c>
      <c r="C14" s="494">
        <f>IFERROR(VLOOKUP(B14,'EXP-IMP KRAJE LATA'!$B$10:$E$29,2,FALSE),"--")</f>
        <v>12330.199000000001</v>
      </c>
      <c r="D14" s="239">
        <f>IFERROR(VLOOKUP(B14,'EXP-IMP KRAJE LATA'!$G$10:$J$29,2,FALSE),"--")</f>
        <v>22781.441999999999</v>
      </c>
      <c r="E14" s="495">
        <f t="shared" si="0"/>
        <v>84.761348944976461</v>
      </c>
      <c r="F14" s="494">
        <f>IFERROR(VLOOKUP(B14,'EXP-IMP KRAJE'!$B$7:$E$29,2,FALSE),"--")</f>
        <v>12224.97</v>
      </c>
      <c r="G14" s="496">
        <f>IFERROR(VLOOKUP(B14,'EXP-IMP KRAJE'!$G$7:$J$29,2,FALSE),"--")</f>
        <v>17311.911</v>
      </c>
      <c r="H14" s="488">
        <f t="shared" si="1"/>
        <v>41.611071438212129</v>
      </c>
      <c r="I14" s="497">
        <f t="shared" si="2"/>
        <v>7.0238847593352638</v>
      </c>
      <c r="J14" s="494">
        <f>IFERROR(VLOOKUP(B14,'EXP-IMP KRAJE LATA'!$B$10:$E$29,4,FALSE),"--")</f>
        <v>24681.040000000001</v>
      </c>
      <c r="K14" s="239">
        <f>IFERROR(VLOOKUP(B14,'EXP-IMP KRAJE LATA'!$G$10:$J$29,4,FALSE),"--")</f>
        <v>35680.951999999997</v>
      </c>
      <c r="L14" s="495">
        <f t="shared" si="3"/>
        <v>44.568267787743125</v>
      </c>
      <c r="M14" s="494">
        <f>IFERROR(VLOOKUP(B14,'EXP-IMP KRAJE'!$B$7:$E$29,4,FALSE),"--")</f>
        <v>7444.3310000000001</v>
      </c>
      <c r="N14" s="239">
        <f>IFERROR(VLOOKUP(B14,'EXP-IMP KRAJE'!$G$7:$J$29,4,FALSE),"--")</f>
        <v>6963.2190000000001</v>
      </c>
      <c r="O14" s="488">
        <f t="shared" si="4"/>
        <v>-6.462796992772085</v>
      </c>
      <c r="P14" s="498">
        <f t="shared" si="5"/>
        <v>5.7864423192072652</v>
      </c>
      <c r="T14" s="474"/>
      <c r="U14" s="474"/>
      <c r="V14" s="474"/>
      <c r="W14" s="474"/>
      <c r="X14" s="474"/>
      <c r="Y14" s="474"/>
      <c r="Z14" s="474"/>
      <c r="AA14" s="474"/>
      <c r="AB14" s="474"/>
      <c r="AC14" s="474"/>
      <c r="AD14" s="474"/>
    </row>
    <row r="15" spans="1:30" ht="20.149999999999999" customHeight="1" x14ac:dyDescent="0.35">
      <c r="B15" s="237" t="str">
        <f>'EXP-IMP KRAJE'!G15</f>
        <v>India</v>
      </c>
      <c r="C15" s="494">
        <f>IFERROR(VLOOKUP(B15,'EXP-IMP KRAJE LATA'!$B$10:$E$29,2,FALSE),"--")</f>
        <v>27433.207999999999</v>
      </c>
      <c r="D15" s="239">
        <f>IFERROR(VLOOKUP(B15,'EXP-IMP KRAJE LATA'!$G$10:$J$29,2,FALSE),"--")</f>
        <v>25530.056</v>
      </c>
      <c r="E15" s="495">
        <f t="shared" si="0"/>
        <v>-6.9374022899545622</v>
      </c>
      <c r="F15" s="494">
        <f>IFERROR(VLOOKUP(B15,'EXP-IMP KRAJE'!$B$7:$E$29,2,FALSE),"--")</f>
        <v>8389.5939999999991</v>
      </c>
      <c r="G15" s="496">
        <f>IFERROR(VLOOKUP(B15,'EXP-IMP KRAJE'!$G$7:$J$29,2,FALSE),"--")</f>
        <v>15046.657999999999</v>
      </c>
      <c r="H15" s="488">
        <f t="shared" si="1"/>
        <v>79.349060276337582</v>
      </c>
      <c r="I15" s="497">
        <f t="shared" si="2"/>
        <v>6.1048137207457929</v>
      </c>
      <c r="J15" s="494">
        <f>IFERROR(VLOOKUP(B15,'EXP-IMP KRAJE LATA'!$B$10:$E$29,4,FALSE),"--")</f>
        <v>36502.19</v>
      </c>
      <c r="K15" s="239">
        <f>IFERROR(VLOOKUP(B15,'EXP-IMP KRAJE LATA'!$G$10:$J$29,4,FALSE),"--")</f>
        <v>32109.57</v>
      </c>
      <c r="L15" s="495">
        <f t="shared" si="3"/>
        <v>-12.033853311267084</v>
      </c>
      <c r="M15" s="494">
        <f>IFERROR(VLOOKUP(B15,'EXP-IMP KRAJE'!$B$7:$E$29,4,FALSE),"--")</f>
        <v>7895.1880000000001</v>
      </c>
      <c r="N15" s="239">
        <f>IFERROR(VLOOKUP(B15,'EXP-IMP KRAJE'!$G$7:$J$29,4,FALSE),"--")</f>
        <v>4852.63</v>
      </c>
      <c r="O15" s="488">
        <f t="shared" si="4"/>
        <v>-38.536865746578805</v>
      </c>
      <c r="P15" s="498">
        <f t="shared" si="5"/>
        <v>4.0325406383821552</v>
      </c>
      <c r="T15" s="474"/>
      <c r="U15" s="474"/>
      <c r="V15" s="474"/>
      <c r="W15" s="474"/>
      <c r="X15" s="474"/>
      <c r="Y15" s="474"/>
      <c r="Z15" s="474"/>
      <c r="AA15" s="474"/>
      <c r="AB15" s="474"/>
      <c r="AC15" s="474"/>
      <c r="AD15" s="474"/>
    </row>
    <row r="16" spans="1:30" ht="20.149999999999999" customHeight="1" x14ac:dyDescent="0.35">
      <c r="B16" s="237" t="str">
        <f>'EXP-IMP KRAJE'!G16</f>
        <v>Węgry</v>
      </c>
      <c r="C16" s="494">
        <f>IFERROR(VLOOKUP(B16,'EXP-IMP KRAJE LATA'!$B$10:$E$29,2,FALSE),"--")</f>
        <v>14988.316000000001</v>
      </c>
      <c r="D16" s="239">
        <f>IFERROR(VLOOKUP(B16,'EXP-IMP KRAJE LATA'!$G$10:$J$29,2,FALSE),"--")</f>
        <v>21094.25</v>
      </c>
      <c r="E16" s="495">
        <f t="shared" si="0"/>
        <v>40.737958820724089</v>
      </c>
      <c r="F16" s="494">
        <f>IFERROR(VLOOKUP(B16,'EXP-IMP KRAJE'!$B$7:$E$29,2,FALSE),"--")</f>
        <v>10360.475</v>
      </c>
      <c r="G16" s="496">
        <f>IFERROR(VLOOKUP(B16,'EXP-IMP KRAJE'!$G$7:$J$29,2,FALSE),"--")</f>
        <v>11888.821</v>
      </c>
      <c r="H16" s="488">
        <f t="shared" si="1"/>
        <v>14.751698160557305</v>
      </c>
      <c r="I16" s="497">
        <f t="shared" si="2"/>
        <v>4.8235985402400132</v>
      </c>
      <c r="J16" s="494">
        <f>IFERROR(VLOOKUP(B16,'EXP-IMP KRAJE LATA'!$B$10:$E$29,4,FALSE),"--")</f>
        <v>28111.281999999999</v>
      </c>
      <c r="K16" s="239">
        <f>IFERROR(VLOOKUP(B16,'EXP-IMP KRAJE LATA'!$G$10:$J$29,4,FALSE),"--")</f>
        <v>30551.64</v>
      </c>
      <c r="L16" s="495">
        <f t="shared" si="3"/>
        <v>8.6810626423938988</v>
      </c>
      <c r="M16" s="494">
        <f>IFERROR(VLOOKUP(B16,'EXP-IMP KRAJE'!$B$7:$E$29,4,FALSE),"--")</f>
        <v>4380.3919999999998</v>
      </c>
      <c r="N16" s="239">
        <f>IFERROR(VLOOKUP(B16,'EXP-IMP KRAJE'!$G$7:$J$29,4,FALSE),"--")</f>
        <v>5704.42</v>
      </c>
      <c r="O16" s="488">
        <f t="shared" si="4"/>
        <v>30.226244591808225</v>
      </c>
      <c r="P16" s="498">
        <f t="shared" si="5"/>
        <v>4.7403790250647457</v>
      </c>
      <c r="T16" s="474"/>
      <c r="U16" s="474"/>
      <c r="V16" s="474"/>
      <c r="W16" s="474"/>
      <c r="X16" s="474"/>
      <c r="Y16" s="474"/>
      <c r="Z16" s="474"/>
      <c r="AA16" s="474"/>
      <c r="AB16" s="474"/>
      <c r="AC16" s="474"/>
      <c r="AD16" s="474"/>
    </row>
    <row r="17" spans="1:30" ht="20.149999999999999" customHeight="1" x14ac:dyDescent="0.35">
      <c r="B17" s="237" t="str">
        <f>'EXP-IMP KRAJE'!G17</f>
        <v>Litwa</v>
      </c>
      <c r="C17" s="494">
        <f>IFERROR(VLOOKUP(B17,'EXP-IMP KRAJE LATA'!$B$10:$E$29,2,FALSE),"--")</f>
        <v>9688.0030000000006</v>
      </c>
      <c r="D17" s="239">
        <f>IFERROR(VLOOKUP(B17,'EXP-IMP KRAJE LATA'!$G$10:$J$29,2,FALSE),"--")</f>
        <v>16914.04</v>
      </c>
      <c r="E17" s="495">
        <f t="shared" si="0"/>
        <v>74.587476903134728</v>
      </c>
      <c r="F17" s="494">
        <f>IFERROR(VLOOKUP(B17,'EXP-IMP KRAJE'!$B$7:$E$29,2,FALSE),"--")</f>
        <v>6183.6620000000003</v>
      </c>
      <c r="G17" s="496">
        <f>IFERROR(VLOOKUP(B17,'EXP-IMP KRAJE'!$G$7:$J$29,2,FALSE),"--")</f>
        <v>10986.784</v>
      </c>
      <c r="H17" s="488">
        <f t="shared" si="1"/>
        <v>77.674394234354978</v>
      </c>
      <c r="I17" s="497">
        <f t="shared" si="2"/>
        <v>4.4576190746191173</v>
      </c>
      <c r="J17" s="494">
        <f>IFERROR(VLOOKUP(B17,'EXP-IMP KRAJE LATA'!$B$10:$E$29,4,FALSE),"--")</f>
        <v>17808.343000000001</v>
      </c>
      <c r="K17" s="239">
        <f>IFERROR(VLOOKUP(B17,'EXP-IMP KRAJE LATA'!$G$10:$J$29,4,FALSE),"--")</f>
        <v>23227.383000000002</v>
      </c>
      <c r="L17" s="495">
        <f t="shared" si="3"/>
        <v>30.429782265537003</v>
      </c>
      <c r="M17" s="494">
        <f>IFERROR(VLOOKUP(B17,'EXP-IMP KRAJE'!$B$7:$E$29,4,FALSE),"--")</f>
        <v>3146.5590000000002</v>
      </c>
      <c r="N17" s="239">
        <f>IFERROR(VLOOKUP(B17,'EXP-IMP KRAJE'!$G$7:$J$29,4,FALSE),"--")</f>
        <v>5203.7529999999997</v>
      </c>
      <c r="O17" s="488">
        <f t="shared" si="4"/>
        <v>65.379164986259582</v>
      </c>
      <c r="P17" s="498">
        <f t="shared" si="5"/>
        <v>4.3243242210106798</v>
      </c>
      <c r="T17" s="502"/>
      <c r="U17" s="503"/>
      <c r="V17" s="500"/>
      <c r="W17" s="500"/>
      <c r="X17" s="501"/>
      <c r="Y17" s="502"/>
      <c r="Z17" s="500"/>
      <c r="AA17" s="500"/>
      <c r="AB17" s="500"/>
      <c r="AC17" s="501"/>
      <c r="AD17" s="474"/>
    </row>
    <row r="18" spans="1:30" ht="20.149999999999999" customHeight="1" x14ac:dyDescent="0.35">
      <c r="B18" s="237" t="str">
        <f>'EXP-IMP KRAJE'!G18</f>
        <v>Republika Czeska</v>
      </c>
      <c r="C18" s="494">
        <f>IFERROR(VLOOKUP(B18,'EXP-IMP KRAJE LATA'!$B$10:$E$29,2,FALSE),"--")</f>
        <v>24858.527999999998</v>
      </c>
      <c r="D18" s="239">
        <f>IFERROR(VLOOKUP(B18,'EXP-IMP KRAJE LATA'!$G$10:$J$29,2,FALSE),"--")</f>
        <v>28312.106</v>
      </c>
      <c r="E18" s="495">
        <f t="shared" si="0"/>
        <v>13.892930426129823</v>
      </c>
      <c r="F18" s="494">
        <f>IFERROR(VLOOKUP(B18,'EXP-IMP KRAJE'!$B$7:$E$29,2,FALSE),"--")</f>
        <v>17082.681</v>
      </c>
      <c r="G18" s="496">
        <f>IFERROR(VLOOKUP(B18,'EXP-IMP KRAJE'!$G$7:$J$29,2,FALSE),"--")</f>
        <v>9394.7849999999999</v>
      </c>
      <c r="H18" s="488">
        <f t="shared" si="1"/>
        <v>-45.004036544380824</v>
      </c>
      <c r="I18" s="497">
        <f t="shared" si="2"/>
        <v>3.8117043911981492</v>
      </c>
      <c r="J18" s="494">
        <f>IFERROR(VLOOKUP(B18,'EXP-IMP KRAJE LATA'!$B$10:$E$29,4,FALSE),"--")</f>
        <v>39726.658000000003</v>
      </c>
      <c r="K18" s="239">
        <f>IFERROR(VLOOKUP(B18,'EXP-IMP KRAJE LATA'!$G$10:$J$29,4,FALSE),"--")</f>
        <v>37366.124000000003</v>
      </c>
      <c r="L18" s="495">
        <f t="shared" si="3"/>
        <v>-5.9419395409500577</v>
      </c>
      <c r="M18" s="494">
        <f>IFERROR(VLOOKUP(B18,'EXP-IMP KRAJE'!$B$7:$E$29,4,FALSE),"--")</f>
        <v>7050.9589999999998</v>
      </c>
      <c r="N18" s="239">
        <f>IFERROR(VLOOKUP(B18,'EXP-IMP KRAJE'!$G$7:$J$29,4,FALSE),"--")</f>
        <v>9388.4390000000003</v>
      </c>
      <c r="O18" s="488">
        <f t="shared" si="4"/>
        <v>33.151235172407048</v>
      </c>
      <c r="P18" s="498">
        <f t="shared" si="5"/>
        <v>7.8018026922456327</v>
      </c>
      <c r="T18" s="474"/>
      <c r="U18" s="474"/>
      <c r="V18" s="474"/>
      <c r="W18" s="474"/>
      <c r="X18" s="474"/>
      <c r="Y18" s="474"/>
      <c r="Z18" s="474"/>
      <c r="AA18" s="474"/>
      <c r="AB18" s="474"/>
      <c r="AC18" s="474"/>
      <c r="AD18" s="474"/>
    </row>
    <row r="19" spans="1:30" ht="20.149999999999999" customHeight="1" x14ac:dyDescent="0.35">
      <c r="B19" s="237" t="str">
        <f>'EXP-IMP KRAJE'!G19</f>
        <v>Szwecja</v>
      </c>
      <c r="C19" s="494">
        <f>IFERROR(VLOOKUP(B19,'EXP-IMP KRAJE LATA'!$B$10:$E$29,2,FALSE),"--")</f>
        <v>19970.989000000001</v>
      </c>
      <c r="D19" s="239">
        <f>IFERROR(VLOOKUP(B19,'EXP-IMP KRAJE LATA'!$G$10:$J$29,2,FALSE),"--")</f>
        <v>19925.550999999999</v>
      </c>
      <c r="E19" s="495">
        <f t="shared" si="0"/>
        <v>-0.22752002917833419</v>
      </c>
      <c r="F19" s="494">
        <f>IFERROR(VLOOKUP(B19,'EXP-IMP KRAJE'!$B$7:$E$29,2,FALSE),"--")</f>
        <v>10026.055</v>
      </c>
      <c r="G19" s="496">
        <f>IFERROR(VLOOKUP(B19,'EXP-IMP KRAJE'!$G$7:$J$29,2,FALSE),"--")</f>
        <v>8658.2070000000003</v>
      </c>
      <c r="H19" s="488">
        <f t="shared" si="1"/>
        <v>-13.64293333718995</v>
      </c>
      <c r="I19" s="497">
        <f t="shared" si="2"/>
        <v>3.512855870762615</v>
      </c>
      <c r="J19" s="494">
        <f>IFERROR(VLOOKUP(B19,'EXP-IMP KRAJE LATA'!$B$10:$E$29,4,FALSE),"--")</f>
        <v>27948.481</v>
      </c>
      <c r="K19" s="239">
        <f>IFERROR(VLOOKUP(B19,'EXP-IMP KRAJE LATA'!$G$10:$J$29,4,FALSE),"--")</f>
        <v>23047.834999999999</v>
      </c>
      <c r="L19" s="495">
        <f t="shared" si="3"/>
        <v>-17.534570125653701</v>
      </c>
      <c r="M19" s="494">
        <f>IFERROR(VLOOKUP(B19,'EXP-IMP KRAJE'!$B$7:$E$29,4,FALSE),"--")</f>
        <v>9217.92</v>
      </c>
      <c r="N19" s="239">
        <f>IFERROR(VLOOKUP(B19,'EXP-IMP KRAJE'!$G$7:$J$29,4,FALSE),"--")</f>
        <v>5278.7340000000004</v>
      </c>
      <c r="O19" s="488">
        <f t="shared" si="4"/>
        <v>-42.734000729014788</v>
      </c>
      <c r="P19" s="498">
        <f t="shared" si="5"/>
        <v>4.3866335109434651</v>
      </c>
      <c r="T19" s="474"/>
      <c r="U19" s="474"/>
      <c r="V19" s="474"/>
      <c r="W19" s="474"/>
      <c r="X19" s="474"/>
      <c r="Y19" s="474"/>
      <c r="Z19" s="474"/>
      <c r="AA19" s="474"/>
      <c r="AB19" s="474"/>
      <c r="AC19" s="474"/>
      <c r="AD19" s="474"/>
    </row>
    <row r="20" spans="1:30" ht="20.149999999999999" customHeight="1" x14ac:dyDescent="0.35">
      <c r="B20" s="237" t="str">
        <f>'EXP-IMP KRAJE'!G20</f>
        <v>Niemcy</v>
      </c>
      <c r="C20" s="494">
        <f>IFERROR(VLOOKUP(B20,'EXP-IMP KRAJE LATA'!$B$10:$E$29,2,FALSE),"--")</f>
        <v>57867.332999999999</v>
      </c>
      <c r="D20" s="239">
        <f>IFERROR(VLOOKUP(B20,'EXP-IMP KRAJE LATA'!$G$10:$J$29,2,FALSE),"--")</f>
        <v>41697.462</v>
      </c>
      <c r="E20" s="495">
        <f t="shared" si="0"/>
        <v>-27.943003697785763</v>
      </c>
      <c r="F20" s="504">
        <f>IFERROR(VLOOKUP(B20,'EXP-IMP KRAJE'!$B$7:$E$29,2,FALSE),"--")</f>
        <v>22710.474999999999</v>
      </c>
      <c r="G20" s="496">
        <f>IFERROR(VLOOKUP(B20,'EXP-IMP KRAJE'!$G$7:$J$29,2,FALSE),"--")</f>
        <v>8424.7459999999992</v>
      </c>
      <c r="H20" s="505">
        <f t="shared" si="1"/>
        <v>-62.903699724466357</v>
      </c>
      <c r="I20" s="497">
        <f t="shared" si="2"/>
        <v>3.4181347761475163</v>
      </c>
      <c r="J20" s="494">
        <f>IFERROR(VLOOKUP(B20,'EXP-IMP KRAJE LATA'!$B$10:$E$29,4,FALSE),"--")</f>
        <v>111789.819</v>
      </c>
      <c r="K20" s="239">
        <f>IFERROR(VLOOKUP(B20,'EXP-IMP KRAJE LATA'!$G$10:$J$29,4,FALSE),"--")</f>
        <v>76603.03</v>
      </c>
      <c r="L20" s="495">
        <f t="shared" si="3"/>
        <v>-31.47584396750835</v>
      </c>
      <c r="M20" s="504">
        <f>IFERROR(VLOOKUP(B20,'EXP-IMP KRAJE'!$B$7:$E$29,4,FALSE),"--")</f>
        <v>10668.68</v>
      </c>
      <c r="N20" s="239">
        <f>IFERROR(VLOOKUP(B20,'EXP-IMP KRAJE'!$G$7:$J$29,4,FALSE),"--")</f>
        <v>5599.52</v>
      </c>
      <c r="O20" s="488">
        <f t="shared" si="4"/>
        <v>-47.514406655743727</v>
      </c>
      <c r="P20" s="498">
        <f t="shared" si="5"/>
        <v>4.6532070146361146</v>
      </c>
      <c r="T20" s="474"/>
      <c r="U20" s="474"/>
      <c r="V20" s="474"/>
      <c r="W20" s="474"/>
      <c r="X20" s="474"/>
      <c r="Y20" s="474"/>
      <c r="Z20" s="474"/>
      <c r="AA20" s="474"/>
      <c r="AB20" s="474"/>
      <c r="AC20" s="474"/>
      <c r="AD20" s="474"/>
    </row>
    <row r="21" spans="1:30" ht="20.149999999999999" customHeight="1" x14ac:dyDescent="0.35">
      <c r="B21" s="237" t="str">
        <f>'EXP-IMP KRAJE'!G21</f>
        <v>Hiszpania</v>
      </c>
      <c r="C21" s="494">
        <f>IFERROR(VLOOKUP(B21,'EXP-IMP KRAJE LATA'!$B$10:$E$29,2,FALSE),"--")</f>
        <v>16763.657999999999</v>
      </c>
      <c r="D21" s="239">
        <f>IFERROR(VLOOKUP(B21,'EXP-IMP KRAJE LATA'!$G$10:$J$29,2,FALSE),"--")</f>
        <v>12877.455</v>
      </c>
      <c r="E21" s="495">
        <f t="shared" si="0"/>
        <v>-23.182309016325672</v>
      </c>
      <c r="F21" s="494">
        <f>IFERROR(VLOOKUP(B21,'EXP-IMP KRAJE'!$B$7:$E$29,2,FALSE),"--")</f>
        <v>6667.4160000000002</v>
      </c>
      <c r="G21" s="496">
        <f>IFERROR(VLOOKUP(B21,'EXP-IMP KRAJE'!$G$7:$J$29,2,FALSE),"--")</f>
        <v>7223.2790000000005</v>
      </c>
      <c r="H21" s="488">
        <f t="shared" si="1"/>
        <v>8.3370079203097607</v>
      </c>
      <c r="I21" s="497">
        <f t="shared" si="2"/>
        <v>2.9306689065422336</v>
      </c>
      <c r="J21" s="494">
        <f>IFERROR(VLOOKUP(B21,'EXP-IMP KRAJE LATA'!$B$10:$E$29,4,FALSE),"--")</f>
        <v>24837.097000000002</v>
      </c>
      <c r="K21" s="239">
        <f>IFERROR(VLOOKUP(B21,'EXP-IMP KRAJE LATA'!$G$10:$J$29,4,FALSE),"--")</f>
        <v>16281.914000000001</v>
      </c>
      <c r="L21" s="495">
        <f t="shared" si="3"/>
        <v>-34.445180932377085</v>
      </c>
      <c r="M21" s="494">
        <f>IFERROR(VLOOKUP(B21,'EXP-IMP KRAJE'!$B$7:$E$29,4,FALSE),"--")</f>
        <v>4168.7939999999999</v>
      </c>
      <c r="N21" s="239">
        <f>IFERROR(VLOOKUP(B21,'EXP-IMP KRAJE'!$G$7:$J$29,4,FALSE),"--")</f>
        <v>4048.6439999999998</v>
      </c>
      <c r="O21" s="488">
        <f t="shared" si="4"/>
        <v>-2.8821285004728008</v>
      </c>
      <c r="P21" s="498">
        <f t="shared" si="5"/>
        <v>3.3644274260230187</v>
      </c>
      <c r="T21" s="474"/>
      <c r="U21" s="474"/>
      <c r="V21" s="474"/>
      <c r="W21" s="474"/>
      <c r="X21" s="474"/>
      <c r="Y21" s="474"/>
      <c r="Z21" s="474"/>
      <c r="AA21" s="474"/>
      <c r="AB21" s="474"/>
      <c r="AC21" s="474"/>
      <c r="AD21" s="474"/>
    </row>
    <row r="22" spans="1:30" ht="20.149999999999999" customHeight="1" x14ac:dyDescent="0.35">
      <c r="B22" s="237" t="str">
        <f>'EXP-IMP KRAJE'!G22</f>
        <v>Holandia</v>
      </c>
      <c r="C22" s="494">
        <f>IFERROR(VLOOKUP(B22,'EXP-IMP KRAJE LATA'!$B$10:$E$29,2,FALSE),"--")</f>
        <v>30039.133000000002</v>
      </c>
      <c r="D22" s="506">
        <f>IFERROR(VLOOKUP(B22,'EXP-IMP KRAJE LATA'!$G$10:$J$29,2,FALSE),"--")</f>
        <v>22191.287</v>
      </c>
      <c r="E22" s="495">
        <f t="shared" si="0"/>
        <v>-26.125407813867334</v>
      </c>
      <c r="F22" s="494">
        <f>IFERROR(VLOOKUP(B22,'EXP-IMP KRAJE'!$B$7:$E$29,2,FALSE),"--")</f>
        <v>13697.71</v>
      </c>
      <c r="G22" s="496">
        <f>IFERROR(VLOOKUP(B22,'EXP-IMP KRAJE'!$G$7:$J$29,2,FALSE),"--")</f>
        <v>7056.0320000000002</v>
      </c>
      <c r="H22" s="488">
        <f t="shared" si="1"/>
        <v>-48.487506305798554</v>
      </c>
      <c r="I22" s="497">
        <f t="shared" si="2"/>
        <v>2.862812524058258</v>
      </c>
      <c r="J22" s="494">
        <f>IFERROR(VLOOKUP(B22,'EXP-IMP KRAJE LATA'!$B$10:$E$29,4,FALSE),"--")</f>
        <v>64552.434999999998</v>
      </c>
      <c r="K22" s="506">
        <f>IFERROR(VLOOKUP(B22,'EXP-IMP KRAJE LATA'!$G$10:$J$29,4,FALSE),"--")</f>
        <v>39796.766000000003</v>
      </c>
      <c r="L22" s="495">
        <f t="shared" si="3"/>
        <v>-38.349705940604714</v>
      </c>
      <c r="M22" s="494">
        <f>IFERROR(VLOOKUP(B22,'EXP-IMP KRAJE'!$B$7:$E$29,4,FALSE),"--")</f>
        <v>6254.4549999999999</v>
      </c>
      <c r="N22" s="239">
        <f>IFERROR(VLOOKUP(B22,'EXP-IMP KRAJE'!$G$7:$J$29,4,FALSE),"--")</f>
        <v>3937.4520000000002</v>
      </c>
      <c r="O22" s="488">
        <f t="shared" si="4"/>
        <v>-37.045641866477567</v>
      </c>
      <c r="P22" s="498">
        <f t="shared" si="5"/>
        <v>3.2720267569707757</v>
      </c>
      <c r="T22" s="474"/>
      <c r="U22" s="474"/>
      <c r="V22" s="474"/>
      <c r="W22" s="474"/>
      <c r="X22" s="474"/>
      <c r="Y22" s="474"/>
      <c r="Z22" s="474"/>
      <c r="AA22" s="474"/>
      <c r="AB22" s="474"/>
      <c r="AC22" s="474"/>
      <c r="AD22" s="474"/>
    </row>
    <row r="23" spans="1:30" ht="20.149999999999999" customHeight="1" x14ac:dyDescent="0.35">
      <c r="B23" s="237" t="str">
        <f>'EXP-IMP KRAJE'!G23</f>
        <v>Bułgaria</v>
      </c>
      <c r="C23" s="494" t="str">
        <f>IFERROR(VLOOKUP(B23,'EXP-IMP KRAJE LATA'!$B$10:$E$29,2,FALSE),"--")</f>
        <v>--</v>
      </c>
      <c r="D23" s="239">
        <f>IFERROR(VLOOKUP(B23,'EXP-IMP KRAJE LATA'!$G$10:$J$29,2,FALSE),"--")</f>
        <v>9845.2829999999994</v>
      </c>
      <c r="E23" s="495" t="str">
        <f t="shared" si="0"/>
        <v>--</v>
      </c>
      <c r="F23" s="494" t="str">
        <f>IFERROR(VLOOKUP(B23,'EXP-IMP KRAJE'!$B$7:$E$29,2,FALSE),"--")</f>
        <v>--</v>
      </c>
      <c r="G23" s="496">
        <f>IFERROR(VLOOKUP(B23,'EXP-IMP KRAJE'!$G$7:$J$29,2,FALSE),"--")</f>
        <v>7035.3559999999998</v>
      </c>
      <c r="H23" s="488" t="str">
        <f t="shared" si="1"/>
        <v>--</v>
      </c>
      <c r="I23" s="497">
        <f t="shared" si="2"/>
        <v>2.854423742410523</v>
      </c>
      <c r="J23" s="494" t="str">
        <f>IFERROR(VLOOKUP(B23,'EXP-IMP KRAJE LATA'!$B$10:$E$29,4,FALSE),"--")</f>
        <v>--</v>
      </c>
      <c r="K23" s="239">
        <f>IFERROR(VLOOKUP(B23,'EXP-IMP KRAJE LATA'!$G$10:$J$29,4,FALSE),"--")</f>
        <v>14244.856</v>
      </c>
      <c r="L23" s="495" t="str">
        <f t="shared" si="3"/>
        <v>--</v>
      </c>
      <c r="M23" s="494" t="str">
        <f>IFERROR(VLOOKUP(B23,'EXP-IMP KRAJE'!$B$7:$E$29,4,FALSE),"--")</f>
        <v>--</v>
      </c>
      <c r="N23" s="239">
        <f>IFERROR(VLOOKUP(B23,'EXP-IMP KRAJE'!$G$7:$J$29,4,FALSE),"--")</f>
        <v>3814.636</v>
      </c>
      <c r="O23" s="488" t="str">
        <f t="shared" si="4"/>
        <v>--</v>
      </c>
      <c r="P23" s="498">
        <f t="shared" si="5"/>
        <v>3.1699665316819026</v>
      </c>
      <c r="T23" s="474"/>
      <c r="U23" s="474"/>
      <c r="V23" s="474"/>
      <c r="W23" s="474"/>
      <c r="X23" s="474"/>
      <c r="Y23" s="474"/>
      <c r="Z23" s="474"/>
      <c r="AA23" s="474"/>
      <c r="AB23" s="474"/>
      <c r="AC23" s="474"/>
      <c r="AD23" s="474"/>
    </row>
    <row r="24" spans="1:30" ht="20.149999999999999" customHeight="1" x14ac:dyDescent="0.35">
      <c r="B24" s="237" t="str">
        <f>'EXP-IMP KRAJE'!G24</f>
        <v>Słowacja</v>
      </c>
      <c r="C24" s="494">
        <f>IFERROR(VLOOKUP(B24,'EXP-IMP KRAJE LATA'!$B$10:$E$29,2,FALSE),"--")</f>
        <v>9878.4660000000003</v>
      </c>
      <c r="D24" s="239">
        <f>IFERROR(VLOOKUP(B24,'EXP-IMP KRAJE LATA'!$G$10:$J$29,2,FALSE),"--")</f>
        <v>11296.415999999999</v>
      </c>
      <c r="E24" s="495">
        <f t="shared" si="0"/>
        <v>14.35394928726787</v>
      </c>
      <c r="F24" s="494">
        <f>IFERROR(VLOOKUP(B24,'EXP-IMP KRAJE'!$B$7:$E$29,2,FALSE),"--")</f>
        <v>5858.3329999999996</v>
      </c>
      <c r="G24" s="496">
        <f>IFERROR(VLOOKUP(B24,'EXP-IMP KRAJE'!$G$7:$J$29,2,FALSE),"--")</f>
        <v>6847.259</v>
      </c>
      <c r="H24" s="488">
        <f t="shared" si="1"/>
        <v>16.880672368743813</v>
      </c>
      <c r="I24" s="497">
        <f t="shared" si="2"/>
        <v>2.7781079820316323</v>
      </c>
      <c r="J24" s="494">
        <f>IFERROR(VLOOKUP(B24,'EXP-IMP KRAJE LATA'!$B$10:$E$29,4,FALSE),"--")</f>
        <v>14686.39</v>
      </c>
      <c r="K24" s="239">
        <f>IFERROR(VLOOKUP(B24,'EXP-IMP KRAJE LATA'!$G$10:$J$29,4,FALSE),"--")</f>
        <v>14748.796</v>
      </c>
      <c r="L24" s="495">
        <f t="shared" si="3"/>
        <v>0.42492402830103831</v>
      </c>
      <c r="M24" s="494">
        <f>IFERROR(VLOOKUP(B24,'EXP-IMP KRAJE'!$B$7:$E$29,4,FALSE),"--")</f>
        <v>2017.0989999999999</v>
      </c>
      <c r="N24" s="239">
        <f>IFERROR(VLOOKUP(B24,'EXP-IMP KRAJE'!$G$7:$J$29,4,FALSE),"--")</f>
        <v>2836.0239999999999</v>
      </c>
      <c r="O24" s="488">
        <f t="shared" si="4"/>
        <v>40.599147587698972</v>
      </c>
      <c r="P24" s="498">
        <f t="shared" si="5"/>
        <v>2.3567389294933085</v>
      </c>
      <c r="T24" s="474"/>
      <c r="U24" s="474"/>
      <c r="V24" s="474"/>
      <c r="W24" s="474"/>
      <c r="X24" s="474"/>
      <c r="Y24" s="474"/>
      <c r="Z24" s="474"/>
      <c r="AA24" s="474"/>
      <c r="AB24" s="474"/>
      <c r="AC24" s="474"/>
      <c r="AD24" s="474"/>
    </row>
    <row r="25" spans="1:30" ht="20.149999999999999" customHeight="1" x14ac:dyDescent="0.35">
      <c r="B25" s="507" t="str">
        <f>'EXP-IMP KRAJE'!G25</f>
        <v>Jordania</v>
      </c>
      <c r="C25" s="508" t="str">
        <f>IFERROR(VLOOKUP(B25,'EXP-IMP KRAJE LATA'!$B$10:$E$29,2,FALSE),"--")</f>
        <v>--</v>
      </c>
      <c r="D25" s="509">
        <f>IFERROR(VLOOKUP(B25,'EXP-IMP KRAJE LATA'!$G$10:$J$29,2,FALSE),"--")</f>
        <v>10017.868</v>
      </c>
      <c r="E25" s="510" t="str">
        <f t="shared" si="0"/>
        <v>--</v>
      </c>
      <c r="F25" s="508" t="str">
        <f>IFERROR(VLOOKUP(B25,'EXP-IMP KRAJE'!$B$7:$E$29,2,FALSE),"--")</f>
        <v>--</v>
      </c>
      <c r="G25" s="511">
        <f>IFERROR(VLOOKUP(B25,'EXP-IMP KRAJE'!$G$7:$J$29,2,FALSE),"--")</f>
        <v>6102.9430000000002</v>
      </c>
      <c r="H25" s="512" t="str">
        <f t="shared" si="1"/>
        <v>--</v>
      </c>
      <c r="I25" s="513">
        <f t="shared" si="2"/>
        <v>2.4761199572243546</v>
      </c>
      <c r="J25" s="508" t="str">
        <f>IFERROR(VLOOKUP(B25,'EXP-IMP KRAJE LATA'!$B$10:$E$29,4,FALSE),"--")</f>
        <v>--</v>
      </c>
      <c r="K25" s="509">
        <f>IFERROR(VLOOKUP(B25,'EXP-IMP KRAJE LATA'!$G$10:$J$29,4,FALSE),"--")</f>
        <v>13195.878000000001</v>
      </c>
      <c r="L25" s="510" t="str">
        <f t="shared" si="3"/>
        <v>--</v>
      </c>
      <c r="M25" s="508" t="str">
        <f>IFERROR(VLOOKUP(B25,'EXP-IMP KRAJE'!$B$7:$E$29,4,FALSE),"--")</f>
        <v>--</v>
      </c>
      <c r="N25" s="243">
        <f>IFERROR(VLOOKUP(B25,'EXP-IMP KRAJE'!$G$7:$J$29,4,FALSE),"--")</f>
        <v>3443.223</v>
      </c>
      <c r="O25" s="512" t="str">
        <f t="shared" si="4"/>
        <v>--</v>
      </c>
      <c r="P25" s="514">
        <f t="shared" si="5"/>
        <v>2.8613219376940178</v>
      </c>
      <c r="T25" s="474"/>
      <c r="U25" s="474"/>
      <c r="V25" s="474"/>
      <c r="W25" s="474"/>
      <c r="X25" s="474"/>
      <c r="Y25" s="474"/>
      <c r="Z25" s="474"/>
      <c r="AA25" s="474"/>
      <c r="AB25" s="474"/>
      <c r="AC25" s="474"/>
      <c r="AD25" s="474"/>
    </row>
    <row r="26" spans="1:30" ht="20.149999999999999" customHeight="1" x14ac:dyDescent="0.45">
      <c r="B26" s="515"/>
      <c r="C26" s="516"/>
      <c r="D26" s="517"/>
      <c r="E26" s="517"/>
      <c r="F26" s="516"/>
      <c r="G26" s="517"/>
      <c r="H26" s="517"/>
      <c r="I26" s="517"/>
      <c r="J26" s="517"/>
      <c r="K26" s="517"/>
      <c r="L26" s="517"/>
      <c r="T26" s="518"/>
      <c r="U26" s="517"/>
      <c r="V26" s="517"/>
      <c r="W26" s="517"/>
      <c r="X26" s="517"/>
      <c r="Y26" s="517"/>
      <c r="Z26" s="517"/>
      <c r="AA26" s="517"/>
      <c r="AB26" s="517"/>
      <c r="AC26" s="517"/>
      <c r="AD26" s="519"/>
    </row>
    <row r="27" spans="1:30" x14ac:dyDescent="0.3">
      <c r="S27" s="33"/>
      <c r="T27" s="33"/>
      <c r="U27" s="33"/>
      <c r="V27" s="33"/>
      <c r="W27" s="33"/>
    </row>
    <row r="28" spans="1:30" x14ac:dyDescent="0.3">
      <c r="S28" s="33"/>
      <c r="T28" s="33"/>
      <c r="U28" s="33"/>
      <c r="V28" s="33"/>
    </row>
    <row r="32" spans="1:30" x14ac:dyDescent="0.3">
      <c r="A32" s="445"/>
    </row>
  </sheetData>
  <mergeCells count="1">
    <mergeCell ref="A7:P7"/>
  </mergeCells>
  <conditionalFormatting sqref="E10:E25">
    <cfRule type="cellIs" dxfId="11" priority="10" operator="equal">
      <formula>"-"</formula>
    </cfRule>
    <cfRule type="cellIs" dxfId="10" priority="11" operator="lessThan">
      <formula>0</formula>
    </cfRule>
    <cfRule type="cellIs" dxfId="9" priority="12" operator="greaterThan">
      <formula>0</formula>
    </cfRule>
  </conditionalFormatting>
  <conditionalFormatting sqref="H10:H25">
    <cfRule type="cellIs" dxfId="8" priority="7" operator="equal">
      <formula>"-"</formula>
    </cfRule>
    <cfRule type="cellIs" dxfId="7" priority="8" operator="lessThan">
      <formula>0</formula>
    </cfRule>
    <cfRule type="cellIs" dxfId="6" priority="9" operator="greaterThan">
      <formula>0</formula>
    </cfRule>
  </conditionalFormatting>
  <conditionalFormatting sqref="L10:L25">
    <cfRule type="cellIs" dxfId="5" priority="4" operator="equal">
      <formula>"-"</formula>
    </cfRule>
    <cfRule type="cellIs" dxfId="4" priority="5" operator="lessThan">
      <formula>0</formula>
    </cfRule>
    <cfRule type="cellIs" dxfId="3" priority="6" operator="greaterThan">
      <formula>0</formula>
    </cfRule>
  </conditionalFormatting>
  <conditionalFormatting sqref="O10:O25">
    <cfRule type="cellIs" dxfId="2" priority="1" operator="equal">
      <formula>"-"</formula>
    </cfRule>
    <cfRule type="cellIs" dxfId="1" priority="2" operator="lessThan">
      <formula>0</formula>
    </cfRule>
    <cfRule type="cellIs" dxfId="0" priority="3" operator="greaterThan">
      <formula>0</formula>
    </cfRule>
  </conditionalFormatting>
  <pageMargins left="0" right="0" top="0.35433070866141736" bottom="0.35433070866141736" header="0.23622047244094491" footer="0.11811023622047245"/>
  <pageSetup paperSize="9" scale="54" orientation="landscape" r:id="rId1"/>
  <headerFooter alignWithMargins="0">
    <oddFooter>&amp;L&amp;"Times New Roman CE,Pogrubiona kursywa"&amp;12Źródło: Dane MF, CIHZ&amp;R&amp;"Times New Roman CE,Pogrubiona kursywa"&amp;12Przygotowała: Agnieszka Szarejko-Pater</oddFooter>
  </headerFooter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14"/>
  <dimension ref="A1:P34"/>
  <sheetViews>
    <sheetView workbookViewId="0">
      <selection activeCell="A8" sqref="A8"/>
    </sheetView>
  </sheetViews>
  <sheetFormatPr defaultColWidth="18" defaultRowHeight="18" x14ac:dyDescent="0.4"/>
  <cols>
    <col min="1" max="1" width="10.7265625" style="2" customWidth="1"/>
    <col min="2" max="4" width="30.7265625" style="2" customWidth="1"/>
    <col min="5" max="5" width="30.7265625" style="3" customWidth="1"/>
    <col min="6" max="16384" width="18" style="2"/>
  </cols>
  <sheetData>
    <row r="1" spans="1:16" s="33" customFormat="1" ht="25" customHeight="1" x14ac:dyDescent="0.35">
      <c r="B1" s="57"/>
      <c r="D1" s="34"/>
      <c r="H1" s="35"/>
      <c r="I1" s="36"/>
    </row>
    <row r="2" spans="1:16" customFormat="1" ht="25" customHeight="1" x14ac:dyDescent="0.25">
      <c r="A2" s="37"/>
      <c r="B2" s="38" t="s">
        <v>41</v>
      </c>
      <c r="C2" s="39"/>
      <c r="D2" s="39"/>
      <c r="E2" s="39"/>
      <c r="F2" s="39"/>
      <c r="G2" s="39"/>
      <c r="H2" s="40"/>
      <c r="I2" s="40"/>
      <c r="J2" s="40"/>
      <c r="K2" s="33"/>
      <c r="L2" s="40"/>
    </row>
    <row r="3" spans="1:16" customFormat="1" ht="25" customHeight="1" thickBot="1" x14ac:dyDescent="0.3">
      <c r="B3" s="41"/>
      <c r="C3" s="49"/>
      <c r="D3" s="49"/>
      <c r="E3" s="49"/>
      <c r="F3" s="49"/>
      <c r="G3" s="49"/>
      <c r="H3" s="49"/>
      <c r="I3" s="49"/>
      <c r="J3" s="49"/>
      <c r="K3" s="49"/>
      <c r="L3" s="49"/>
      <c r="M3" s="49"/>
      <c r="P3" s="33"/>
    </row>
    <row r="4" spans="1:16" customFormat="1" ht="25" customHeight="1" thickTop="1" x14ac:dyDescent="0.3">
      <c r="B4" s="50"/>
      <c r="C4" s="51"/>
      <c r="D4" s="52"/>
      <c r="E4" s="112"/>
      <c r="F4" s="54"/>
      <c r="G4" s="113"/>
      <c r="H4" s="54"/>
      <c r="I4" s="55"/>
      <c r="J4" s="33"/>
      <c r="K4" s="56"/>
      <c r="L4" s="40"/>
      <c r="O4" s="33"/>
    </row>
    <row r="5" spans="1:16" s="5" customFormat="1" x14ac:dyDescent="0.4">
      <c r="B5" s="167" t="s">
        <v>42</v>
      </c>
      <c r="C5" s="168" t="s">
        <v>43</v>
      </c>
      <c r="D5" s="169" t="s">
        <v>44</v>
      </c>
      <c r="E5" s="168" t="s">
        <v>45</v>
      </c>
      <c r="F5" s="4"/>
      <c r="G5" s="4"/>
    </row>
    <row r="6" spans="1:16" x14ac:dyDescent="0.4">
      <c r="B6" s="12" t="s">
        <v>46</v>
      </c>
      <c r="C6" s="162" t="s">
        <v>47</v>
      </c>
      <c r="D6" s="165" t="s">
        <v>26</v>
      </c>
      <c r="E6" s="162" t="s">
        <v>48</v>
      </c>
      <c r="G6" s="4"/>
    </row>
    <row r="7" spans="1:16" x14ac:dyDescent="0.4">
      <c r="B7" s="164" t="s">
        <v>5</v>
      </c>
      <c r="C7" s="163" t="s">
        <v>49</v>
      </c>
      <c r="D7" s="166" t="s">
        <v>27</v>
      </c>
      <c r="E7" s="163" t="s">
        <v>50</v>
      </c>
      <c r="G7" s="4"/>
    </row>
    <row r="8" spans="1:16" x14ac:dyDescent="0.4">
      <c r="B8" s="12" t="s">
        <v>19</v>
      </c>
      <c r="C8" s="162" t="s">
        <v>51</v>
      </c>
      <c r="D8" s="165" t="s">
        <v>28</v>
      </c>
      <c r="E8" s="162" t="s">
        <v>52</v>
      </c>
      <c r="G8" s="4"/>
    </row>
    <row r="9" spans="1:16" x14ac:dyDescent="0.4">
      <c r="B9" s="164" t="s">
        <v>20</v>
      </c>
      <c r="C9" s="163" t="s">
        <v>53</v>
      </c>
      <c r="D9" s="166" t="s">
        <v>29</v>
      </c>
      <c r="E9" s="163" t="s">
        <v>54</v>
      </c>
      <c r="G9" s="4"/>
    </row>
    <row r="10" spans="1:16" x14ac:dyDescent="0.4">
      <c r="B10" s="12" t="s">
        <v>6</v>
      </c>
      <c r="C10" s="162" t="s">
        <v>55</v>
      </c>
      <c r="D10" s="165" t="s">
        <v>56</v>
      </c>
      <c r="E10" s="162" t="s">
        <v>57</v>
      </c>
      <c r="G10" s="4"/>
    </row>
    <row r="11" spans="1:16" x14ac:dyDescent="0.4">
      <c r="B11" s="164" t="s">
        <v>7</v>
      </c>
      <c r="C11" s="163" t="s">
        <v>58</v>
      </c>
      <c r="D11" s="166" t="s">
        <v>59</v>
      </c>
      <c r="E11" s="163" t="s">
        <v>60</v>
      </c>
      <c r="G11" s="4"/>
    </row>
    <row r="12" spans="1:16" x14ac:dyDescent="0.4">
      <c r="B12" s="12" t="s">
        <v>8</v>
      </c>
      <c r="C12" s="162" t="s">
        <v>61</v>
      </c>
      <c r="D12" s="165" t="s">
        <v>31</v>
      </c>
      <c r="E12" s="162" t="s">
        <v>62</v>
      </c>
      <c r="G12" s="4"/>
    </row>
    <row r="13" spans="1:16" x14ac:dyDescent="0.4">
      <c r="B13" s="164" t="s">
        <v>10</v>
      </c>
      <c r="C13" s="163" t="s">
        <v>63</v>
      </c>
      <c r="D13" s="166" t="s">
        <v>64</v>
      </c>
      <c r="E13" s="163" t="s">
        <v>65</v>
      </c>
      <c r="G13" s="4"/>
    </row>
    <row r="14" spans="1:16" x14ac:dyDescent="0.4">
      <c r="B14" s="12" t="s">
        <v>9</v>
      </c>
      <c r="C14" s="162" t="s">
        <v>66</v>
      </c>
      <c r="D14" s="165" t="s">
        <v>32</v>
      </c>
      <c r="E14" s="162" t="s">
        <v>67</v>
      </c>
      <c r="G14" s="4"/>
    </row>
    <row r="15" spans="1:16" x14ac:dyDescent="0.4">
      <c r="B15" s="164" t="s">
        <v>21</v>
      </c>
      <c r="C15" s="163" t="s">
        <v>68</v>
      </c>
      <c r="D15" s="166" t="s">
        <v>69</v>
      </c>
      <c r="E15" s="163" t="s">
        <v>70</v>
      </c>
      <c r="G15" s="4"/>
    </row>
    <row r="16" spans="1:16" x14ac:dyDescent="0.4">
      <c r="B16" s="12" t="s">
        <v>23</v>
      </c>
      <c r="C16" s="162" t="s">
        <v>71</v>
      </c>
      <c r="D16" s="165" t="s">
        <v>33</v>
      </c>
      <c r="E16" s="162" t="s">
        <v>72</v>
      </c>
      <c r="G16" s="4"/>
    </row>
    <row r="17" spans="2:7" x14ac:dyDescent="0.4">
      <c r="B17" s="164" t="s">
        <v>22</v>
      </c>
      <c r="C17" s="163" t="s">
        <v>73</v>
      </c>
      <c r="D17" s="166" t="s">
        <v>74</v>
      </c>
      <c r="E17" s="163" t="s">
        <v>75</v>
      </c>
      <c r="G17" s="4"/>
    </row>
    <row r="18" spans="2:7" x14ac:dyDescent="0.4">
      <c r="B18" s="12" t="s">
        <v>12</v>
      </c>
      <c r="C18" s="162" t="s">
        <v>76</v>
      </c>
      <c r="D18" s="165" t="s">
        <v>77</v>
      </c>
      <c r="E18" s="162" t="s">
        <v>78</v>
      </c>
      <c r="G18" s="4"/>
    </row>
    <row r="19" spans="2:7" x14ac:dyDescent="0.4">
      <c r="B19" s="164" t="s">
        <v>79</v>
      </c>
      <c r="C19" s="163" t="s">
        <v>80</v>
      </c>
      <c r="D19" s="166" t="s">
        <v>40</v>
      </c>
      <c r="E19" s="163" t="s">
        <v>81</v>
      </c>
      <c r="G19" s="4"/>
    </row>
    <row r="20" spans="2:7" x14ac:dyDescent="0.4">
      <c r="B20" s="12" t="s">
        <v>82</v>
      </c>
      <c r="C20" s="162" t="s">
        <v>83</v>
      </c>
      <c r="D20" s="165" t="s">
        <v>39</v>
      </c>
      <c r="E20" s="162" t="s">
        <v>84</v>
      </c>
      <c r="G20" s="4"/>
    </row>
    <row r="21" spans="2:7" x14ac:dyDescent="0.4">
      <c r="B21" s="164" t="s">
        <v>24</v>
      </c>
      <c r="C21" s="163" t="s">
        <v>85</v>
      </c>
      <c r="D21" s="166" t="s">
        <v>34</v>
      </c>
      <c r="E21" s="163" t="s">
        <v>86</v>
      </c>
      <c r="G21" s="4"/>
    </row>
    <row r="22" spans="2:7" x14ac:dyDescent="0.4">
      <c r="B22" s="12" t="s">
        <v>14</v>
      </c>
      <c r="C22" s="162" t="s">
        <v>87</v>
      </c>
      <c r="D22" s="165" t="s">
        <v>88</v>
      </c>
      <c r="E22" s="162" t="s">
        <v>89</v>
      </c>
      <c r="G22" s="4"/>
    </row>
    <row r="23" spans="2:7" x14ac:dyDescent="0.4">
      <c r="B23" s="164" t="s">
        <v>15</v>
      </c>
      <c r="C23" s="163" t="s">
        <v>90</v>
      </c>
      <c r="D23" s="170" t="s">
        <v>91</v>
      </c>
      <c r="E23" s="171" t="s">
        <v>92</v>
      </c>
      <c r="F23" s="6"/>
      <c r="G23" s="4"/>
    </row>
    <row r="24" spans="2:7" x14ac:dyDescent="0.4">
      <c r="B24" s="12" t="s">
        <v>38</v>
      </c>
      <c r="C24" s="162" t="s">
        <v>93</v>
      </c>
      <c r="D24" s="165" t="s">
        <v>4</v>
      </c>
      <c r="E24" s="162" t="s">
        <v>94</v>
      </c>
      <c r="G24" s="4"/>
    </row>
    <row r="25" spans="2:7" x14ac:dyDescent="0.4">
      <c r="B25" s="164" t="s">
        <v>17</v>
      </c>
      <c r="C25" s="163" t="s">
        <v>95</v>
      </c>
      <c r="D25" s="166" t="s">
        <v>11</v>
      </c>
      <c r="E25" s="163" t="s">
        <v>104</v>
      </c>
    </row>
    <row r="34" spans="5:5" x14ac:dyDescent="0.4">
      <c r="E34" s="3" t="s">
        <v>96</v>
      </c>
    </row>
  </sheetData>
  <phoneticPr fontId="19" type="noConversion"/>
  <pageMargins left="0.79" right="0.79" top="0.98" bottom="0.98" header="0.5" footer="0.5"/>
  <pageSetup paperSize="9" orientation="portrait" r:id="rId1"/>
  <headerFooter alignWithMargins="0">
    <oddHeader>&amp;A</oddHeader>
    <oddFooter>Strona &amp;P</oddFooter>
  </headerFooter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P29"/>
  <sheetViews>
    <sheetView showGridLines="0" zoomScaleNormal="100" workbookViewId="0">
      <selection activeCell="J9" sqref="J9"/>
    </sheetView>
  </sheetViews>
  <sheetFormatPr defaultColWidth="9.1796875" defaultRowHeight="12.5" x14ac:dyDescent="0.25"/>
  <cols>
    <col min="1" max="27" width="10.7265625" style="33" customWidth="1"/>
    <col min="28" max="16384" width="9.1796875" style="33"/>
  </cols>
  <sheetData>
    <row r="1" spans="1:16" ht="25" customHeight="1" x14ac:dyDescent="0.25">
      <c r="C1" s="157"/>
      <c r="F1" s="34"/>
      <c r="L1" s="35"/>
      <c r="M1" s="36"/>
    </row>
    <row r="2" spans="1:16" customFormat="1" ht="25" customHeight="1" x14ac:dyDescent="0.25">
      <c r="A2" s="37"/>
      <c r="B2" s="38" t="s">
        <v>323</v>
      </c>
      <c r="C2" s="52"/>
      <c r="D2" s="54"/>
      <c r="E2" s="54"/>
      <c r="F2" s="54"/>
      <c r="G2" s="54"/>
      <c r="H2" s="54"/>
      <c r="I2" s="54"/>
      <c r="J2" s="54"/>
      <c r="K2" s="54"/>
    </row>
    <row r="3" spans="1:16" customFormat="1" ht="25" customHeight="1" thickBot="1" x14ac:dyDescent="0.35">
      <c r="B3" s="41"/>
      <c r="C3" s="177"/>
      <c r="D3" s="178"/>
      <c r="E3" s="177"/>
      <c r="F3" s="179"/>
      <c r="G3" s="180"/>
      <c r="H3" s="181"/>
      <c r="I3" s="181"/>
      <c r="J3" s="182"/>
      <c r="K3" s="183"/>
      <c r="L3" s="184"/>
      <c r="M3" s="184"/>
      <c r="N3" s="184"/>
      <c r="O3" s="184"/>
      <c r="P3" s="185"/>
    </row>
    <row r="4" spans="1:16" customFormat="1" ht="25" customHeight="1" thickTop="1" x14ac:dyDescent="0.3">
      <c r="B4" s="159"/>
      <c r="C4" s="52"/>
      <c r="D4" s="51"/>
      <c r="E4" s="52"/>
      <c r="F4" s="53"/>
      <c r="G4" s="160"/>
      <c r="H4" s="54"/>
      <c r="I4" s="54"/>
      <c r="J4" s="113"/>
      <c r="K4" s="33"/>
      <c r="O4" s="186"/>
      <c r="P4" s="187" t="str">
        <f>B5</f>
        <v>Notowania 17 - 23.08.2026 / Tydzień 33</v>
      </c>
    </row>
    <row r="5" spans="1:16" ht="20.149999999999999" customHeight="1" x14ac:dyDescent="0.3">
      <c r="B5" s="188" t="s">
        <v>833</v>
      </c>
      <c r="C5" s="188"/>
      <c r="D5" s="188"/>
      <c r="E5" s="188"/>
    </row>
    <row r="6" spans="1:16" ht="20.149999999999999" customHeight="1" x14ac:dyDescent="0.3">
      <c r="B6" s="188" t="s">
        <v>569</v>
      </c>
      <c r="C6" s="188"/>
      <c r="D6" s="188"/>
      <c r="E6" s="188"/>
    </row>
    <row r="7" spans="1:16" ht="20.149999999999999" customHeight="1" x14ac:dyDescent="0.3">
      <c r="B7" s="188"/>
      <c r="C7" s="188"/>
      <c r="D7" s="188"/>
      <c r="E7" s="280"/>
    </row>
    <row r="8" spans="1:16" ht="20.149999999999999" customHeight="1" x14ac:dyDescent="0.3">
      <c r="B8" s="188"/>
      <c r="C8" s="188"/>
      <c r="D8" s="188"/>
      <c r="E8" s="280"/>
    </row>
    <row r="9" spans="1:16" ht="20.149999999999999" customHeight="1" x14ac:dyDescent="0.3">
      <c r="B9" s="188"/>
      <c r="C9" s="188"/>
      <c r="D9" s="188"/>
      <c r="E9" s="280"/>
    </row>
    <row r="10" spans="1:16" ht="20.149999999999999" customHeight="1" x14ac:dyDescent="0.3">
      <c r="B10" s="188"/>
      <c r="E10" s="189"/>
    </row>
    <row r="11" spans="1:16" ht="20.149999999999999" customHeight="1" x14ac:dyDescent="0.3">
      <c r="B11" s="188"/>
      <c r="E11" s="189"/>
      <c r="J11" s="34" t="s">
        <v>272</v>
      </c>
    </row>
    <row r="12" spans="1:16" ht="20.149999999999999" customHeight="1" x14ac:dyDescent="0.3">
      <c r="B12" s="188"/>
      <c r="E12" s="189"/>
    </row>
    <row r="13" spans="1:16" ht="20.149999999999999" customHeight="1" x14ac:dyDescent="0.25"/>
    <row r="14" spans="1:16" ht="20.149999999999999" customHeight="1" x14ac:dyDescent="0.25"/>
    <row r="15" spans="1:16" ht="20.149999999999999" customHeight="1" x14ac:dyDescent="0.25"/>
    <row r="16" spans="1:16" ht="20.149999999999999" customHeight="1" x14ac:dyDescent="0.25"/>
    <row r="17" ht="20.149999999999999" customHeight="1" x14ac:dyDescent="0.25"/>
    <row r="18" ht="20.149999999999999" customHeight="1" x14ac:dyDescent="0.25"/>
    <row r="19" ht="20.149999999999999" customHeight="1" x14ac:dyDescent="0.25"/>
    <row r="20" ht="20.149999999999999" customHeight="1" x14ac:dyDescent="0.25"/>
    <row r="21" ht="20.149999999999999" customHeight="1" x14ac:dyDescent="0.25"/>
    <row r="22" ht="20.149999999999999" customHeight="1" x14ac:dyDescent="0.25"/>
    <row r="23" ht="20.149999999999999" customHeight="1" x14ac:dyDescent="0.25"/>
    <row r="24" ht="20.149999999999999" customHeight="1" x14ac:dyDescent="0.25"/>
    <row r="25" ht="20.149999999999999" customHeight="1" x14ac:dyDescent="0.25"/>
    <row r="26" ht="20.149999999999999" customHeight="1" x14ac:dyDescent="0.25"/>
    <row r="27" ht="20.149999999999999" customHeight="1" x14ac:dyDescent="0.25"/>
    <row r="28" ht="20.149999999999999" customHeight="1" x14ac:dyDescent="0.25"/>
    <row r="29" ht="20.149999999999999" customHeight="1" x14ac:dyDescent="0.25"/>
  </sheetData>
  <pageMargins left="0.7" right="0.7" top="0.75" bottom="0.75" header="0.3" footer="0.3"/>
  <pageSetup paperSize="9" scale="75" orientation="landscape" r:id="rId1"/>
  <headerFooter alignWithMargins="0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15"/>
  <dimension ref="A1"/>
  <sheetViews>
    <sheetView workbookViewId="0"/>
  </sheetViews>
  <sheetFormatPr defaultRowHeight="12.5" x14ac:dyDescent="0.25"/>
  <sheetData/>
  <phoneticPr fontId="19" type="noConversion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16"/>
  <dimension ref="A1"/>
  <sheetViews>
    <sheetView workbookViewId="0"/>
  </sheetViews>
  <sheetFormatPr defaultRowHeight="12.5" x14ac:dyDescent="0.25"/>
  <sheetData/>
  <phoneticPr fontId="19" type="noConversion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17"/>
  <dimension ref="A1"/>
  <sheetViews>
    <sheetView workbookViewId="0"/>
  </sheetViews>
  <sheetFormatPr defaultRowHeight="12.5" x14ac:dyDescent="0.25"/>
  <sheetData/>
  <phoneticPr fontId="19" type="noConversion"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18"/>
  <dimension ref="A1"/>
  <sheetViews>
    <sheetView workbookViewId="0"/>
  </sheetViews>
  <sheetFormatPr defaultRowHeight="12.5" x14ac:dyDescent="0.25"/>
  <sheetData/>
  <phoneticPr fontId="19" type="noConversion"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19"/>
  <dimension ref="A1"/>
  <sheetViews>
    <sheetView workbookViewId="0"/>
  </sheetViews>
  <sheetFormatPr defaultRowHeight="12.5" x14ac:dyDescent="0.25"/>
  <sheetData/>
  <phoneticPr fontId="19" type="noConversion"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20"/>
  <dimension ref="A1"/>
  <sheetViews>
    <sheetView workbookViewId="0"/>
  </sheetViews>
  <sheetFormatPr defaultRowHeight="12.5" x14ac:dyDescent="0.25"/>
  <sheetData/>
  <phoneticPr fontId="1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27</vt:i4>
      </vt:variant>
      <vt:variant>
        <vt:lpstr>Zakresy nazwane</vt:lpstr>
      </vt:variant>
      <vt:variant>
        <vt:i4>6</vt:i4>
      </vt:variant>
    </vt:vector>
  </HeadingPairs>
  <TitlesOfParts>
    <vt:vector size="33" baseType="lpstr">
      <vt:lpstr>INFO</vt:lpstr>
      <vt:lpstr>SPIS</vt:lpstr>
      <vt:lpstr>ZMIANY HURT</vt:lpstr>
      <vt:lpstr>HURT WARZ</vt:lpstr>
      <vt:lpstr>HURT OWOC</vt:lpstr>
      <vt:lpstr>ADRESY RYNKÓW HURTOWYCH </vt:lpstr>
      <vt:lpstr>OWOCE ORGANIZACJE PROD.</vt:lpstr>
      <vt:lpstr>OWOCE PRZETWÓRSTWO</vt:lpstr>
      <vt:lpstr>WARZYWA PRZETWÓRSTWO </vt:lpstr>
      <vt:lpstr>ZAKUP OWOCE DETAL - LUZ</vt:lpstr>
      <vt:lpstr>ZAKUP WARZ DETAL - LUZ</vt:lpstr>
      <vt:lpstr>ZAKUP WARZ DETAL - DO 2 KG</vt:lpstr>
      <vt:lpstr>DETAL OWOCE WYKRES </vt:lpstr>
      <vt:lpstr>DETAL WARZ WYKRES</vt:lpstr>
      <vt:lpstr>IERGZ_warzywa</vt:lpstr>
      <vt:lpstr>IERGZ_owoce</vt:lpstr>
      <vt:lpstr>Zaklady </vt:lpstr>
      <vt:lpstr>ow_KRIR</vt:lpstr>
      <vt:lpstr>HANDEL ZAGRANICZNY_I_XII_2025</vt:lpstr>
      <vt:lpstr>HANDEL ZAGRANICZNY_I _V_2026</vt:lpstr>
      <vt:lpstr>EXP KRAJE I-V 2026</vt:lpstr>
      <vt:lpstr>IMP KRAJE I-V 2025</vt:lpstr>
      <vt:lpstr>EXP-IMP KRAJE</vt:lpstr>
      <vt:lpstr>EXP-IMP KRAJE LATA</vt:lpstr>
      <vt:lpstr>KRAJE ZMIANY CN 0203</vt:lpstr>
      <vt:lpstr>Sł_Pol-Ang</vt:lpstr>
      <vt:lpstr>POMOC</vt:lpstr>
      <vt:lpstr>IERGZ_owoce!Obszar_wydruku</vt:lpstr>
      <vt:lpstr>IERGZ_warzywa!Obszar_wydruku</vt:lpstr>
      <vt:lpstr>INFO!Obszar_wydruku</vt:lpstr>
      <vt:lpstr>'Zaklady '!Obszar_wydruku</vt:lpstr>
      <vt:lpstr>'HANDEL ZAGRANICZNY_I _V_2026'!Tytuły_wydruku</vt:lpstr>
      <vt:lpstr>'HANDEL ZAGRANICZNY_I_XII_2025'!Tytuły_wydruku</vt:lpstr>
    </vt:vector>
  </TitlesOfParts>
  <Company>MIN.ROL.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FAPA</dc:creator>
  <cp:lastModifiedBy>Chruśliński Tomasz</cp:lastModifiedBy>
  <cp:lastPrinted>2006-06-09T10:23:10Z</cp:lastPrinted>
  <dcterms:created xsi:type="dcterms:W3CDTF">1997-07-03T08:22:55Z</dcterms:created>
  <dcterms:modified xsi:type="dcterms:W3CDTF">2026-08-24T10:14:24Z</dcterms:modified>
</cp:coreProperties>
</file>