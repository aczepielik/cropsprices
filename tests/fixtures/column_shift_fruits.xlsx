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W:\!!! WYMIANA\8 Owoce i Warzywa\BiuletynInf\Biuletyny_2026\"/>
    </mc:Choice>
  </mc:AlternateContent>
  <bookViews>
    <workbookView xWindow="-120" yWindow="-120" windowWidth="29040" windowHeight="15840" tabRatio="911"/>
  </bookViews>
  <sheets>
    <sheet name="INFO" sheetId="62" r:id="rId1"/>
    <sheet name="SPIS" sheetId="63" r:id="rId2"/>
    <sheet name="ZMIANY HURT" sheetId="2" r:id="rId3"/>
    <sheet name="HURT WARZ" sheetId="3" r:id="rId4"/>
    <sheet name="HURT OWOC" sheetId="4" r:id="rId5"/>
    <sheet name="OWOCE ORGANIZACJE PROD." sheetId="26" r:id="rId6"/>
    <sheet name="OWOCE PRZETWÓRSTWO" sheetId="53" r:id="rId7"/>
    <sheet name="WARZYWA PRZETWÓRSTWO" sheetId="58" r:id="rId8"/>
    <sheet name="ZAKUP OWOCE DETAL" sheetId="19" r:id="rId9"/>
    <sheet name="ZAKUP WARZ DETAL" sheetId="52" r:id="rId10"/>
    <sheet name="DETAL OWOCE WYKRES " sheetId="68" r:id="rId11"/>
    <sheet name="DETAL WARZ WYKRES" sheetId="69" r:id="rId12"/>
    <sheet name="IERGZ_warzywa" sheetId="56" r:id="rId13"/>
    <sheet name="IERGZ_Zaklady  " sheetId="61" r:id="rId14"/>
    <sheet name="IERGZ_owoce" sheetId="49" r:id="rId15"/>
    <sheet name="ow_KRIR" sheetId="67" r:id="rId16"/>
    <sheet name="HANDEL ZAGRANICZNY_I _XII_2024" sheetId="29" r:id="rId17"/>
    <sheet name="HANDEL ZAGRANICZNY_I_XII_2025" sheetId="70" r:id="rId18"/>
    <sheet name="EXP KRAJE I-XII 2025" sheetId="65" r:id="rId19"/>
    <sheet name="IMP KRAJE I-XII 2025" sheetId="66" r:id="rId20"/>
    <sheet name="Sł_Pol-Ang" sheetId="5" r:id="rId21"/>
    <sheet name="POMOC" sheetId="64" r:id="rId22"/>
    <sheet name="Moduł1" sheetId="10" state="veryHidden" r:id="rId23"/>
    <sheet name="Moduł2" sheetId="11" state="veryHidden" r:id="rId24"/>
    <sheet name="Moduł3" sheetId="12" state="veryHidden" r:id="rId25"/>
    <sheet name="Moduł4" sheetId="13" state="veryHidden" r:id="rId26"/>
    <sheet name="Moduł5" sheetId="14" state="veryHidden" r:id="rId27"/>
    <sheet name="Moduł6" sheetId="15" state="veryHidden" r:id="rId28"/>
  </sheets>
  <externalReferences>
    <externalReference r:id="rId29"/>
    <externalReference r:id="rId30"/>
    <externalReference r:id="rId31"/>
  </externalReferences>
  <definedNames>
    <definedName name="\a">#N/A</definedName>
    <definedName name="\s" localSheetId="18">#REF!</definedName>
    <definedName name="\s" localSheetId="19">#REF!</definedName>
    <definedName name="\s" localSheetId="0">#REF!</definedName>
    <definedName name="\s" localSheetId="21">#REF!</definedName>
    <definedName name="\s">#REF!</definedName>
    <definedName name="_17_11_2011" localSheetId="18">#REF!</definedName>
    <definedName name="_17_11_2011" localSheetId="19">#REF!</definedName>
    <definedName name="_17_11_2011" localSheetId="0">#REF!</definedName>
    <definedName name="_17_11_2011" localSheetId="21">#REF!</definedName>
    <definedName name="_17_11_2011">#REF!</definedName>
    <definedName name="_7_11_2011" localSheetId="18">#REF!</definedName>
    <definedName name="_7_11_2011" localSheetId="19">#REF!</definedName>
    <definedName name="_7_11_2011" localSheetId="0">#REF!</definedName>
    <definedName name="_7_11_2011" localSheetId="21">#REF!</definedName>
    <definedName name="_7_11_2011">#REF!</definedName>
    <definedName name="_A" localSheetId="18">#REF!</definedName>
    <definedName name="_A" localSheetId="19">#REF!</definedName>
    <definedName name="_A" localSheetId="21">#REF!</definedName>
    <definedName name="_A">#REF!</definedName>
    <definedName name="_xlnm._FilterDatabase" localSheetId="4" hidden="1">'HURT OWOC'!#REF!</definedName>
    <definedName name="a" localSheetId="18">#REF!</definedName>
    <definedName name="a" localSheetId="19">#REF!</definedName>
    <definedName name="a" localSheetId="21">#REF!</definedName>
    <definedName name="a">#REF!</definedName>
    <definedName name="aa" localSheetId="18">OFFSET(#REF!,0,0,COUNTA(#REF!),27)</definedName>
    <definedName name="aa" localSheetId="19">OFFSET(#REF!,0,0,COUNTA(#REF!),27)</definedName>
    <definedName name="aa" localSheetId="0">OFFSET(#REF!,0,0,COUNTA(#REF!),27)</definedName>
    <definedName name="aa" localSheetId="15">#REF!</definedName>
    <definedName name="aa" localSheetId="21">OFFSET(#REF!,0,0,COUNTA(#REF!),27)</definedName>
    <definedName name="aa" localSheetId="1">OFFSET(#REF!,0,0,COUNTA(#REF!),27)</definedName>
    <definedName name="aa">#REF!</definedName>
    <definedName name="aaa" localSheetId="18">#REF!</definedName>
    <definedName name="aaa" localSheetId="19">#REF!</definedName>
    <definedName name="aaa" localSheetId="21">#REF!</definedName>
    <definedName name="aaa">#REF!</definedName>
    <definedName name="aaaa" localSheetId="18">#REF!</definedName>
    <definedName name="aaaa" localSheetId="19">#REF!</definedName>
    <definedName name="aaaa" localSheetId="21">#REF!</definedName>
    <definedName name="aaaa">#REF!</definedName>
    <definedName name="aaas" localSheetId="18">#REF!</definedName>
    <definedName name="aaas" localSheetId="19">#REF!</definedName>
    <definedName name="aaas" localSheetId="21">#REF!</definedName>
    <definedName name="aaas">#REF!</definedName>
    <definedName name="aassss" localSheetId="18">#REF!</definedName>
    <definedName name="aassss" localSheetId="19">#REF!</definedName>
    <definedName name="aassss" localSheetId="21">#REF!</definedName>
    <definedName name="aassss">#REF!</definedName>
    <definedName name="AllPerc" localSheetId="18">#REF!,#REF!</definedName>
    <definedName name="AllPerc" localSheetId="19">#REF!,#REF!</definedName>
    <definedName name="AllPerc" localSheetId="0">#REF!,#REF!</definedName>
    <definedName name="AllPerc" localSheetId="21">#REF!,#REF!</definedName>
    <definedName name="AllPerc">#REF!,#REF!</definedName>
    <definedName name="AmisData" localSheetId="19">OFFSET(#REF!,0,0,COUNTA(#REF!),23)</definedName>
    <definedName name="AmisData">OFFSET(#REF!,0,0,COUNTA(#REF!),23)</definedName>
    <definedName name="AmisDataPig" localSheetId="18">OFFSET(#REF!,0,0,COUNTA(#REF!),20)</definedName>
    <definedName name="AmisDataPig" localSheetId="19">OFFSET(#REF!,0,0,COUNTA(#REF!),20)</definedName>
    <definedName name="AmisDataPig" localSheetId="0">OFFSET(#REF!,0,0,COUNTA(#REF!),20)</definedName>
    <definedName name="AmisDataPig" localSheetId="21">OFFSET(#REF!,0,0,COUNTA(#REF!),20)</definedName>
    <definedName name="AmisDataPig">OFFSET(#REF!,0,0,COUNTA(#REF!),20)</definedName>
    <definedName name="AmisDataPiglet" localSheetId="18">OFFSET(#REF!,0,0,COUNTA(#REF!),27)</definedName>
    <definedName name="AmisDataPiglet" localSheetId="19">OFFSET(#REF!,0,0,COUNTA(#REF!),27)</definedName>
    <definedName name="AmisDataPiglet" localSheetId="21">OFFSET(#REF!,0,0,COUNTA(#REF!),27)</definedName>
    <definedName name="AmisDataPiglet">OFFSET(#REF!,0,0,COUNTA(#REF!),27)</definedName>
    <definedName name="aqwq" localSheetId="18">#REF!,#REF!</definedName>
    <definedName name="aqwq" localSheetId="19">#REF!,#REF!</definedName>
    <definedName name="aqwq" localSheetId="0">#REF!,#REF!</definedName>
    <definedName name="aqwq" localSheetId="21">#REF!,#REF!</definedName>
    <definedName name="aqwq">#REF!,#REF!</definedName>
    <definedName name="BothPerc" localSheetId="18">#REF!</definedName>
    <definedName name="BothPerc" localSheetId="19">#REF!</definedName>
    <definedName name="BothPerc" localSheetId="0">#REF!</definedName>
    <definedName name="BothPerc" localSheetId="21">#REF!</definedName>
    <definedName name="BothPerc">#REF!</definedName>
    <definedName name="Ceny" localSheetId="18">#REF!</definedName>
    <definedName name="Ceny" localSheetId="19">#REF!</definedName>
    <definedName name="Ceny" localSheetId="0">#REF!</definedName>
    <definedName name="Ceny" localSheetId="21">#REF!</definedName>
    <definedName name="Ceny">#REF!</definedName>
    <definedName name="cenyd" localSheetId="18">#REF!</definedName>
    <definedName name="cenyd" localSheetId="19">#REF!</definedName>
    <definedName name="cenyd" localSheetId="0">#REF!</definedName>
    <definedName name="cenyd" localSheetId="21">#REF!</definedName>
    <definedName name="cenyd">#REF!</definedName>
    <definedName name="Charakterystyka_tabela1_Lista" localSheetId="3">[1]tabelaWARZ!#REF!</definedName>
    <definedName name="Charakterystyka_tabela1_Lista" localSheetId="19">#REF!</definedName>
    <definedName name="Charakterystyka_tabela1_Lista" localSheetId="15">#REF!</definedName>
    <definedName name="Charakterystyka_tabela1_Lista" localSheetId="6">#REF!</definedName>
    <definedName name="Charakterystyka_tabela1_Lista" localSheetId="7">#REF!</definedName>
    <definedName name="Charakterystyka_tabela1_Lista">#REF!</definedName>
    <definedName name="ColPre" localSheetId="18">#REF!</definedName>
    <definedName name="ColPre" localSheetId="19">#REF!</definedName>
    <definedName name="ColPre" localSheetId="21">#REF!</definedName>
    <definedName name="ColPre">#REF!</definedName>
    <definedName name="CurShe" localSheetId="18">#REF!</definedName>
    <definedName name="CurShe" localSheetId="19">#REF!</definedName>
    <definedName name="CurShe" localSheetId="21">#REF!</definedName>
    <definedName name="CurShe">#REF!</definedName>
    <definedName name="dd" localSheetId="18">#REF!</definedName>
    <definedName name="dd" localSheetId="19">#REF!</definedName>
    <definedName name="dd" localSheetId="21">#REF!</definedName>
    <definedName name="dd">#REF!</definedName>
    <definedName name="dsxa" localSheetId="18">#REF!</definedName>
    <definedName name="dsxa" localSheetId="19">#REF!</definedName>
    <definedName name="dsxa" localSheetId="21">#REF!</definedName>
    <definedName name="dsxa">#REF!</definedName>
    <definedName name="fg" localSheetId="18">#REF!</definedName>
    <definedName name="fg" localSheetId="19">#REF!</definedName>
    <definedName name="fg" localSheetId="0">#REF!</definedName>
    <definedName name="fg" localSheetId="15">#REF!</definedName>
    <definedName name="fg" localSheetId="6">#REF!</definedName>
    <definedName name="fg" localSheetId="21">#REF!</definedName>
    <definedName name="fg" localSheetId="1">#REF!</definedName>
    <definedName name="fg" localSheetId="7">#REF!</definedName>
    <definedName name="fg">#REF!</definedName>
    <definedName name="FirstPerc" localSheetId="18">#REF!</definedName>
    <definedName name="FirstPerc" localSheetId="19">#REF!</definedName>
    <definedName name="FirstPerc" localSheetId="21">#REF!</definedName>
    <definedName name="FirstPerc">#REF!</definedName>
    <definedName name="gg" localSheetId="18">#REF!</definedName>
    <definedName name="gg" localSheetId="19">#REF!</definedName>
    <definedName name="gg" localSheetId="21">#REF!</definedName>
    <definedName name="gg">#REF!</definedName>
    <definedName name="hh" localSheetId="18">#REF!</definedName>
    <definedName name="hh" localSheetId="19">#REF!</definedName>
    <definedName name="hh" localSheetId="21">#REF!</definedName>
    <definedName name="hh">#REF!</definedName>
    <definedName name="hj" localSheetId="18">#REF!</definedName>
    <definedName name="hj" localSheetId="19">#REF!</definedName>
    <definedName name="hj" localSheetId="21">#REF!</definedName>
    <definedName name="hj">#REF!</definedName>
    <definedName name="jgg" localSheetId="18">OFFSET(#REF!,0,0,COUNTA(#REF!),20)</definedName>
    <definedName name="jgg" localSheetId="19">OFFSET(#REF!,0,0,COUNTA(#REF!),20)</definedName>
    <definedName name="jgg" localSheetId="0">OFFSET(#REF!,0,0,COUNTA(#REF!),20)</definedName>
    <definedName name="jgg" localSheetId="21">OFFSET(#REF!,0,0,COUNTA(#REF!),20)</definedName>
    <definedName name="jgg">OFFSET(#REF!,0,0,COUNTA(#REF!),20)</definedName>
    <definedName name="jjjjjj">#REF!</definedName>
    <definedName name="jose" localSheetId="18">#REF!</definedName>
    <definedName name="jose" localSheetId="19">#REF!</definedName>
    <definedName name="jose" localSheetId="0">#REF!</definedName>
    <definedName name="jose" localSheetId="21">#REF!</definedName>
    <definedName name="jose">#REF!</definedName>
    <definedName name="Last5" localSheetId="18">#REF!</definedName>
    <definedName name="Last5" localSheetId="19">#REF!</definedName>
    <definedName name="Last5" localSheetId="0">#REF!</definedName>
    <definedName name="Last5" localSheetId="21">#REF!</definedName>
    <definedName name="Last5">#REF!</definedName>
    <definedName name="MaxDate" localSheetId="18">'[2]Amis Exchange rate'!$D$2</definedName>
    <definedName name="MaxDate" localSheetId="19">'[2]Amis Exchange rate'!$D$2</definedName>
    <definedName name="MaxDate">'[2]Amis Exchange rate'!$D$2</definedName>
    <definedName name="MonPre" localSheetId="18">#REF!</definedName>
    <definedName name="MonPre" localSheetId="19">#REF!</definedName>
    <definedName name="MonPre" localSheetId="0">#REF!</definedName>
    <definedName name="MonPre" localSheetId="21">#REF!</definedName>
    <definedName name="MonPre">#REF!</definedName>
    <definedName name="n" localSheetId="18">#REF!</definedName>
    <definedName name="n" localSheetId="19">#REF!</definedName>
    <definedName name="n" localSheetId="21">#REF!</definedName>
    <definedName name="n">#REF!</definedName>
    <definedName name="NumPri" localSheetId="18">#REF!</definedName>
    <definedName name="NumPri" localSheetId="19">#REF!</definedName>
    <definedName name="NumPri" localSheetId="0">#REF!</definedName>
    <definedName name="NumPri" localSheetId="21">#REF!</definedName>
    <definedName name="NumPri">#REF!</definedName>
    <definedName name="_xlnm.Print_Area" localSheetId="18">#REF!</definedName>
    <definedName name="_xlnm.Print_Area" localSheetId="14">IERGZ_owoce!$B$5:$E$22</definedName>
    <definedName name="_xlnm.Print_Area" localSheetId="12">IERGZ_warzywa!$A$8:$M$41</definedName>
    <definedName name="_xlnm.Print_Area" localSheetId="13">'IERGZ_Zaklady  '!#REF!</definedName>
    <definedName name="_xlnm.Print_Area" localSheetId="19">#REF!</definedName>
    <definedName name="_xlnm.Print_Area" localSheetId="0">INFO!$A$1:$P$22</definedName>
    <definedName name="_xlnm.Print_Area" localSheetId="21">#REF!</definedName>
    <definedName name="_xlnm.Print_Area">#REF!</definedName>
    <definedName name="oooooooo" localSheetId="19">#REF!</definedName>
    <definedName name="oooooooo">#REF!</definedName>
    <definedName name="ppp" localSheetId="18">#REF!</definedName>
    <definedName name="ppp" localSheetId="19">#REF!</definedName>
    <definedName name="ppp" localSheetId="21">#REF!</definedName>
    <definedName name="ppp">#REF!</definedName>
    <definedName name="Prosieta" localSheetId="18">#REF!</definedName>
    <definedName name="Prosieta" localSheetId="19">#REF!</definedName>
    <definedName name="Prosieta" localSheetId="21">#REF!</definedName>
    <definedName name="Prosieta">#REF!</definedName>
    <definedName name="q" localSheetId="18">#REF!</definedName>
    <definedName name="q" localSheetId="19">#REF!</definedName>
    <definedName name="q" localSheetId="21">#REF!</definedName>
    <definedName name="q">#REF!</definedName>
    <definedName name="recap" localSheetId="18">#REF!</definedName>
    <definedName name="recap" localSheetId="19">#REF!</definedName>
    <definedName name="recap" localSheetId="21">#REF!</definedName>
    <definedName name="recap">#REF!</definedName>
    <definedName name="s" localSheetId="18">#REF!</definedName>
    <definedName name="s" localSheetId="19">#REF!</definedName>
    <definedName name="s" localSheetId="21">#REF!</definedName>
    <definedName name="s">#REF!</definedName>
    <definedName name="SecondPerc" localSheetId="18">#REF!</definedName>
    <definedName name="SecondPerc" localSheetId="19">#REF!</definedName>
    <definedName name="SecondPerc" localSheetId="21">#REF!</definedName>
    <definedName name="SecondPerc">#REF!</definedName>
    <definedName name="ss" localSheetId="18">#REF!</definedName>
    <definedName name="ss" localSheetId="19">#REF!</definedName>
    <definedName name="ss" localSheetId="21">#REF!</definedName>
    <definedName name="ss">#REF!</definedName>
    <definedName name="ssfg" localSheetId="18">#REF!</definedName>
    <definedName name="ssfg" localSheetId="19">#REF!</definedName>
    <definedName name="ssfg" localSheetId="21">#REF!</definedName>
    <definedName name="ssfg">#REF!</definedName>
    <definedName name="sss" localSheetId="18">#REF!</definedName>
    <definedName name="sss" localSheetId="19">#REF!</definedName>
    <definedName name="sss" localSheetId="21">#REF!</definedName>
    <definedName name="sss">#REF!</definedName>
    <definedName name="ssssaaa" localSheetId="18">#REF!</definedName>
    <definedName name="ssssaaa" localSheetId="19">#REF!</definedName>
    <definedName name="ssssaaa" localSheetId="21">#REF!</definedName>
    <definedName name="ssssaaa">#REF!</definedName>
    <definedName name="TodDat" localSheetId="18">#REF!</definedName>
    <definedName name="TodDat" localSheetId="19">#REF!</definedName>
    <definedName name="TodDat" localSheetId="21">#REF!</definedName>
    <definedName name="TodDat">#REF!</definedName>
    <definedName name="_xlnm.Print_Titles" localSheetId="16">'HANDEL ZAGRANICZNY_I _XII_2024'!$5:$7</definedName>
    <definedName name="_xlnm.Print_Titles" localSheetId="17">'HANDEL ZAGRANICZNY_I_XII_2025'!$1:$3</definedName>
    <definedName name="uboje" localSheetId="18">#REF!</definedName>
    <definedName name="uboje" localSheetId="19">#REF!</definedName>
    <definedName name="uboje" localSheetId="21">#REF!</definedName>
    <definedName name="uboje">#REF!</definedName>
    <definedName name="uuu" localSheetId="18">#REF!</definedName>
    <definedName name="uuu" localSheetId="19">#REF!</definedName>
    <definedName name="uuu" localSheetId="21">#REF!</definedName>
    <definedName name="uuu">#REF!</definedName>
    <definedName name="WeeNum" localSheetId="18">#REF!</definedName>
    <definedName name="WeeNum" localSheetId="19">#REF!</definedName>
    <definedName name="WeeNum" localSheetId="21">#REF!</definedName>
    <definedName name="WeeNum">#REF!</definedName>
    <definedName name="zx" localSheetId="18">#REF!</definedName>
    <definedName name="zx" localSheetId="19">#REF!</definedName>
    <definedName name="zx" localSheetId="21">#REF!</definedName>
    <definedName name="zx">#REF!</definedName>
    <definedName name="zywiec" localSheetId="18">#REF!</definedName>
    <definedName name="zywiec" localSheetId="19">#REF!</definedName>
    <definedName name="zywiec" localSheetId="21">#REF!</definedName>
    <definedName name="zywiec">#REF!</definedName>
    <definedName name="zzz">#N/A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67" l="1"/>
  <c r="H31" i="67"/>
  <c r="H30" i="67"/>
  <c r="H29" i="67"/>
  <c r="K28" i="67"/>
  <c r="H28" i="67"/>
  <c r="K26" i="67"/>
  <c r="H26" i="67"/>
  <c r="H24" i="67"/>
  <c r="K23" i="67"/>
  <c r="H23" i="67"/>
  <c r="H21" i="67"/>
  <c r="K20" i="67"/>
  <c r="H20" i="67"/>
  <c r="K19" i="67"/>
  <c r="H19" i="67"/>
  <c r="E19" i="67"/>
  <c r="K18" i="67"/>
  <c r="H18" i="67"/>
  <c r="E18" i="67"/>
  <c r="H16" i="67"/>
  <c r="E16" i="67"/>
  <c r="E15" i="67"/>
  <c r="H14" i="67"/>
  <c r="E14" i="67"/>
  <c r="H13" i="67"/>
  <c r="E13" i="67"/>
  <c r="H12" i="67"/>
  <c r="E12" i="67"/>
  <c r="E11" i="67"/>
  <c r="H10" i="67"/>
  <c r="F15" i="52" l="1"/>
  <c r="F8" i="52"/>
  <c r="E6" i="58" l="1"/>
  <c r="E8" i="58" l="1"/>
  <c r="M4" i="69" l="1"/>
  <c r="M4" i="68"/>
  <c r="E7" i="53" l="1"/>
  <c r="E6" i="53"/>
  <c r="L4" i="52" l="1"/>
  <c r="L4" i="19"/>
  <c r="J4" i="58"/>
  <c r="L4" i="53"/>
  <c r="N4" i="26"/>
  <c r="Q4" i="66" l="1"/>
  <c r="Q4" i="65" l="1"/>
  <c r="E7" i="58" l="1"/>
  <c r="N4" i="4" l="1"/>
  <c r="N4" i="3"/>
  <c r="O4" i="2"/>
  <c r="P4" i="64"/>
  <c r="E9" i="58" l="1"/>
</calcChain>
</file>

<file path=xl/sharedStrings.xml><?xml version="1.0" encoding="utf-8"?>
<sst xmlns="http://schemas.openxmlformats.org/spreadsheetml/2006/main" count="1423" uniqueCount="619">
  <si>
    <t>Jedn.</t>
  </si>
  <si>
    <t>Min</t>
  </si>
  <si>
    <t>Max</t>
  </si>
  <si>
    <t>kg</t>
  </si>
  <si>
    <t>Boczniaki</t>
  </si>
  <si>
    <t>Cebula biała</t>
  </si>
  <si>
    <t>Kapusta biała</t>
  </si>
  <si>
    <t>Marchew</t>
  </si>
  <si>
    <t>Ogórki długie</t>
  </si>
  <si>
    <t>Ogórki gruntowe</t>
  </si>
  <si>
    <t>Ogórki krótkie</t>
  </si>
  <si>
    <t>Pieczarki</t>
  </si>
  <si>
    <t>Pietruszka</t>
  </si>
  <si>
    <t>Pomidory</t>
  </si>
  <si>
    <t>Rzodkiewka</t>
  </si>
  <si>
    <t>Sałata</t>
  </si>
  <si>
    <t>szt.</t>
  </si>
  <si>
    <t>Ziemniaki</t>
  </si>
  <si>
    <t>Gruszki</t>
  </si>
  <si>
    <t>Czosnek</t>
  </si>
  <si>
    <t>Kalafiory</t>
  </si>
  <si>
    <t>Papryka czerwona</t>
  </si>
  <si>
    <t>Papryka zielona</t>
  </si>
  <si>
    <t>Papryka żółta</t>
  </si>
  <si>
    <t>Pory</t>
  </si>
  <si>
    <t>Ananasy</t>
  </si>
  <si>
    <t>Arbuzy</t>
  </si>
  <si>
    <t>Banany</t>
  </si>
  <si>
    <t>Brzoskwinie</t>
  </si>
  <si>
    <t>Cytryny</t>
  </si>
  <si>
    <t>Grejpfruty</t>
  </si>
  <si>
    <t>Jabłka</t>
  </si>
  <si>
    <t>Mandarynki</t>
  </si>
  <si>
    <t>Pomarańcze</t>
  </si>
  <si>
    <t>Winogrona</t>
  </si>
  <si>
    <t>Miejscowość</t>
  </si>
  <si>
    <t>Data notowania</t>
  </si>
  <si>
    <t>KRAJOWE</t>
  </si>
  <si>
    <t>Selery</t>
  </si>
  <si>
    <t>Truskawki</t>
  </si>
  <si>
    <t>Śliwki</t>
  </si>
  <si>
    <t>DICTIONARY</t>
  </si>
  <si>
    <t xml:space="preserve">       WARZYWA</t>
  </si>
  <si>
    <t>VEGETABLES</t>
  </si>
  <si>
    <t>OWOCE</t>
  </si>
  <si>
    <t xml:space="preserve">FRUITS </t>
  </si>
  <si>
    <t>Buraki czerwone</t>
  </si>
  <si>
    <t>Red beets</t>
  </si>
  <si>
    <t>Watermelons</t>
  </si>
  <si>
    <t>Onions dry</t>
  </si>
  <si>
    <t xml:space="preserve">Bananas     </t>
  </si>
  <si>
    <t>Garlic</t>
  </si>
  <si>
    <t>Peaches</t>
  </si>
  <si>
    <t>Cauliflowers</t>
  </si>
  <si>
    <t xml:space="preserve">Lemons    </t>
  </si>
  <si>
    <t>Cabbage- white</t>
  </si>
  <si>
    <t>Grapefruity</t>
  </si>
  <si>
    <t xml:space="preserve">Grapefruit   </t>
  </si>
  <si>
    <t>Carrots</t>
  </si>
  <si>
    <t xml:space="preserve">Gruszki </t>
  </si>
  <si>
    <t xml:space="preserve">Pears  </t>
  </si>
  <si>
    <t>Cucumbers</t>
  </si>
  <si>
    <t>Apples</t>
  </si>
  <si>
    <t>Gherkins</t>
  </si>
  <si>
    <t>Kiwi</t>
  </si>
  <si>
    <t>Kiwifruit</t>
  </si>
  <si>
    <t>Cucumbers field</t>
  </si>
  <si>
    <t>Tangerine</t>
  </si>
  <si>
    <t xml:space="preserve">Peppers - red </t>
  </si>
  <si>
    <t>Nektaryny</t>
  </si>
  <si>
    <t xml:space="preserve">Nectarines </t>
  </si>
  <si>
    <t>Peppers - yellow</t>
  </si>
  <si>
    <t xml:space="preserve">Oranges  </t>
  </si>
  <si>
    <t xml:space="preserve">Peppers - green </t>
  </si>
  <si>
    <t>Porzeczki czarne</t>
  </si>
  <si>
    <t xml:space="preserve">Black currant </t>
  </si>
  <si>
    <t xml:space="preserve">Parsley </t>
  </si>
  <si>
    <t>Porzeczki czerwone</t>
  </si>
  <si>
    <t>Red currant</t>
  </si>
  <si>
    <t>Pomidory szklarn.</t>
  </si>
  <si>
    <t>Tomatoes greenhouse</t>
  </si>
  <si>
    <t xml:space="preserve">Plums </t>
  </si>
  <si>
    <t>Pomodory gruntowe</t>
  </si>
  <si>
    <t xml:space="preserve">Tomatoes </t>
  </si>
  <si>
    <t xml:space="preserve">Strawberries </t>
  </si>
  <si>
    <t>Leeks</t>
  </si>
  <si>
    <t>Grapes</t>
  </si>
  <si>
    <t xml:space="preserve">Radish </t>
  </si>
  <si>
    <t>Wiśnie</t>
  </si>
  <si>
    <t>Cherries</t>
  </si>
  <si>
    <t>Lettuce</t>
  </si>
  <si>
    <t>GRZYBY</t>
  </si>
  <si>
    <t>MUSHROOMS</t>
  </si>
  <si>
    <t>Celeriac</t>
  </si>
  <si>
    <t>Boczniak</t>
  </si>
  <si>
    <t>Potatoes</t>
  </si>
  <si>
    <t xml:space="preserve">        </t>
  </si>
  <si>
    <t>Cena zł/jedn</t>
  </si>
  <si>
    <t>Zmiany ceny (%)</t>
  </si>
  <si>
    <t>2 tyg.</t>
  </si>
  <si>
    <t>3 tyg.</t>
  </si>
  <si>
    <t>4 tyg.</t>
  </si>
  <si>
    <t>Warzywa krajowe</t>
  </si>
  <si>
    <t>Buraki ćwikłowe</t>
  </si>
  <si>
    <t>IMPORTOWANE</t>
  </si>
  <si>
    <t>Champignons</t>
  </si>
  <si>
    <t>Jabłka:</t>
  </si>
  <si>
    <t>Pomidory malinowe</t>
  </si>
  <si>
    <t>Kraj</t>
  </si>
  <si>
    <t>Wartość [tys. EUR]</t>
  </si>
  <si>
    <t>OGÓŁEM</t>
  </si>
  <si>
    <t>Egipt</t>
  </si>
  <si>
    <t>Białoruś</t>
  </si>
  <si>
    <t>Rumunia</t>
  </si>
  <si>
    <t>India</t>
  </si>
  <si>
    <t>Republika Czeska</t>
  </si>
  <si>
    <t>Niemcy</t>
  </si>
  <si>
    <t>Hiszpania</t>
  </si>
  <si>
    <t>Wielka Brytania</t>
  </si>
  <si>
    <t>Szwecja</t>
  </si>
  <si>
    <t>Litwa</t>
  </si>
  <si>
    <t>Eksport jabłek (CN 080810) wg. ważniejszych krajów</t>
  </si>
  <si>
    <t>Chile</t>
  </si>
  <si>
    <t>Francja</t>
  </si>
  <si>
    <t>Grecja</t>
  </si>
  <si>
    <t>Portugalia</t>
  </si>
  <si>
    <t>Republika Południowej Afryki</t>
  </si>
  <si>
    <t>Włochy</t>
  </si>
  <si>
    <t>Peru</t>
  </si>
  <si>
    <t>EKSPORT/WYWÓZ</t>
  </si>
  <si>
    <t>IMPORT/PRZYWÓZ</t>
  </si>
  <si>
    <t>SALDO</t>
  </si>
  <si>
    <t>CN</t>
  </si>
  <si>
    <t>Nazwa towaru</t>
  </si>
  <si>
    <t>Wolumen [tony]</t>
  </si>
  <si>
    <t>0701</t>
  </si>
  <si>
    <t>Ziemniaki, świeże lub chłodzone</t>
  </si>
  <si>
    <t>0702</t>
  </si>
  <si>
    <t>Pomidory świeże lub chłodzone</t>
  </si>
  <si>
    <t>0703</t>
  </si>
  <si>
    <t>Cebula, szalotka, czosnek, pory oraz inne warzywa</t>
  </si>
  <si>
    <t>0704</t>
  </si>
  <si>
    <t xml:space="preserve">Kapusta, kalafiory, kalarepa, kapusta włoska, </t>
  </si>
  <si>
    <t>0705</t>
  </si>
  <si>
    <t>Sałata (Lactuca sativa) i cykoria (Cichorium spp.),</t>
  </si>
  <si>
    <t>0706</t>
  </si>
  <si>
    <t>Marchew, rzepa, buraki sałatkowe, salsefia, selery,</t>
  </si>
  <si>
    <t>0707</t>
  </si>
  <si>
    <t>Ogórki  i korniszony świeże</t>
  </si>
  <si>
    <t>0708</t>
  </si>
  <si>
    <t xml:space="preserve">Warzywa strączkowe, nawet łuskane, świeże </t>
  </si>
  <si>
    <t>0803</t>
  </si>
  <si>
    <t>0805</t>
  </si>
  <si>
    <t>Owoce cytrusowe, świeże lub suszone</t>
  </si>
  <si>
    <t>0806</t>
  </si>
  <si>
    <t>Winogrona, świeże lub suszone</t>
  </si>
  <si>
    <t>0807</t>
  </si>
  <si>
    <t>Melony (łącznie z arbuzami) i papaje, świeże</t>
  </si>
  <si>
    <t>0808</t>
  </si>
  <si>
    <t>Jabłka, gruszki i pigwy, świeże</t>
  </si>
  <si>
    <t>0809</t>
  </si>
  <si>
    <t>Morele, wiśnie, brzoskwinie (łącznie z nektarynami),</t>
  </si>
  <si>
    <t>Import winogron (CN 080610) wg. ważniejszych krajów</t>
  </si>
  <si>
    <t>Ukraina</t>
  </si>
  <si>
    <t>Łotwa</t>
  </si>
  <si>
    <t>Eksport pomidorów (CN 070200) wg. ważniejszych krajów</t>
  </si>
  <si>
    <t>Import pomarańczy (CN 080510) wg. ważniejszych krajów</t>
  </si>
  <si>
    <t>0804</t>
  </si>
  <si>
    <t xml:space="preserve">Daktyle, figi, ananasy, avokado, guawa, mango </t>
  </si>
  <si>
    <t>0810</t>
  </si>
  <si>
    <t>Pozostałe owoce, świeże</t>
  </si>
  <si>
    <t>Owoce krajowe</t>
  </si>
  <si>
    <t>Holandia</t>
  </si>
  <si>
    <t>Ligol</t>
  </si>
  <si>
    <t>Szampion</t>
  </si>
  <si>
    <t>pęczek</t>
  </si>
  <si>
    <t>Owoce importowane</t>
  </si>
  <si>
    <t>0709</t>
  </si>
  <si>
    <t>Inne warzywa świeże lub chłodzone</t>
  </si>
  <si>
    <t>0710</t>
  </si>
  <si>
    <t>Warzywa niegotowane lub gotowane na parze, zamrożone</t>
  </si>
  <si>
    <t>0711</t>
  </si>
  <si>
    <t>Warzywa zakonserwowane tymczasowo</t>
  </si>
  <si>
    <t>0712</t>
  </si>
  <si>
    <t>Warzywa suszone, całe, cięte w kawałki</t>
  </si>
  <si>
    <t>0713</t>
  </si>
  <si>
    <t xml:space="preserve">Suszone warzywa strączkowe, łuskane, ze skórką </t>
  </si>
  <si>
    <t>0714</t>
  </si>
  <si>
    <t>Maniok, maranta, salep, karczochy jerozolimskie,</t>
  </si>
  <si>
    <t>0801</t>
  </si>
  <si>
    <t>Orzechy kokosowe, orzechy brazylijskie i orzechy</t>
  </si>
  <si>
    <t>0802</t>
  </si>
  <si>
    <t>Pozostałe orzechy, świeże lub suszone, nawet łuskane</t>
  </si>
  <si>
    <t>Pomidory okrągłe</t>
  </si>
  <si>
    <t>Jonagold/jonagored</t>
  </si>
  <si>
    <t>Gala</t>
  </si>
  <si>
    <t>Golden delicious</t>
  </si>
  <si>
    <t>Idared</t>
  </si>
  <si>
    <t>Mołdowa</t>
  </si>
  <si>
    <t xml:space="preserve">Średnie ceny zakupu warzyw (luzem) płacone przez podmioty handlu detalicznego </t>
  </si>
  <si>
    <t xml:space="preserve">Średnie ceny zakupu jabłek (luzem) płacone przez podmioty handlu detalicznego </t>
  </si>
  <si>
    <t>Węgry</t>
  </si>
  <si>
    <t>Bronisze</t>
  </si>
  <si>
    <t>Ogórki szklarniowe</t>
  </si>
  <si>
    <t>Jonagold/Jonagored</t>
  </si>
  <si>
    <t>Poznań</t>
  </si>
  <si>
    <t>Łódź</t>
  </si>
  <si>
    <t>--</t>
  </si>
  <si>
    <t>Bułgaria</t>
  </si>
  <si>
    <t>Lobo</t>
  </si>
  <si>
    <t>Boskoop</t>
  </si>
  <si>
    <t>*</t>
  </si>
  <si>
    <t xml:space="preserve">      dla producentów owoców i warzyw</t>
  </si>
  <si>
    <t xml:space="preserve">     Krajowa Rada Izb Rolniczych    </t>
  </si>
  <si>
    <t>Parzniew ul. Przyszłości 5, 05-804 Pruszków</t>
  </si>
  <si>
    <t xml:space="preserve">      tel. 881-939-421, www.krir.pl, sekretariat@krir.pl </t>
  </si>
  <si>
    <t xml:space="preserve">Serwis znajduje się obecnie w fazie rozwoju i dotyczy wybranych produktów w niektórych województwach.                                                                                                  </t>
  </si>
  <si>
    <t>Województwo/Towar</t>
  </si>
  <si>
    <t>Mazowieckie</t>
  </si>
  <si>
    <t>Świętokrzyskie</t>
  </si>
  <si>
    <t>Wielkopolskie</t>
  </si>
  <si>
    <t>tygodniowa zmiana ceny w %</t>
  </si>
  <si>
    <r>
      <t xml:space="preserve">Jabłka </t>
    </r>
    <r>
      <rPr>
        <sz val="12"/>
        <rFont val="Calibri"/>
        <family val="2"/>
        <charset val="238"/>
        <scheme val="minor"/>
      </rPr>
      <t>(op.5-20 kg) Golden delicious (70/80mm)</t>
    </r>
  </si>
  <si>
    <r>
      <t>Jabłka</t>
    </r>
    <r>
      <rPr>
        <sz val="12"/>
        <rFont val="Calibri"/>
        <family val="2"/>
        <charset val="238"/>
        <scheme val="minor"/>
      </rPr>
      <t xml:space="preserve"> (op.5-20 kg) Jonagold+Jonagored (70/80mm)</t>
    </r>
  </si>
  <si>
    <r>
      <t>Jabłka</t>
    </r>
    <r>
      <rPr>
        <sz val="12"/>
        <rFont val="Calibri"/>
        <family val="2"/>
        <charset val="238"/>
        <scheme val="minor"/>
      </rPr>
      <t xml:space="preserve"> (op.5-20 kg) Idared (70/80mm)</t>
    </r>
  </si>
  <si>
    <r>
      <t>Jabłka</t>
    </r>
    <r>
      <rPr>
        <sz val="12"/>
        <rFont val="Calibri"/>
        <family val="2"/>
        <charset val="238"/>
        <scheme val="minor"/>
      </rPr>
      <t xml:space="preserve"> (op.5-20 kg) Shampion (70/80mm)</t>
    </r>
  </si>
  <si>
    <r>
      <t xml:space="preserve">Jabłka </t>
    </r>
    <r>
      <rPr>
        <sz val="12"/>
        <rFont val="Calibri"/>
        <family val="2"/>
        <charset val="238"/>
        <scheme val="minor"/>
      </rPr>
      <t>(op.5-20 kg) Boskoop (70/80mm)</t>
    </r>
  </si>
  <si>
    <r>
      <t>Jabłka</t>
    </r>
    <r>
      <rPr>
        <sz val="12"/>
        <rFont val="Calibri"/>
        <family val="2"/>
        <charset val="238"/>
        <scheme val="minor"/>
      </rPr>
      <t xml:space="preserve"> (op.5-20 kg) Gala (65/70mm)</t>
    </r>
  </si>
  <si>
    <t>Gruszki (op.5-20 kg) Lukasówka (65/70 mm)</t>
  </si>
  <si>
    <r>
      <t xml:space="preserve">Cebula żółta </t>
    </r>
    <r>
      <rPr>
        <sz val="12"/>
        <rFont val="Calibri"/>
        <family val="2"/>
        <charset val="238"/>
        <scheme val="minor"/>
      </rPr>
      <t>40-80 mm; op.5-25 kg</t>
    </r>
  </si>
  <si>
    <t>Cebula biała 40-80 mm op.5-25 kg</t>
  </si>
  <si>
    <r>
      <t xml:space="preserve">Marchew </t>
    </r>
    <r>
      <rPr>
        <sz val="12"/>
        <rFont val="Calibri"/>
        <family val="2"/>
        <charset val="238"/>
        <scheme val="minor"/>
      </rPr>
      <t>wszystkie odmiany pakowane luzem</t>
    </r>
  </si>
  <si>
    <t>Pietruszka korzeń op. 10 kg</t>
  </si>
  <si>
    <t>Pomidory, typ okrągły; op. 5-6-kg</t>
  </si>
  <si>
    <t>Ogórki, typ gładkie; op. 5-6 kg</t>
  </si>
  <si>
    <t>Seler</t>
  </si>
  <si>
    <t>Sałata masłowa za główkę</t>
  </si>
  <si>
    <t>Szparagi biało/fioletowe &gt;16mm</t>
  </si>
  <si>
    <t>Burak ćwikłowy op. 10-15 kg</t>
  </si>
  <si>
    <t>Kalafiory 12-20 cm</t>
  </si>
  <si>
    <t>Kapusta biała zł/kg</t>
  </si>
  <si>
    <t>Rzodkiewka za pęczek 1 szt</t>
  </si>
  <si>
    <t>Ziemniaki  (op. 15 kg)</t>
  </si>
  <si>
    <t>Pieczarki 30-65 mm</t>
  </si>
  <si>
    <t>Ogrodniczy Informator Cenowy</t>
  </si>
  <si>
    <t>Instytut Ekonomiki Rolnictwa i Gospodarki Żywnościowej - Państwowy Instytut Badawczy</t>
  </si>
  <si>
    <t xml:space="preserve">Zakład Ekonomiki Gospodarstw Rolnych i Ogrodniczych </t>
  </si>
  <si>
    <t xml:space="preserve">00-950 Warszawa, ul.Świętokrzyska 20, P.O. Box  984 </t>
  </si>
  <si>
    <t>kujawsko-pomor.</t>
  </si>
  <si>
    <t>lubelskie</t>
  </si>
  <si>
    <t>lubuskie</t>
  </si>
  <si>
    <t>łódzkie</t>
  </si>
  <si>
    <t>małopolskie</t>
  </si>
  <si>
    <t>mazowieckie</t>
  </si>
  <si>
    <t>podkarpackie</t>
  </si>
  <si>
    <t>podlaskie</t>
  </si>
  <si>
    <t>śląskie</t>
  </si>
  <si>
    <t>świętokrzyskie</t>
  </si>
  <si>
    <t>wielkopolskie</t>
  </si>
  <si>
    <t>zachodnio-pomor.</t>
  </si>
  <si>
    <t>średnio</t>
  </si>
  <si>
    <t>tydzień temu</t>
  </si>
  <si>
    <t>rok temu</t>
  </si>
  <si>
    <t>Województwo</t>
  </si>
  <si>
    <t xml:space="preserve">Cebula </t>
  </si>
  <si>
    <t>Kiszona kapusta</t>
  </si>
  <si>
    <t>Ogórki kiszone</t>
  </si>
  <si>
    <t>małopol.</t>
  </si>
  <si>
    <t>mazowiec.</t>
  </si>
  <si>
    <t>podkarp.</t>
  </si>
  <si>
    <t>Cena średnia</t>
  </si>
  <si>
    <t>dwa tygodnie temu</t>
  </si>
  <si>
    <t>Marchew  (myta)</t>
  </si>
  <si>
    <t>s/"suchy" przemysł, */jabłka w kal. 65+ i do średniej nie wliczana jest odmiana Antonówka</t>
  </si>
  <si>
    <t>Kalisz</t>
  </si>
  <si>
    <t>nld</t>
  </si>
  <si>
    <t>Pomidory typu "cherry"</t>
  </si>
  <si>
    <t>Odmiany, dla których zbierane są dane:</t>
  </si>
  <si>
    <t>Jonagored</t>
  </si>
  <si>
    <t>Pomidory na gałązkach</t>
  </si>
  <si>
    <t>Golden</t>
  </si>
  <si>
    <t xml:space="preserve">Kapusta biała </t>
  </si>
  <si>
    <t>Kapusta włoska</t>
  </si>
  <si>
    <t>kujawsko-pomorskie</t>
  </si>
  <si>
    <t xml:space="preserve">        Tygodniowy Serwis Cenowy</t>
  </si>
  <si>
    <t>---</t>
  </si>
  <si>
    <t>Czosnek/a</t>
  </si>
  <si>
    <t xml:space="preserve"> </t>
  </si>
  <si>
    <t>Rzodkiewka/b</t>
  </si>
  <si>
    <t>Kazachstan</t>
  </si>
  <si>
    <t>Gloster</t>
  </si>
  <si>
    <t>a/sztuka,b/peczek</t>
  </si>
  <si>
    <t>Jabłka (razem)</t>
  </si>
  <si>
    <t>Gruszki (razem)</t>
  </si>
  <si>
    <t>OWOCE z importu - luzem</t>
  </si>
  <si>
    <t>Jabłka-Granny Smith</t>
  </si>
  <si>
    <t>WARZYWA krajowe - luzem</t>
  </si>
  <si>
    <t>WARZYWA z importu - luzem</t>
  </si>
  <si>
    <t>WARZYWA krajowe - opakowania do 2 kg</t>
  </si>
  <si>
    <t>WARZYWA z importu - do 2 kg</t>
  </si>
  <si>
    <t>Warszawa</t>
  </si>
  <si>
    <t>Instytut Ekonomiki Rolnictwa i Gospodarki Żywnościowej  Państwowy Instytut Badawczy</t>
  </si>
  <si>
    <t>Borówki amerykańskie</t>
  </si>
  <si>
    <t>2023r.</t>
  </si>
  <si>
    <t>2024r.</t>
  </si>
  <si>
    <t>Cebula</t>
  </si>
  <si>
    <t>obrana</t>
  </si>
  <si>
    <t>OWOCE krajowe - luzem</t>
  </si>
  <si>
    <t>Jabłka /ogółem</t>
  </si>
  <si>
    <t>Cebula biała obierana</t>
  </si>
  <si>
    <t>Szara Reneta</t>
  </si>
  <si>
    <t>Cortland</t>
  </si>
  <si>
    <t>przemyslowe</t>
  </si>
  <si>
    <t>na plastry</t>
  </si>
  <si>
    <t>Jabłka  deserowe</t>
  </si>
  <si>
    <t>Jabłka przemysłowe</t>
  </si>
  <si>
    <t>Boskoop, Cortland, Elstar, Gala, Gloster, Golden delicious, Idared, Jonagold/Jonagored, Ligol, Lobo, Red delicious, Shampion</t>
  </si>
  <si>
    <t>Warzywa importowane</t>
  </si>
  <si>
    <t>Jonagold</t>
  </si>
  <si>
    <t>Buraki</t>
  </si>
  <si>
    <t>ćwikłowe</t>
  </si>
  <si>
    <t>Zimbabwe</t>
  </si>
  <si>
    <t>przemysłowe</t>
  </si>
  <si>
    <t>0,32-0,36lz</t>
  </si>
  <si>
    <t>0,31-0,35lz</t>
  </si>
  <si>
    <t>0,32-0,35lz</t>
  </si>
  <si>
    <t>0,36lz</t>
  </si>
  <si>
    <t>0,27-0,33lz</t>
  </si>
  <si>
    <t>Jabłka / na sok zagęszczony</t>
  </si>
  <si>
    <t>Kapusta</t>
  </si>
  <si>
    <t>biała</t>
  </si>
  <si>
    <t>2026 r.</t>
  </si>
  <si>
    <t>ZMIANY ŚREDNICH CEN HURTOWYCH DLA WYBRANEGO ASORTYMENTU OWOCÓW I WARZYW</t>
  </si>
  <si>
    <t>TOWAR</t>
  </si>
  <si>
    <t>(zł/100 kg)</t>
  </si>
  <si>
    <t>Zmiana ceny (%)
w stosunku do poprzedniego okresu</t>
  </si>
  <si>
    <t>Zmiana ceny (%)
 w stosunku do okresu sprzed roku</t>
  </si>
  <si>
    <t xml:space="preserve"> ZINTEGROWANY SYSTEM ROLNICZEJ INFORMACJI RYNKOWEJ</t>
  </si>
  <si>
    <t>Rynek</t>
  </si>
  <si>
    <t>zsrir.minrol.gov.pl</t>
  </si>
  <si>
    <t xml:space="preserve">owoców i warzyw </t>
  </si>
  <si>
    <t>SPIS TREŚCI</t>
  </si>
  <si>
    <t>ZMIANY CEN HURTOWYCH</t>
  </si>
  <si>
    <t>CENY HURTOWE WARZYW</t>
  </si>
  <si>
    <t>CENY HURTOWE OWOCÓW</t>
  </si>
  <si>
    <t>CENY OWOCÓW ORGANIZACJI PRODUCENTÓW</t>
  </si>
  <si>
    <t>CENY OWOCÓW DO PRZETWORSTWA</t>
  </si>
  <si>
    <t>CENY WARZYW DO PRZETWORSTWA</t>
  </si>
  <si>
    <t>CENY DETALICZNE OWOCÓW</t>
  </si>
  <si>
    <t>CENY DETALICZNE WARZYW</t>
  </si>
  <si>
    <t>WYKRESY - OWOCE DETAL</t>
  </si>
  <si>
    <t>WYKRESY - WARZYWA DETAL</t>
  </si>
  <si>
    <t>IERGZ - CENY WARZYW</t>
  </si>
  <si>
    <t>IRGZ- CENY W ZAKŁADACH PRZETWÓRCZYCH I SPÓLDZIELNIACH</t>
  </si>
  <si>
    <t>IRGZ- CENY OWOCÓW</t>
  </si>
  <si>
    <t>CENY OWOCÓW I WARZY - KIRR</t>
  </si>
  <si>
    <t>HANDEL ZAGRANICZNY</t>
  </si>
  <si>
    <t>POMOC</t>
  </si>
  <si>
    <t>Produkt</t>
  </si>
  <si>
    <t>w stosunku do poprzedniego notowania*)</t>
  </si>
  <si>
    <t xml:space="preserve">Owoce </t>
  </si>
  <si>
    <t>0,55lz-0,60lz</t>
  </si>
  <si>
    <t>Słowacja</t>
  </si>
  <si>
    <t>Mongolia</t>
  </si>
  <si>
    <t xml:space="preserve">według ważniejszych krajów </t>
  </si>
  <si>
    <t>Finlandia</t>
  </si>
  <si>
    <t>Źródło danych: Ministerstwo Finansów</t>
  </si>
  <si>
    <t>UWAGA! DANE W TRAKCIE WERYFIKACJI - MOGĄ BYĆ OBARCZONE ISTOTNYMI BŁĘDAMI</t>
  </si>
  <si>
    <t>Irlandia</t>
  </si>
  <si>
    <t>Chorwacja</t>
  </si>
  <si>
    <t>HANDEL ZAGRANICZNY I-XI 2025 - DANE WSTĘPNE</t>
  </si>
  <si>
    <t>Turcja</t>
  </si>
  <si>
    <t>Urugwaj</t>
  </si>
  <si>
    <t>Argentyna</t>
  </si>
  <si>
    <t>Maroko</t>
  </si>
  <si>
    <t>Izrael</t>
  </si>
  <si>
    <t>Iran</t>
  </si>
  <si>
    <t>Botswana</t>
  </si>
  <si>
    <t>Cypr</t>
  </si>
  <si>
    <t>Namibia</t>
  </si>
  <si>
    <t>Macedonia</t>
  </si>
  <si>
    <t>ŚREDNIE CENY ZAKUPU JABŁEK I GRUSZEK PŁACONE PRZEZ ORGANIZACJE PRODUCENTÓW - najważniejsze odmiany</t>
  </si>
  <si>
    <t>ŚREDNIE CENY SPRZEDAŻY JABŁEK I GRUSZEK PŁACONE PRZEZ ORGANIZACJE PRODUCENTÓW - główne odmiany</t>
  </si>
  <si>
    <t>ŚREDNIE CENY ZAKUPU OWOCÓW PŁACONE PRZEZ PODMIOTY ZAJMUJĄCE SIĘ PRZETWÓRSTWEM</t>
  </si>
  <si>
    <t>ŚREDNIE CENY ZAKUPU WARZYW PŁACONE PRZEZ PODMIOTY ZAJMUJĄCE SIĘ PRZETWÓRSTWEM</t>
  </si>
  <si>
    <t>0,55-0,75</t>
  </si>
  <si>
    <t>0,65-0,70</t>
  </si>
  <si>
    <t>0,60-0,75</t>
  </si>
  <si>
    <t>5,23-6,13</t>
  </si>
  <si>
    <t>0,60lz/k</t>
  </si>
  <si>
    <t>0,60lz-0,70lz</t>
  </si>
  <si>
    <t>0,60lz-1,10lz</t>
  </si>
  <si>
    <t>0,70lz</t>
  </si>
  <si>
    <t>Kapusta pekińska</t>
  </si>
  <si>
    <t>0,60-0,70</t>
  </si>
  <si>
    <t>5,55-6,18</t>
  </si>
  <si>
    <t>0,66-0,78</t>
  </si>
  <si>
    <t>2,15-2,45</t>
  </si>
  <si>
    <t>0,85-0,90</t>
  </si>
  <si>
    <t>0,50lz</t>
  </si>
  <si>
    <t>1,15lz-1,20lz</t>
  </si>
  <si>
    <t xml:space="preserve">ŚREDNIE CENY OWOCÓW NA RYNKACH HURTOWYCH </t>
  </si>
  <si>
    <t>ŚREDNIE CENY WARZYW NA RYNKACH HURTOWYCH</t>
  </si>
  <si>
    <t>Maliny</t>
  </si>
  <si>
    <t>ŚREDNIE CENY ZAKUPU OWOCÓ PŁACONE PRZEZ PODMIOTY HANDLU DETALICZNEGO</t>
  </si>
  <si>
    <t>ŚREDNIE  CENY ZAKUPU WARZYW PŁACONE PRZEZ PODMIOTY HANDLU DETALICZNEGO</t>
  </si>
  <si>
    <t>tel.  (22) 505 44 32, e-mail: Tomasz.Smolenski@ierigz.waw.pl</t>
  </si>
  <si>
    <t>0,88-0,92</t>
  </si>
  <si>
    <t>1,87-1,99</t>
  </si>
  <si>
    <t>0,65-0,68</t>
  </si>
  <si>
    <t>Nektarynki</t>
  </si>
  <si>
    <t>0,55-0,65</t>
  </si>
  <si>
    <t>6,65-7,88</t>
  </si>
  <si>
    <t>0,65-0,75</t>
  </si>
  <si>
    <t>6,78-7,89</t>
  </si>
  <si>
    <t>0,50-0,55lz-0,60lz</t>
  </si>
  <si>
    <t>1,65-1,98</t>
  </si>
  <si>
    <t>3,55-3,69</t>
  </si>
  <si>
    <t>I-XII 2024r.</t>
  </si>
  <si>
    <t>I-XII 2025r.*</t>
  </si>
  <si>
    <t>Wolumen   [tony]</t>
  </si>
  <si>
    <t>Jordania</t>
  </si>
  <si>
    <t>Lublin</t>
  </si>
  <si>
    <t>Kapusta młoda</t>
  </si>
  <si>
    <t>0,95-1,00</t>
  </si>
  <si>
    <t>0,50-0,70</t>
  </si>
  <si>
    <t>6,55-7,89</t>
  </si>
  <si>
    <t>6,55-7,66</t>
  </si>
  <si>
    <t>0,55-0,65lz</t>
  </si>
  <si>
    <t>0,95lz-1,10lz</t>
  </si>
  <si>
    <t>0,50-0,60-0,65lz</t>
  </si>
  <si>
    <t>3,35-3,89</t>
  </si>
  <si>
    <t>1,85-2,35</t>
  </si>
  <si>
    <t>Ziemniaki młode</t>
  </si>
  <si>
    <t>Ogórki spod osłon</t>
  </si>
  <si>
    <t>0,55-0,60</t>
  </si>
  <si>
    <t>2,25-2,38</t>
  </si>
  <si>
    <t>0,50-0,60</t>
  </si>
  <si>
    <t>4,95-5,66</t>
  </si>
  <si>
    <t>0,55-0,68</t>
  </si>
  <si>
    <t>5,25-6,77</t>
  </si>
  <si>
    <t>0,60-0,64</t>
  </si>
  <si>
    <t>6,65-7,45</t>
  </si>
  <si>
    <t>0,54-0,62</t>
  </si>
  <si>
    <t>6,98-7,65</t>
  </si>
  <si>
    <t>1,89-2,66</t>
  </si>
  <si>
    <t>4,78-6,90</t>
  </si>
  <si>
    <t>6,25-8,66</t>
  </si>
  <si>
    <t>2,25-3,12</t>
  </si>
  <si>
    <t>0,90-1,14</t>
  </si>
  <si>
    <t>0,66-0,72</t>
  </si>
  <si>
    <t>0,66-0,74</t>
  </si>
  <si>
    <t>0,75-0,83</t>
  </si>
  <si>
    <t>0,55-0,69</t>
  </si>
  <si>
    <t>0,75-0,84</t>
  </si>
  <si>
    <t>0,55-0,78</t>
  </si>
  <si>
    <t>1,65-2,78</t>
  </si>
  <si>
    <t>0,85-1,14</t>
  </si>
  <si>
    <t>1,45-1,98</t>
  </si>
  <si>
    <t>0,55-0,92</t>
  </si>
  <si>
    <t>2,45-3,25</t>
  </si>
  <si>
    <t>1,10lz-1,20lz</t>
  </si>
  <si>
    <t>0,95-1,10lz</t>
  </si>
  <si>
    <t>0,55-0,60lz</t>
  </si>
  <si>
    <t>0,65lz-0,70lz</t>
  </si>
  <si>
    <t>1,10lz-1,23lz</t>
  </si>
  <si>
    <t>1,10lz-1,20</t>
  </si>
  <si>
    <t>0,50-0,50lz--0,60lz</t>
  </si>
  <si>
    <t>0,95-0,95lz-1,20lz</t>
  </si>
  <si>
    <t>0,55-0,55lz-0,60lz</t>
  </si>
  <si>
    <t>0,60lz-0,70lz/na sok-0,90lz-1,25lz/do obierania</t>
  </si>
  <si>
    <t>1,75-2,26</t>
  </si>
  <si>
    <t>1,60-2,40</t>
  </si>
  <si>
    <t>3,25-4,10</t>
  </si>
  <si>
    <t>0,75-1,10</t>
  </si>
  <si>
    <t>3,40-4,45</t>
  </si>
  <si>
    <t>02.03. - 08.03.2026r. cena w zł/kg (szt*)</t>
  </si>
  <si>
    <t>NR 11/2026</t>
  </si>
  <si>
    <t>08.03.2026</t>
  </si>
  <si>
    <t>16.03.2025</t>
  </si>
  <si>
    <t>Zmiana % w stosunku do poprzedniego okresu</t>
  </si>
  <si>
    <t>Zmiana %
 w stosunku do okresu sprzed roku</t>
  </si>
  <si>
    <t xml:space="preserve">15.03.2026 </t>
  </si>
  <si>
    <t>Jabłka / na sok NFC</t>
  </si>
  <si>
    <t>Ceny skupu netto warzyw i owoców w spółdzielniach ogrodniczych zbierane 16 III 2026 r.</t>
  </si>
  <si>
    <t>16 III</t>
  </si>
  <si>
    <t>0,50-0,65</t>
  </si>
  <si>
    <t>0,54-0,67</t>
  </si>
  <si>
    <t>0,52-0,60</t>
  </si>
  <si>
    <t>1,75-2,00</t>
  </si>
  <si>
    <t>2,65-2,88</t>
  </si>
  <si>
    <t>6,55-7,80</t>
  </si>
  <si>
    <t>0,56-0,64</t>
  </si>
  <si>
    <t>0,51-0,63</t>
  </si>
  <si>
    <t>0,54-0,66</t>
  </si>
  <si>
    <t>1,84-2,25</t>
  </si>
  <si>
    <t>4,89-6,55</t>
  </si>
  <si>
    <t>0,52-0,66</t>
  </si>
  <si>
    <t>2,75-2,99</t>
  </si>
  <si>
    <t>6,75-7,45</t>
  </si>
  <si>
    <t>0,55-0,67</t>
  </si>
  <si>
    <t>0,54-0,58</t>
  </si>
  <si>
    <t>1,87-1,98</t>
  </si>
  <si>
    <t>0,55-0,61</t>
  </si>
  <si>
    <t>5,25-5,66</t>
  </si>
  <si>
    <t>0,51-0,64</t>
  </si>
  <si>
    <t>0,63-0,67</t>
  </si>
  <si>
    <t>0,51-0,57</t>
  </si>
  <si>
    <t>1,86-1,91</t>
  </si>
  <si>
    <t>6,66-7,25</t>
  </si>
  <si>
    <t>0,53-0,57</t>
  </si>
  <si>
    <t>0,50-0,63</t>
  </si>
  <si>
    <t>1,88-1,93</t>
  </si>
  <si>
    <t>2,75-2,98</t>
  </si>
  <si>
    <t>0,53-0,58</t>
  </si>
  <si>
    <t>1,67-1,86</t>
  </si>
  <si>
    <t>5,25-6,70</t>
  </si>
  <si>
    <t>6,15-7,10</t>
  </si>
  <si>
    <t>6,45-7,13</t>
  </si>
  <si>
    <t>0,50-0,66</t>
  </si>
  <si>
    <t>0,51-0,67</t>
  </si>
  <si>
    <t>0,51-0,66</t>
  </si>
  <si>
    <t>1,67-2,25</t>
  </si>
  <si>
    <t>2,65-2,99</t>
  </si>
  <si>
    <t>4,89-7,10</t>
  </si>
  <si>
    <t>6,45-7,89</t>
  </si>
  <si>
    <t>0,55-0,72</t>
  </si>
  <si>
    <t>0,52-0,70</t>
  </si>
  <si>
    <t>2,75-2,87</t>
  </si>
  <si>
    <t>0,65-0,84</t>
  </si>
  <si>
    <t>0,75-1,16</t>
  </si>
  <si>
    <t>0,65-0,98</t>
  </si>
  <si>
    <t>2,10-2,89</t>
  </si>
  <si>
    <t>2,89-3,79</t>
  </si>
  <si>
    <t>5,25-7,69</t>
  </si>
  <si>
    <t>6,88-7,90</t>
  </si>
  <si>
    <t>0,65-0,74</t>
  </si>
  <si>
    <t>6,45-6,89</t>
  </si>
  <si>
    <t>2,10-2,55</t>
  </si>
  <si>
    <t>3,10-3,25</t>
  </si>
  <si>
    <t>0,92-1,17</t>
  </si>
  <si>
    <t>1,53-1,78</t>
  </si>
  <si>
    <t>0,85-0,95</t>
  </si>
  <si>
    <t>6,89-7,98</t>
  </si>
  <si>
    <t>2,35-2,45</t>
  </si>
  <si>
    <t>2,89-3,10</t>
  </si>
  <si>
    <t>0,75-0,88</t>
  </si>
  <si>
    <t>6,45-6,87</t>
  </si>
  <si>
    <t>2,37-2,66</t>
  </si>
  <si>
    <t>2,45-2,99</t>
  </si>
  <si>
    <t>1,54-1,74</t>
  </si>
  <si>
    <t>2,45-2,70</t>
  </si>
  <si>
    <t>2,78-3,15</t>
  </si>
  <si>
    <t>2,89-3,25</t>
  </si>
  <si>
    <t>0,87-0,96</t>
  </si>
  <si>
    <t>1,66-1,80</t>
  </si>
  <si>
    <t>0,84-0,95</t>
  </si>
  <si>
    <t>0,62-0,69</t>
  </si>
  <si>
    <t>6,45-7,99</t>
  </si>
  <si>
    <t>2,25-2,45</t>
  </si>
  <si>
    <t>2,65-2,78</t>
  </si>
  <si>
    <t>0,89-1,12</t>
  </si>
  <si>
    <t>1,35-1,89</t>
  </si>
  <si>
    <t>0,72-0,80</t>
  </si>
  <si>
    <t>6,35-7,15</t>
  </si>
  <si>
    <t>2,35-2,56</t>
  </si>
  <si>
    <t>2,68-2,87</t>
  </si>
  <si>
    <t>0,96-1,10</t>
  </si>
  <si>
    <t>6,78-7,25</t>
  </si>
  <si>
    <t>2,65-3,10</t>
  </si>
  <si>
    <t>0,88-0,96</t>
  </si>
  <si>
    <t>1,45-1,66</t>
  </si>
  <si>
    <t>0,55-0,80</t>
  </si>
  <si>
    <t>6,35-7,99</t>
  </si>
  <si>
    <t>2,10-2,70</t>
  </si>
  <si>
    <t>0,87-1,17</t>
  </si>
  <si>
    <t>5,98-8,14</t>
  </si>
  <si>
    <t>0,68-0,88</t>
  </si>
  <si>
    <t>6,85-8,25</t>
  </si>
  <si>
    <t>1,74-2,88</t>
  </si>
  <si>
    <t>2,47-3,24</t>
  </si>
  <si>
    <t>0,80-1,10</t>
  </si>
  <si>
    <t>1,55-2,15</t>
  </si>
  <si>
    <t>0,75-1,17</t>
  </si>
  <si>
    <t>Ceny skupu netto w zakładach przetwórczych i chłodniach zbierane 16 III 2026 r. (zł/kg)</t>
  </si>
  <si>
    <t>1,15lz-1,28lz</t>
  </si>
  <si>
    <t>1,10lz-1,25lz</t>
  </si>
  <si>
    <t>0,65lz</t>
  </si>
  <si>
    <t>0,50-0,55-0,60lz-0,65lz</t>
  </si>
  <si>
    <t>0,55lz-0,65lz</t>
  </si>
  <si>
    <t>0,65lz-0,90lz-1,15lz-1,30lz</t>
  </si>
  <si>
    <t>1,10lz-1,28lz</t>
  </si>
  <si>
    <t>0,50-0,60lz--0,70lz</t>
  </si>
  <si>
    <t>0,95-0,95lz-1,25lz</t>
  </si>
  <si>
    <t>0,55-0,55lz-0,65lz</t>
  </si>
  <si>
    <t>0,60lz-0,70lz/na sok-0,90lz-1,30lz/do obierania</t>
  </si>
  <si>
    <t>1,30lz-1,50lz</t>
  </si>
  <si>
    <t>0,60-0,60lz-0,65lz</t>
  </si>
  <si>
    <t>1,35-1,40lz-1,50lz</t>
  </si>
  <si>
    <t>0,70-0,70lz-0,80lz</t>
  </si>
  <si>
    <t>0,65-0,70-0,70lz-0,73lz</t>
  </si>
  <si>
    <t>1,00-1,00lz-1,25lzlz, 1,30lz-1,40lz/do obierania</t>
  </si>
  <si>
    <t>1,75-2,50</t>
  </si>
  <si>
    <t>1,65-2,15</t>
  </si>
  <si>
    <t>1,70-2,65</t>
  </si>
  <si>
    <t>3,45-3,65</t>
  </si>
  <si>
    <t>1,87-2,55</t>
  </si>
  <si>
    <t>3,38-3,78</t>
  </si>
  <si>
    <t>1,60-2,45</t>
  </si>
  <si>
    <t>3,20-3,48</t>
  </si>
  <si>
    <t>3,56-3,70</t>
  </si>
  <si>
    <t>1,60-2,65</t>
  </si>
  <si>
    <t>3,20-3,89</t>
  </si>
  <si>
    <t>1,70-2,78</t>
  </si>
  <si>
    <t>11 tydzień</t>
  </si>
  <si>
    <t>09.03. - 15.03.2026 r</t>
  </si>
  <si>
    <t>09.03. - 15.03.2026r. cena w zł/kg (szt*)</t>
  </si>
  <si>
    <t>Notowania 09.03 - 18.03.2026 / Tydzień 10</t>
  </si>
  <si>
    <t>19 marca 2026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</si>
</sst>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dd/mm/yy"/>
    <numFmt numFmtId="166" formatCode="#,###,##0"/>
  </numFmts>
  <fonts count="124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u/>
      <sz val="10"/>
      <color indexed="12"/>
      <name val="Arial CE"/>
      <charset val="238"/>
    </font>
    <font>
      <sz val="12"/>
      <name val="Arial CE"/>
      <charset val="238"/>
    </font>
    <font>
      <sz val="14"/>
      <name val="Times New Roman"/>
      <family val="1"/>
      <charset val="238"/>
    </font>
    <font>
      <i/>
      <sz val="14"/>
      <name val="Times New Roman"/>
      <family val="1"/>
      <charset val="238"/>
    </font>
    <font>
      <sz val="14"/>
      <name val="Arial CE"/>
      <charset val="238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4"/>
      <name val="Times New Roman"/>
      <family val="1"/>
      <charset val="238"/>
    </font>
    <font>
      <sz val="8"/>
      <name val="Arial CE"/>
      <charset val="238"/>
    </font>
    <font>
      <sz val="10"/>
      <color indexed="8"/>
      <name val="MS Sans Serif"/>
      <family val="2"/>
      <charset val="238"/>
    </font>
    <font>
      <b/>
      <sz val="12"/>
      <name val="Times New Roman CE"/>
      <family val="1"/>
      <charset val="238"/>
    </font>
    <font>
      <sz val="10"/>
      <name val="Arial"/>
      <family val="2"/>
      <charset val="238"/>
    </font>
    <font>
      <sz val="10"/>
      <name val="Arial CE"/>
    </font>
    <font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1"/>
      <color indexed="10"/>
      <name val="Calibri"/>
      <family val="2"/>
      <charset val="238"/>
      <scheme val="minor"/>
    </font>
    <font>
      <b/>
      <i/>
      <sz val="14"/>
      <name val="Calibri"/>
      <family val="2"/>
      <charset val="238"/>
      <scheme val="minor"/>
    </font>
    <font>
      <b/>
      <i/>
      <sz val="12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sz val="16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10"/>
      <name val="Calibri"/>
      <family val="2"/>
      <charset val="238"/>
      <scheme val="minor"/>
    </font>
    <font>
      <b/>
      <i/>
      <sz val="12"/>
      <color rgb="FF2F5597"/>
      <name val="Calibri"/>
      <family val="2"/>
      <charset val="238"/>
    </font>
    <font>
      <b/>
      <i/>
      <sz val="26"/>
      <name val="Calibri"/>
      <family val="2"/>
      <charset val="238"/>
      <scheme val="minor"/>
    </font>
    <font>
      <b/>
      <i/>
      <sz val="12"/>
      <color rgb="FFC00000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b/>
      <sz val="14"/>
      <color rgb="FFFF0000"/>
      <name val="Calibri"/>
      <family val="2"/>
      <charset val="238"/>
      <scheme val="minor"/>
    </font>
    <font>
      <b/>
      <sz val="12"/>
      <color rgb="FFC0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2"/>
      <color rgb="FF00000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</font>
    <font>
      <b/>
      <sz val="12"/>
      <color rgb="FF000000"/>
      <name val="Calibri"/>
      <family val="2"/>
      <charset val="238"/>
    </font>
    <font>
      <i/>
      <sz val="16"/>
      <color indexed="8"/>
      <name val="Times New Roman CE"/>
      <family val="1"/>
      <charset val="238"/>
    </font>
    <font>
      <i/>
      <sz val="16"/>
      <color indexed="8"/>
      <name val="Times New Roman CE"/>
      <charset val="238"/>
    </font>
    <font>
      <sz val="16"/>
      <color indexed="8"/>
      <name val="Times New Roman CE"/>
      <family val="1"/>
      <charset val="238"/>
    </font>
    <font>
      <b/>
      <sz val="11"/>
      <name val="Calibri"/>
      <family val="2"/>
      <charset val="238"/>
    </font>
    <font>
      <b/>
      <sz val="11"/>
      <color indexed="8"/>
      <name val="Calibri"/>
      <family val="2"/>
      <charset val="238"/>
    </font>
    <font>
      <b/>
      <i/>
      <sz val="11"/>
      <color indexed="8"/>
      <name val="Calibri"/>
      <family val="2"/>
      <charset val="238"/>
    </font>
    <font>
      <sz val="10"/>
      <color rgb="FF006600"/>
      <name val="Arial CE"/>
      <charset val="238"/>
    </font>
    <font>
      <sz val="10"/>
      <color theme="0"/>
      <name val="Arial CE"/>
      <charset val="238"/>
    </font>
    <font>
      <b/>
      <sz val="14"/>
      <color rgb="FF006600"/>
      <name val="Lato Semibold"/>
      <family val="2"/>
      <charset val="238"/>
    </font>
    <font>
      <b/>
      <sz val="13"/>
      <color rgb="FF006600"/>
      <name val="Calibri"/>
      <family val="2"/>
      <charset val="238"/>
      <scheme val="minor"/>
    </font>
    <font>
      <b/>
      <sz val="14"/>
      <color rgb="FF006600"/>
      <name val="Calibri"/>
      <family val="2"/>
      <charset val="238"/>
      <scheme val="minor"/>
    </font>
    <font>
      <sz val="10"/>
      <color rgb="FF006600"/>
      <name val="Calibri"/>
      <family val="2"/>
      <charset val="238"/>
      <scheme val="minor"/>
    </font>
    <font>
      <b/>
      <sz val="10"/>
      <color rgb="FF006600"/>
      <name val="Calibri"/>
      <family val="2"/>
      <charset val="238"/>
      <scheme val="minor"/>
    </font>
    <font>
      <sz val="10"/>
      <color theme="6" tint="-0.499984740745262"/>
      <name val="Arial CE"/>
      <charset val="238"/>
    </font>
    <font>
      <b/>
      <sz val="12"/>
      <color theme="7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b/>
      <sz val="12"/>
      <color rgb="FF006600"/>
      <name val="Lato Semibold"/>
      <family val="2"/>
      <charset val="238"/>
    </font>
    <font>
      <b/>
      <sz val="12"/>
      <color rgb="FF333333"/>
      <name val="Calibri"/>
      <family val="2"/>
      <charset val="238"/>
      <scheme val="minor"/>
    </font>
    <font>
      <sz val="12"/>
      <color rgb="FF333333"/>
      <name val="Calibri"/>
      <family val="2"/>
      <charset val="238"/>
      <scheme val="minor"/>
    </font>
    <font>
      <b/>
      <sz val="11"/>
      <color rgb="FF333333"/>
      <name val="Calibri"/>
      <family val="2"/>
      <charset val="238"/>
      <scheme val="minor"/>
    </font>
    <font>
      <b/>
      <sz val="10"/>
      <color rgb="FF333333"/>
      <name val="Calibri"/>
      <family val="2"/>
      <charset val="238"/>
      <scheme val="minor"/>
    </font>
    <font>
      <i/>
      <sz val="11"/>
      <color rgb="FF333333"/>
      <name val="Calibri"/>
      <family val="2"/>
      <charset val="238"/>
      <scheme val="minor"/>
    </font>
    <font>
      <sz val="11"/>
      <color rgb="FF333333"/>
      <name val="Calibri"/>
      <family val="2"/>
      <charset val="238"/>
      <scheme val="minor"/>
    </font>
    <font>
      <sz val="10"/>
      <name val="Calibri"/>
      <family val="2"/>
      <charset val="238"/>
    </font>
    <font>
      <sz val="10"/>
      <color rgb="FFFF0000"/>
      <name val="Arial CE"/>
      <charset val="238"/>
    </font>
    <font>
      <b/>
      <sz val="40"/>
      <color rgb="FF006600"/>
      <name val="Lato Black"/>
      <family val="2"/>
      <charset val="238"/>
    </font>
    <font>
      <i/>
      <sz val="14"/>
      <name val="Arial CE"/>
      <charset val="238"/>
    </font>
    <font>
      <b/>
      <sz val="40"/>
      <color rgb="FF008000"/>
      <name val="Lato Black"/>
      <family val="2"/>
      <charset val="238"/>
    </font>
    <font>
      <b/>
      <sz val="40"/>
      <color rgb="FF006E22"/>
      <name val="Calibri"/>
      <family val="2"/>
      <charset val="238"/>
      <scheme val="minor"/>
    </font>
    <font>
      <b/>
      <sz val="14"/>
      <color rgb="FF008000"/>
      <name val="Lato Black"/>
      <family val="2"/>
      <charset val="238"/>
    </font>
    <font>
      <b/>
      <sz val="14"/>
      <color rgb="FF008000"/>
      <name val="Calibri"/>
      <family val="2"/>
      <charset val="238"/>
      <scheme val="minor"/>
    </font>
    <font>
      <sz val="9.5"/>
      <name val="Calibri"/>
      <family val="2"/>
      <charset val="238"/>
    </font>
    <font>
      <b/>
      <sz val="14"/>
      <color theme="0"/>
      <name val="Calibri"/>
      <family val="2"/>
      <charset val="238"/>
      <scheme val="minor"/>
    </font>
    <font>
      <b/>
      <sz val="12"/>
      <color rgb="FF006600"/>
      <name val="Calibri"/>
      <family val="2"/>
      <charset val="238"/>
    </font>
    <font>
      <sz val="10"/>
      <name val="Arial CE"/>
      <family val="2"/>
      <charset val="238"/>
    </font>
    <font>
      <b/>
      <sz val="14"/>
      <color theme="9" tint="-0.249977111117893"/>
      <name val="Calibri"/>
      <family val="2"/>
      <charset val="238"/>
      <scheme val="minor"/>
    </font>
    <font>
      <i/>
      <sz val="12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sz val="13"/>
      <name val="Calibri"/>
      <family val="2"/>
      <charset val="238"/>
      <scheme val="minor"/>
    </font>
    <font>
      <b/>
      <sz val="13"/>
      <color rgb="FF333333"/>
      <name val="Calibri"/>
      <family val="2"/>
      <charset val="238"/>
      <scheme val="minor"/>
    </font>
    <font>
      <sz val="13"/>
      <name val="Calibri"/>
      <family val="2"/>
      <charset val="238"/>
      <scheme val="minor"/>
    </font>
    <font>
      <b/>
      <sz val="11"/>
      <color rgb="FF006600"/>
      <name val="Lato Semibold"/>
      <family val="2"/>
      <charset val="238"/>
    </font>
    <font>
      <sz val="10"/>
      <name val="Times New Roman"/>
      <family val="1"/>
      <charset val="238"/>
    </font>
    <font>
      <sz val="13"/>
      <name val="Times New Roman"/>
      <family val="1"/>
      <charset val="238"/>
    </font>
    <font>
      <b/>
      <i/>
      <sz val="10"/>
      <name val="Calibri"/>
      <family val="2"/>
      <charset val="238"/>
      <scheme val="minor"/>
    </font>
    <font>
      <b/>
      <i/>
      <sz val="10"/>
      <color rgb="FF0000FF"/>
      <name val="Calibri"/>
      <family val="2"/>
      <charset val="238"/>
      <scheme val="minor"/>
    </font>
    <font>
      <b/>
      <i/>
      <u/>
      <sz val="12"/>
      <name val="Calibri"/>
      <family val="2"/>
      <charset val="238"/>
      <scheme val="minor"/>
    </font>
    <font>
      <b/>
      <sz val="12"/>
      <color theme="9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6"/>
      <color rgb="FF008000"/>
      <name val="Calibri"/>
      <family val="2"/>
      <charset val="238"/>
      <scheme val="minor"/>
    </font>
    <font>
      <b/>
      <sz val="14"/>
      <color theme="1" tint="0.249977111117893"/>
      <name val="Calibri"/>
      <family val="2"/>
      <charset val="238"/>
      <scheme val="minor"/>
    </font>
    <font>
      <b/>
      <sz val="12"/>
      <color theme="1" tint="0.249977111117893"/>
      <name val="Calibri"/>
      <family val="2"/>
      <charset val="238"/>
      <scheme val="minor"/>
    </font>
    <font>
      <b/>
      <sz val="16"/>
      <color rgb="FF008000"/>
      <name val="Calibri"/>
      <family val="2"/>
      <charset val="238"/>
    </font>
    <font>
      <b/>
      <sz val="14"/>
      <color theme="1" tint="0.249977111117893"/>
      <name val="Calibri"/>
      <family val="2"/>
      <charset val="238"/>
    </font>
    <font>
      <sz val="14"/>
      <color theme="1" tint="0.249977111117893"/>
      <name val="Calibri"/>
      <family val="2"/>
      <charset val="238"/>
    </font>
    <font>
      <b/>
      <sz val="12"/>
      <color theme="1" tint="0.249977111117893"/>
      <name val="Calibri"/>
      <family val="2"/>
      <charset val="238"/>
    </font>
    <font>
      <sz val="12"/>
      <color theme="1" tint="0.249977111117893"/>
      <name val="Calibri"/>
      <family val="2"/>
      <charset val="238"/>
    </font>
    <font>
      <b/>
      <i/>
      <sz val="18"/>
      <name val="Calibri"/>
      <family val="2"/>
      <charset val="238"/>
      <scheme val="minor"/>
    </font>
    <font>
      <i/>
      <sz val="16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i/>
      <sz val="10"/>
      <name val="Calibri"/>
      <family val="2"/>
      <charset val="238"/>
      <scheme val="minor"/>
    </font>
    <font>
      <b/>
      <sz val="12"/>
      <color theme="9" tint="-0.249977111117893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2"/>
      <color rgb="FFC00000"/>
      <name val="Calibri"/>
      <family val="2"/>
      <charset val="238"/>
      <scheme val="minor"/>
    </font>
    <font>
      <b/>
      <sz val="12"/>
      <color indexed="8"/>
      <name val="Calibri"/>
      <family val="2"/>
      <charset val="238"/>
    </font>
    <font>
      <b/>
      <i/>
      <sz val="12"/>
      <color indexed="8"/>
      <name val="Calibri"/>
      <family val="2"/>
      <charset val="238"/>
    </font>
    <font>
      <i/>
      <sz val="11"/>
      <name val="Calibri"/>
      <family val="2"/>
      <charset val="238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4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</fills>
  <borders count="1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6E22"/>
      </left>
      <right style="thin">
        <color rgb="FF006E22"/>
      </right>
      <top style="thin">
        <color rgb="FF006E22"/>
      </top>
      <bottom style="thin">
        <color rgb="FF006E22"/>
      </bottom>
      <diagonal/>
    </border>
    <border>
      <left/>
      <right style="thin">
        <color rgb="FF006E22"/>
      </right>
      <top style="medium">
        <color indexed="64"/>
      </top>
      <bottom style="thin">
        <color rgb="FF006E22"/>
      </bottom>
      <diagonal/>
    </border>
    <border>
      <left style="thin">
        <color rgb="FF006E22"/>
      </left>
      <right style="thin">
        <color rgb="FF006E22"/>
      </right>
      <top style="medium">
        <color indexed="64"/>
      </top>
      <bottom style="thin">
        <color rgb="FF006E22"/>
      </bottom>
      <diagonal/>
    </border>
    <border>
      <left/>
      <right style="thin">
        <color rgb="FF006E22"/>
      </right>
      <top style="thin">
        <color rgb="FF006E22"/>
      </top>
      <bottom style="thin">
        <color rgb="FF006E22"/>
      </bottom>
      <diagonal/>
    </border>
    <border>
      <left style="thin">
        <color rgb="FF006E22"/>
      </left>
      <right/>
      <top style="thin">
        <color rgb="FF006E22"/>
      </top>
      <bottom style="thin">
        <color rgb="FF006E22"/>
      </bottom>
      <diagonal/>
    </border>
    <border>
      <left/>
      <right style="thin">
        <color rgb="FF006E22"/>
      </right>
      <top style="thin">
        <color rgb="FF006E22"/>
      </top>
      <bottom/>
      <diagonal/>
    </border>
    <border>
      <left style="thin">
        <color rgb="FF006E22"/>
      </left>
      <right style="thin">
        <color rgb="FF006E22"/>
      </right>
      <top style="thin">
        <color rgb="FF006E22"/>
      </top>
      <bottom/>
      <diagonal/>
    </border>
    <border>
      <left style="thin">
        <color rgb="FF006E22"/>
      </left>
      <right/>
      <top style="thin">
        <color rgb="FF006E22"/>
      </top>
      <bottom/>
      <diagonal/>
    </border>
    <border>
      <left/>
      <right/>
      <top/>
      <bottom style="thick">
        <color rgb="FF328228"/>
      </bottom>
      <diagonal/>
    </border>
    <border>
      <left/>
      <right/>
      <top style="thick">
        <color rgb="FF328228"/>
      </top>
      <bottom/>
      <diagonal/>
    </border>
    <border>
      <left/>
      <right/>
      <top/>
      <bottom style="thin">
        <color rgb="FF006600"/>
      </bottom>
      <diagonal/>
    </border>
    <border>
      <left style="thin">
        <color rgb="FF006600"/>
      </left>
      <right/>
      <top/>
      <bottom/>
      <diagonal/>
    </border>
    <border>
      <left style="thin">
        <color rgb="FF006600"/>
      </left>
      <right/>
      <top/>
      <bottom style="thin">
        <color rgb="FF006600"/>
      </bottom>
      <diagonal/>
    </border>
    <border>
      <left style="thin">
        <color rgb="FF006600"/>
      </left>
      <right/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thin">
        <color indexed="64"/>
      </right>
      <top/>
      <bottom style="thin">
        <color rgb="FF006600"/>
      </bottom>
      <diagonal/>
    </border>
    <border>
      <left style="thin">
        <color indexed="64"/>
      </left>
      <right style="thin">
        <color indexed="64"/>
      </right>
      <top/>
      <bottom style="thin">
        <color rgb="FF006600"/>
      </bottom>
      <diagonal/>
    </border>
    <border>
      <left style="thin">
        <color indexed="64"/>
      </left>
      <right/>
      <top/>
      <bottom style="thin">
        <color rgb="FF006600"/>
      </bottom>
      <diagonal/>
    </border>
    <border>
      <left style="thin">
        <color rgb="FF006600"/>
      </left>
      <right style="thin">
        <color indexed="64"/>
      </right>
      <top style="thin">
        <color rgb="FF006600"/>
      </top>
      <bottom style="thin">
        <color rgb="FF006600"/>
      </bottom>
      <diagonal/>
    </border>
    <border>
      <left style="thin">
        <color indexed="64"/>
      </left>
      <right style="thin">
        <color indexed="64"/>
      </right>
      <top style="thin">
        <color rgb="FF006600"/>
      </top>
      <bottom style="thin">
        <color rgb="FF006600"/>
      </bottom>
      <diagonal/>
    </border>
    <border>
      <left style="thin">
        <color indexed="64"/>
      </left>
      <right/>
      <top style="thin">
        <color rgb="FF006600"/>
      </top>
      <bottom style="thin">
        <color rgb="FF006600"/>
      </bottom>
      <diagonal/>
    </border>
    <border>
      <left style="medium">
        <color indexed="64"/>
      </left>
      <right/>
      <top style="thin">
        <color rgb="FF006600"/>
      </top>
      <bottom style="thin">
        <color rgb="FF006600"/>
      </bottom>
      <diagonal/>
    </border>
    <border>
      <left/>
      <right/>
      <top/>
      <bottom style="medium">
        <color rgb="FF006600"/>
      </bottom>
      <diagonal/>
    </border>
    <border>
      <left style="thin">
        <color rgb="FF006600"/>
      </left>
      <right/>
      <top/>
      <bottom style="medium">
        <color rgb="FF006600"/>
      </bottom>
      <diagonal/>
    </border>
    <border>
      <left style="thin">
        <color rgb="FF006600"/>
      </left>
      <right style="thin">
        <color indexed="64"/>
      </right>
      <top/>
      <bottom style="medium">
        <color rgb="FF006600"/>
      </bottom>
      <diagonal/>
    </border>
    <border>
      <left style="thin">
        <color indexed="64"/>
      </left>
      <right/>
      <top/>
      <bottom style="medium">
        <color rgb="FF006600"/>
      </bottom>
      <diagonal/>
    </border>
    <border>
      <left/>
      <right/>
      <top style="thin">
        <color rgb="FF006600"/>
      </top>
      <bottom/>
      <diagonal/>
    </border>
    <border>
      <left style="thin">
        <color rgb="FF006E22"/>
      </left>
      <right style="thin">
        <color rgb="FF006E22"/>
      </right>
      <top style="thin">
        <color rgb="FF006600"/>
      </top>
      <bottom style="thin">
        <color rgb="FF006E22"/>
      </bottom>
      <diagonal/>
    </border>
    <border>
      <left style="thin">
        <color rgb="FF006E22"/>
      </left>
      <right/>
      <top style="thin">
        <color rgb="FF006600"/>
      </top>
      <bottom style="thin">
        <color rgb="FF006E22"/>
      </bottom>
      <diagonal/>
    </border>
    <border>
      <left/>
      <right style="thin">
        <color rgb="FF006E22"/>
      </right>
      <top style="thin">
        <color rgb="FF006600"/>
      </top>
      <bottom style="thin">
        <color rgb="FF006E22"/>
      </bottom>
      <diagonal/>
    </border>
    <border>
      <left/>
      <right/>
      <top style="medium">
        <color rgb="FF006600"/>
      </top>
      <bottom style="thin">
        <color rgb="FF006600"/>
      </bottom>
      <diagonal/>
    </border>
    <border>
      <left/>
      <right style="thin">
        <color indexed="64"/>
      </right>
      <top style="thin">
        <color rgb="FF006600"/>
      </top>
      <bottom style="thin">
        <color rgb="FF006600"/>
      </bottom>
      <diagonal/>
    </border>
    <border>
      <left/>
      <right style="thin">
        <color indexed="64"/>
      </right>
      <top/>
      <bottom style="thin">
        <color rgb="FF006600"/>
      </bottom>
      <diagonal/>
    </border>
    <border>
      <left/>
      <right style="thin">
        <color indexed="64"/>
      </right>
      <top/>
      <bottom style="medium">
        <color rgb="FF006600"/>
      </bottom>
      <diagonal/>
    </border>
    <border>
      <left/>
      <right style="double">
        <color rgb="FF006600"/>
      </right>
      <top/>
      <bottom style="thin">
        <color rgb="FF006600"/>
      </bottom>
      <diagonal/>
    </border>
    <border>
      <left style="thin">
        <color indexed="64"/>
      </left>
      <right style="double">
        <color rgb="FF006600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double">
        <color rgb="FF006600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double">
        <color rgb="FF006600"/>
      </right>
      <top/>
      <bottom style="medium">
        <color rgb="FF006600"/>
      </bottom>
      <diagonal/>
    </border>
    <border>
      <left style="thin">
        <color rgb="FF006E22"/>
      </left>
      <right style="double">
        <color rgb="FF006600"/>
      </right>
      <top style="thin">
        <color rgb="FF006600"/>
      </top>
      <bottom style="thin">
        <color rgb="FF006E22"/>
      </bottom>
      <diagonal/>
    </border>
    <border>
      <left style="thin">
        <color rgb="FF006E22"/>
      </left>
      <right style="double">
        <color rgb="FF006600"/>
      </right>
      <top style="thin">
        <color rgb="FF006E22"/>
      </top>
      <bottom style="thin">
        <color rgb="FF006E22"/>
      </bottom>
      <diagonal/>
    </border>
    <border>
      <left style="thin">
        <color rgb="FF006E22"/>
      </left>
      <right style="thin">
        <color rgb="FF006E22"/>
      </right>
      <top/>
      <bottom style="thin">
        <color rgb="FF006E22"/>
      </bottom>
      <diagonal/>
    </border>
    <border>
      <left/>
      <right style="thin">
        <color rgb="FF006E22"/>
      </right>
      <top/>
      <bottom style="thin">
        <color rgb="FF006E22"/>
      </bottom>
      <diagonal/>
    </border>
    <border>
      <left style="thin">
        <color rgb="FF006E22"/>
      </left>
      <right/>
      <top/>
      <bottom style="thin">
        <color rgb="FF006E22"/>
      </bottom>
      <diagonal/>
    </border>
    <border>
      <left/>
      <right/>
      <top style="thin">
        <color rgb="FF006600"/>
      </top>
      <bottom style="thin">
        <color rgb="FF006600"/>
      </bottom>
      <diagonal/>
    </border>
    <border>
      <left/>
      <right/>
      <top style="thin">
        <color rgb="FF006600"/>
      </top>
      <bottom style="hair">
        <color indexed="64"/>
      </bottom>
      <diagonal/>
    </border>
    <border>
      <left/>
      <right style="hair">
        <color indexed="64"/>
      </right>
      <top style="thin">
        <color rgb="FF006600"/>
      </top>
      <bottom style="hair">
        <color indexed="64"/>
      </bottom>
      <diagonal/>
    </border>
    <border>
      <left style="hair">
        <color indexed="64"/>
      </left>
      <right/>
      <top style="thin">
        <color rgb="FF006600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6600"/>
      </left>
      <right style="thin">
        <color indexed="64"/>
      </right>
      <top/>
      <bottom/>
      <diagonal/>
    </border>
    <border>
      <left style="thin">
        <color rgb="FF006600"/>
      </left>
      <right style="thin">
        <color rgb="FF006E22"/>
      </right>
      <top style="thin">
        <color rgb="FF006600"/>
      </top>
      <bottom style="thin">
        <color rgb="FF006E22"/>
      </bottom>
      <diagonal/>
    </border>
    <border>
      <left style="thin">
        <color rgb="FF006600"/>
      </left>
      <right style="thin">
        <color rgb="FF006E22"/>
      </right>
      <top style="thin">
        <color rgb="FF006E22"/>
      </top>
      <bottom style="thin">
        <color rgb="FF006E22"/>
      </bottom>
      <diagonal/>
    </border>
    <border>
      <left style="thin">
        <color rgb="FF006600"/>
      </left>
      <right style="hair">
        <color indexed="64"/>
      </right>
      <top/>
      <bottom style="medium">
        <color rgb="FF006600"/>
      </bottom>
      <diagonal/>
    </border>
    <border>
      <left style="hair">
        <color indexed="64"/>
      </left>
      <right/>
      <top/>
      <bottom style="medium">
        <color rgb="FF006600"/>
      </bottom>
      <diagonal/>
    </border>
    <border>
      <left/>
      <right style="hair">
        <color indexed="64"/>
      </right>
      <top style="thin">
        <color rgb="FF006600"/>
      </top>
      <bottom/>
      <diagonal/>
    </border>
    <border>
      <left style="hair">
        <color indexed="64"/>
      </left>
      <right/>
      <top style="thin">
        <color rgb="FF006600"/>
      </top>
      <bottom/>
      <diagonal/>
    </border>
    <border>
      <left style="thin">
        <color rgb="FF006600"/>
      </left>
      <right style="thin">
        <color rgb="FF006E22"/>
      </right>
      <top style="thin">
        <color rgb="FF006600"/>
      </top>
      <bottom/>
      <diagonal/>
    </border>
    <border>
      <left style="thin">
        <color rgb="FF006E22"/>
      </left>
      <right style="thin">
        <color rgb="FF006E22"/>
      </right>
      <top style="thin">
        <color rgb="FF006600"/>
      </top>
      <bottom/>
      <diagonal/>
    </border>
    <border>
      <left style="thin">
        <color rgb="FF006E22"/>
      </left>
      <right style="thin">
        <color rgb="FF006E22"/>
      </right>
      <top/>
      <bottom style="medium">
        <color rgb="FF006600"/>
      </bottom>
      <diagonal/>
    </border>
    <border>
      <left style="thin">
        <color rgb="FF006E22"/>
      </left>
      <right/>
      <top/>
      <bottom style="medium">
        <color rgb="FF006600"/>
      </bottom>
      <diagonal/>
    </border>
    <border>
      <left style="thin">
        <color rgb="FF006600"/>
      </left>
      <right/>
      <top style="thin">
        <color rgb="FF006E22"/>
      </top>
      <bottom style="thin">
        <color rgb="FF006E22"/>
      </bottom>
      <diagonal/>
    </border>
    <border>
      <left style="thin">
        <color rgb="FF006600"/>
      </left>
      <right/>
      <top style="thin">
        <color rgb="FF006E22"/>
      </top>
      <bottom/>
      <diagonal/>
    </border>
    <border>
      <left style="thin">
        <color rgb="FF006600"/>
      </left>
      <right/>
      <top/>
      <bottom style="thin">
        <color rgb="FF006E22"/>
      </bottom>
      <diagonal/>
    </border>
    <border>
      <left style="thin">
        <color rgb="FF006600"/>
      </left>
      <right style="thin">
        <color rgb="FF006E22"/>
      </right>
      <top/>
      <bottom style="medium">
        <color rgb="FF006600"/>
      </bottom>
      <diagonal/>
    </border>
    <border>
      <left style="thin">
        <color rgb="FF006600"/>
      </left>
      <right style="thin">
        <color rgb="FF006600"/>
      </right>
      <top/>
      <bottom style="medium">
        <color rgb="FF006600"/>
      </bottom>
      <diagonal/>
    </border>
    <border>
      <left style="thin">
        <color rgb="FF006E22"/>
      </left>
      <right style="thin">
        <color rgb="FF006600"/>
      </right>
      <top/>
      <bottom style="thin">
        <color rgb="FF006E22"/>
      </bottom>
      <diagonal/>
    </border>
    <border>
      <left style="thin">
        <color rgb="FF006E22"/>
      </left>
      <right style="thin">
        <color rgb="FF006600"/>
      </right>
      <top style="thin">
        <color rgb="FF006E22"/>
      </top>
      <bottom style="thin">
        <color rgb="FF006E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006E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8"/>
      </right>
      <top/>
      <bottom style="medium">
        <color indexed="64"/>
      </bottom>
      <diagonal/>
    </border>
    <border>
      <left style="thin">
        <color indexed="64"/>
      </left>
      <right style="medium">
        <color indexed="8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8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8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8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8"/>
      </right>
      <top/>
      <bottom style="double">
        <color indexed="64"/>
      </bottom>
      <diagonal/>
    </border>
    <border>
      <left style="thin">
        <color indexed="64"/>
      </left>
      <right style="medium">
        <color indexed="8"/>
      </right>
      <top/>
      <bottom/>
      <diagonal/>
    </border>
    <border>
      <left style="thin">
        <color indexed="64"/>
      </left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medium">
        <color indexed="8"/>
      </right>
      <top/>
      <bottom style="medium">
        <color indexed="8"/>
      </bottom>
      <diagonal/>
    </border>
    <border>
      <left/>
      <right/>
      <top style="thin">
        <color rgb="FF006E22"/>
      </top>
      <bottom style="thin">
        <color rgb="FF006E22"/>
      </bottom>
      <diagonal/>
    </border>
  </borders>
  <cellStyleXfs count="25">
    <xf numFmtId="0" fontId="0" fillId="0" borderId="0"/>
    <xf numFmtId="0" fontId="11" fillId="0" borderId="0" applyNumberFormat="0" applyFill="0" applyBorder="0" applyAlignment="0" applyProtection="0"/>
    <xf numFmtId="0" fontId="10" fillId="0" borderId="0"/>
    <xf numFmtId="0" fontId="20" fillId="0" borderId="0"/>
    <xf numFmtId="0" fontId="22" fillId="0" borderId="0"/>
    <xf numFmtId="0" fontId="23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8" fillId="0" borderId="0"/>
    <xf numFmtId="0" fontId="7" fillId="0" borderId="0"/>
    <xf numFmtId="0" fontId="6" fillId="0" borderId="0"/>
    <xf numFmtId="0" fontId="40" fillId="0" borderId="0"/>
    <xf numFmtId="0" fontId="5" fillId="0" borderId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92" fillId="11" borderId="0" applyNumberFormat="0" applyBorder="0" applyAlignment="0" applyProtection="0"/>
    <xf numFmtId="0" fontId="10" fillId="0" borderId="0"/>
    <xf numFmtId="0" fontId="22" fillId="0" borderId="0"/>
    <xf numFmtId="0" fontId="23" fillId="0" borderId="0"/>
    <xf numFmtId="0" fontId="10" fillId="0" borderId="0"/>
    <xf numFmtId="0" fontId="3" fillId="0" borderId="0"/>
    <xf numFmtId="0" fontId="40" fillId="0" borderId="0"/>
  </cellStyleXfs>
  <cellXfs count="525">
    <xf numFmtId="0" fontId="0" fillId="0" borderId="0" xfId="0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8" fillId="0" borderId="0" xfId="0" applyFont="1"/>
    <xf numFmtId="0" fontId="23" fillId="0" borderId="0" xfId="5"/>
    <xf numFmtId="2" fontId="21" fillId="0" borderId="0" xfId="0" applyNumberFormat="1" applyFont="1"/>
    <xf numFmtId="2" fontId="21" fillId="0" borderId="0" xfId="0" applyNumberFormat="1" applyFont="1" applyAlignment="1">
      <alignment horizontal="center"/>
    </xf>
    <xf numFmtId="0" fontId="24" fillId="0" borderId="0" xfId="0" applyFont="1"/>
    <xf numFmtId="0" fontId="30" fillId="0" borderId="0" xfId="4" applyFont="1"/>
    <xf numFmtId="0" fontId="28" fillId="0" borderId="0" xfId="0" applyFont="1"/>
    <xf numFmtId="0" fontId="33" fillId="0" borderId="0" xfId="0" applyFont="1"/>
    <xf numFmtId="0" fontId="34" fillId="0" borderId="0" xfId="0" applyFont="1"/>
    <xf numFmtId="0" fontId="3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4" fillId="4" borderId="0" xfId="0" applyFont="1" applyFill="1"/>
    <xf numFmtId="0" fontId="49" fillId="4" borderId="0" xfId="0" applyFont="1" applyFill="1"/>
    <xf numFmtId="0" fontId="24" fillId="4" borderId="21" xfId="0" applyFont="1" applyFill="1" applyBorder="1"/>
    <xf numFmtId="0" fontId="27" fillId="4" borderId="0" xfId="0" applyFont="1" applyFill="1"/>
    <xf numFmtId="0" fontId="29" fillId="4" borderId="0" xfId="0" applyFont="1" applyFill="1"/>
    <xf numFmtId="0" fontId="43" fillId="4" borderId="0" xfId="0" applyFont="1" applyFill="1"/>
    <xf numFmtId="0" fontId="25" fillId="4" borderId="0" xfId="0" applyFont="1" applyFill="1"/>
    <xf numFmtId="0" fontId="24" fillId="4" borderId="0" xfId="0" applyFont="1" applyFill="1" applyAlignment="1">
      <alignment horizontal="left"/>
    </xf>
    <xf numFmtId="0" fontId="4" fillId="4" borderId="0" xfId="0" applyFont="1" applyFill="1"/>
    <xf numFmtId="0" fontId="44" fillId="4" borderId="0" xfId="0" applyFont="1" applyFill="1"/>
    <xf numFmtId="0" fontId="27" fillId="0" borderId="0" xfId="0" applyFont="1"/>
    <xf numFmtId="2" fontId="25" fillId="0" borderId="7" xfId="0" applyNumberFormat="1" applyFont="1" applyBorder="1" applyAlignment="1">
      <alignment horizontal="left"/>
    </xf>
    <xf numFmtId="4" fontId="50" fillId="4" borderId="0" xfId="0" quotePrefix="1" applyNumberFormat="1" applyFont="1" applyFill="1" applyAlignment="1">
      <alignment horizontal="center"/>
    </xf>
    <xf numFmtId="0" fontId="32" fillId="4" borderId="0" xfId="0" applyFont="1" applyFill="1"/>
    <xf numFmtId="4" fontId="51" fillId="4" borderId="0" xfId="0" quotePrefix="1" applyNumberFormat="1" applyFont="1" applyFill="1" applyAlignment="1">
      <alignment horizontal="center"/>
    </xf>
    <xf numFmtId="4" fontId="47" fillId="4" borderId="0" xfId="0" quotePrefix="1" applyNumberFormat="1" applyFont="1" applyFill="1" applyAlignment="1">
      <alignment horizontal="center"/>
    </xf>
    <xf numFmtId="0" fontId="52" fillId="0" borderId="0" xfId="0" applyFont="1"/>
    <xf numFmtId="4" fontId="44" fillId="4" borderId="3" xfId="5" applyNumberFormat="1" applyFont="1" applyFill="1" applyBorder="1" applyAlignment="1">
      <alignment horizontal="center" vertical="center"/>
    </xf>
    <xf numFmtId="2" fontId="44" fillId="4" borderId="3" xfId="5" applyNumberFormat="1" applyFont="1" applyFill="1" applyBorder="1" applyAlignment="1">
      <alignment horizontal="center" vertical="center"/>
    </xf>
    <xf numFmtId="2" fontId="44" fillId="4" borderId="5" xfId="5" applyNumberFormat="1" applyFont="1" applyFill="1" applyBorder="1" applyAlignment="1">
      <alignment horizontal="center" vertical="center"/>
    </xf>
    <xf numFmtId="2" fontId="32" fillId="4" borderId="3" xfId="5" applyNumberFormat="1" applyFont="1" applyFill="1" applyBorder="1" applyAlignment="1">
      <alignment horizontal="center" vertical="center"/>
    </xf>
    <xf numFmtId="2" fontId="32" fillId="4" borderId="3" xfId="5" quotePrefix="1" applyNumberFormat="1" applyFont="1" applyFill="1" applyBorder="1" applyAlignment="1">
      <alignment horizontal="center" vertical="center"/>
    </xf>
    <xf numFmtId="0" fontId="48" fillId="4" borderId="0" xfId="0" applyFont="1" applyFill="1"/>
    <xf numFmtId="2" fontId="58" fillId="4" borderId="23" xfId="7" applyNumberFormat="1" applyFont="1" applyFill="1" applyBorder="1" applyAlignment="1">
      <alignment horizontal="center"/>
    </xf>
    <xf numFmtId="2" fontId="58" fillId="4" borderId="24" xfId="7" applyNumberFormat="1" applyFont="1" applyFill="1" applyBorder="1" applyAlignment="1">
      <alignment horizontal="center"/>
    </xf>
    <xf numFmtId="4" fontId="27" fillId="0" borderId="28" xfId="0" applyNumberFormat="1" applyFont="1" applyBorder="1"/>
    <xf numFmtId="164" fontId="27" fillId="0" borderId="28" xfId="0" applyNumberFormat="1" applyFont="1" applyBorder="1" applyAlignment="1">
      <alignment horizontal="center"/>
    </xf>
    <xf numFmtId="4" fontId="27" fillId="4" borderId="28" xfId="0" applyNumberFormat="1" applyFont="1" applyFill="1" applyBorder="1"/>
    <xf numFmtId="3" fontId="27" fillId="4" borderId="0" xfId="0" applyNumberFormat="1" applyFont="1" applyFill="1"/>
    <xf numFmtId="4" fontId="27" fillId="4" borderId="0" xfId="0" applyNumberFormat="1" applyFont="1" applyFill="1"/>
    <xf numFmtId="164" fontId="27" fillId="4" borderId="0" xfId="0" applyNumberFormat="1" applyFont="1" applyFill="1" applyAlignment="1">
      <alignment horizontal="center"/>
    </xf>
    <xf numFmtId="3" fontId="27" fillId="4" borderId="29" xfId="0" applyNumberFormat="1" applyFont="1" applyFill="1" applyBorder="1"/>
    <xf numFmtId="3" fontId="27" fillId="4" borderId="31" xfId="0" applyNumberFormat="1" applyFont="1" applyFill="1" applyBorder="1"/>
    <xf numFmtId="164" fontId="27" fillId="0" borderId="32" xfId="0" applyNumberFormat="1" applyFont="1" applyBorder="1" applyAlignment="1">
      <alignment horizontal="center"/>
    </xf>
    <xf numFmtId="3" fontId="27" fillId="4" borderId="33" xfId="0" applyNumberFormat="1" applyFont="1" applyFill="1" applyBorder="1"/>
    <xf numFmtId="164" fontId="27" fillId="0" borderId="35" xfId="0" applyNumberFormat="1" applyFont="1" applyBorder="1" applyAlignment="1">
      <alignment horizontal="center"/>
    </xf>
    <xf numFmtId="0" fontId="10" fillId="0" borderId="0" xfId="15"/>
    <xf numFmtId="0" fontId="0" fillId="0" borderId="0" xfId="15" applyFont="1"/>
    <xf numFmtId="0" fontId="10" fillId="0" borderId="0" xfId="15" applyAlignment="1">
      <alignment vertical="top"/>
    </xf>
    <xf numFmtId="0" fontId="36" fillId="0" borderId="0" xfId="15" applyFont="1" applyAlignment="1">
      <alignment horizontal="right" vertical="center"/>
    </xf>
    <xf numFmtId="0" fontId="61" fillId="0" borderId="0" xfId="0" applyFont="1"/>
    <xf numFmtId="2" fontId="62" fillId="0" borderId="0" xfId="15" applyNumberFormat="1" applyFont="1" applyAlignment="1">
      <alignment vertical="top"/>
    </xf>
    <xf numFmtId="0" fontId="60" fillId="0" borderId="0" xfId="0" applyFont="1" applyAlignment="1">
      <alignment vertical="top"/>
    </xf>
    <xf numFmtId="0" fontId="0" fillId="0" borderId="0" xfId="0" applyAlignment="1">
      <alignment vertical="top"/>
    </xf>
    <xf numFmtId="2" fontId="62" fillId="0" borderId="36" xfId="15" quotePrefix="1" applyNumberFormat="1" applyFont="1" applyBorder="1" applyAlignment="1">
      <alignment vertical="top"/>
    </xf>
    <xf numFmtId="2" fontId="63" fillId="0" borderId="36" xfId="15" applyNumberFormat="1" applyFont="1" applyBorder="1" applyAlignment="1">
      <alignment vertical="top"/>
    </xf>
    <xf numFmtId="2" fontId="64" fillId="0" borderId="36" xfId="15" applyNumberFormat="1" applyFont="1" applyBorder="1" applyAlignment="1">
      <alignment vertical="top"/>
    </xf>
    <xf numFmtId="0" fontId="65" fillId="0" borderId="36" xfId="15" applyFont="1" applyBorder="1" applyAlignment="1">
      <alignment vertical="top"/>
    </xf>
    <xf numFmtId="2" fontId="66" fillId="0" borderId="36" xfId="15" applyNumberFormat="1" applyFont="1" applyBorder="1" applyAlignment="1">
      <alignment vertical="top"/>
    </xf>
    <xf numFmtId="0" fontId="60" fillId="0" borderId="36" xfId="0" applyFont="1" applyBorder="1" applyAlignment="1">
      <alignment vertical="top"/>
    </xf>
    <xf numFmtId="0" fontId="67" fillId="0" borderId="36" xfId="0" applyFont="1" applyBorder="1" applyAlignment="1">
      <alignment vertical="top"/>
    </xf>
    <xf numFmtId="0" fontId="10" fillId="0" borderId="36" xfId="15" applyBorder="1" applyAlignment="1">
      <alignment vertical="top"/>
    </xf>
    <xf numFmtId="0" fontId="0" fillId="0" borderId="36" xfId="0" applyBorder="1" applyAlignment="1">
      <alignment vertical="top"/>
    </xf>
    <xf numFmtId="2" fontId="68" fillId="0" borderId="0" xfId="15" applyNumberFormat="1" applyFont="1" applyAlignment="1">
      <alignment vertical="center"/>
    </xf>
    <xf numFmtId="2" fontId="63" fillId="0" borderId="0" xfId="15" applyNumberFormat="1" applyFont="1" applyAlignment="1">
      <alignment horizontal="right" vertical="center"/>
    </xf>
    <xf numFmtId="2" fontId="64" fillId="0" borderId="0" xfId="15" applyNumberFormat="1" applyFont="1" applyAlignment="1">
      <alignment vertical="center"/>
    </xf>
    <xf numFmtId="0" fontId="65" fillId="0" borderId="0" xfId="15" applyFont="1"/>
    <xf numFmtId="0" fontId="60" fillId="0" borderId="0" xfId="0" applyFont="1"/>
    <xf numFmtId="0" fontId="66" fillId="0" borderId="0" xfId="1" applyFont="1" applyFill="1" applyBorder="1" applyAlignment="1" applyProtection="1">
      <alignment horizontal="right" vertical="top"/>
    </xf>
    <xf numFmtId="0" fontId="69" fillId="0" borderId="0" xfId="15" applyFont="1"/>
    <xf numFmtId="0" fontId="28" fillId="0" borderId="0" xfId="15" applyFont="1"/>
    <xf numFmtId="2" fontId="71" fillId="0" borderId="36" xfId="15" quotePrefix="1" applyNumberFormat="1" applyFont="1" applyBorder="1" applyAlignment="1">
      <alignment vertical="top"/>
    </xf>
    <xf numFmtId="3" fontId="28" fillId="0" borderId="31" xfId="0" applyNumberFormat="1" applyFont="1" applyBorder="1"/>
    <xf numFmtId="164" fontId="27" fillId="0" borderId="34" xfId="0" applyNumberFormat="1" applyFont="1" applyBorder="1" applyAlignment="1">
      <alignment horizontal="center"/>
    </xf>
    <xf numFmtId="0" fontId="72" fillId="3" borderId="0" xfId="3" applyFont="1" applyFill="1"/>
    <xf numFmtId="0" fontId="72" fillId="3" borderId="38" xfId="3" applyFont="1" applyFill="1" applyBorder="1" applyAlignment="1">
      <alignment vertical="top"/>
    </xf>
    <xf numFmtId="0" fontId="72" fillId="3" borderId="39" xfId="3" applyFont="1" applyFill="1" applyBorder="1"/>
    <xf numFmtId="0" fontId="72" fillId="3" borderId="40" xfId="3" applyFont="1" applyFill="1" applyBorder="1" applyAlignment="1">
      <alignment vertical="top"/>
    </xf>
    <xf numFmtId="0" fontId="73" fillId="3" borderId="49" xfId="3" applyFont="1" applyFill="1" applyBorder="1" applyAlignment="1">
      <alignment horizontal="center" vertical="top"/>
    </xf>
    <xf numFmtId="0" fontId="73" fillId="3" borderId="50" xfId="3" applyFont="1" applyFill="1" applyBorder="1" applyAlignment="1">
      <alignment horizontal="center" vertical="top"/>
    </xf>
    <xf numFmtId="2" fontId="54" fillId="0" borderId="0" xfId="3" applyNumberFormat="1" applyFont="1" applyAlignment="1">
      <alignment horizontal="center" vertical="top"/>
    </xf>
    <xf numFmtId="164" fontId="55" fillId="0" borderId="0" xfId="3" applyNumberFormat="1" applyFont="1" applyAlignment="1">
      <alignment horizontal="center" vertical="top"/>
    </xf>
    <xf numFmtId="4" fontId="27" fillId="0" borderId="54" xfId="0" applyNumberFormat="1" applyFont="1" applyBorder="1"/>
    <xf numFmtId="4" fontId="27" fillId="4" borderId="54" xfId="0" applyNumberFormat="1" applyFont="1" applyFill="1" applyBorder="1"/>
    <xf numFmtId="164" fontId="27" fillId="0" borderId="54" xfId="0" applyNumberFormat="1" applyFont="1" applyBorder="1" applyAlignment="1">
      <alignment horizontal="center"/>
    </xf>
    <xf numFmtId="164" fontId="27" fillId="0" borderId="55" xfId="0" applyNumberFormat="1" applyFont="1" applyBorder="1" applyAlignment="1">
      <alignment horizontal="center"/>
    </xf>
    <xf numFmtId="3" fontId="28" fillId="0" borderId="56" xfId="0" applyNumberFormat="1" applyFont="1" applyBorder="1"/>
    <xf numFmtId="0" fontId="56" fillId="0" borderId="57" xfId="3" applyFont="1" applyBorder="1" applyAlignment="1">
      <alignment horizontal="left" vertical="top"/>
    </xf>
    <xf numFmtId="2" fontId="54" fillId="0" borderId="57" xfId="3" applyNumberFormat="1" applyFont="1" applyBorder="1" applyAlignment="1">
      <alignment horizontal="center" vertical="top"/>
    </xf>
    <xf numFmtId="164" fontId="27" fillId="0" borderId="56" xfId="0" applyNumberFormat="1" applyFont="1" applyBorder="1" applyAlignment="1">
      <alignment horizontal="center"/>
    </xf>
    <xf numFmtId="164" fontId="27" fillId="0" borderId="31" xfId="0" applyNumberFormat="1" applyFont="1" applyBorder="1" applyAlignment="1">
      <alignment horizontal="center"/>
    </xf>
    <xf numFmtId="4" fontId="27" fillId="0" borderId="65" xfId="0" applyNumberFormat="1" applyFont="1" applyBorder="1"/>
    <xf numFmtId="4" fontId="27" fillId="0" borderId="66" xfId="0" applyNumberFormat="1" applyFont="1" applyBorder="1"/>
    <xf numFmtId="164" fontId="27" fillId="0" borderId="67" xfId="0" applyNumberFormat="1" applyFont="1" applyBorder="1" applyAlignment="1">
      <alignment horizontal="center"/>
    </xf>
    <xf numFmtId="164" fontId="27" fillId="0" borderId="69" xfId="0" applyNumberFormat="1" applyFont="1" applyBorder="1" applyAlignment="1">
      <alignment horizontal="center"/>
    </xf>
    <xf numFmtId="0" fontId="70" fillId="0" borderId="57" xfId="3" applyFont="1" applyBorder="1"/>
    <xf numFmtId="165" fontId="72" fillId="3" borderId="0" xfId="3" applyNumberFormat="1" applyFont="1" applyFill="1" applyAlignment="1">
      <alignment horizontal="center" vertical="center"/>
    </xf>
    <xf numFmtId="165" fontId="72" fillId="3" borderId="39" xfId="3" applyNumberFormat="1" applyFont="1" applyFill="1" applyBorder="1" applyAlignment="1">
      <alignment horizontal="center" vertical="center"/>
    </xf>
    <xf numFmtId="14" fontId="72" fillId="3" borderId="45" xfId="2" applyNumberFormat="1" applyFont="1" applyFill="1" applyBorder="1" applyAlignment="1">
      <alignment horizontal="centerContinuous"/>
    </xf>
    <xf numFmtId="2" fontId="72" fillId="3" borderId="16" xfId="2" applyNumberFormat="1" applyFont="1" applyFill="1" applyBorder="1" applyAlignment="1">
      <alignment horizontal="centerContinuous"/>
    </xf>
    <xf numFmtId="2" fontId="74" fillId="3" borderId="38" xfId="2" applyNumberFormat="1" applyFont="1" applyFill="1" applyBorder="1" applyAlignment="1">
      <alignment horizontal="centerContinuous"/>
    </xf>
    <xf numFmtId="2" fontId="74" fillId="3" borderId="43" xfId="2" applyNumberFormat="1" applyFont="1" applyFill="1" applyBorder="1" applyAlignment="1">
      <alignment horizontal="centerContinuous"/>
    </xf>
    <xf numFmtId="2" fontId="25" fillId="0" borderId="0" xfId="0" applyNumberFormat="1" applyFont="1"/>
    <xf numFmtId="2" fontId="25" fillId="4" borderId="0" xfId="0" applyNumberFormat="1" applyFont="1" applyFill="1"/>
    <xf numFmtId="2" fontId="25" fillId="0" borderId="72" xfId="0" applyNumberFormat="1" applyFont="1" applyBorder="1" applyAlignment="1">
      <alignment horizontal="left"/>
    </xf>
    <xf numFmtId="2" fontId="74" fillId="3" borderId="44" xfId="2" applyNumberFormat="1" applyFont="1" applyFill="1" applyBorder="1" applyAlignment="1">
      <alignment horizontal="centerContinuous"/>
    </xf>
    <xf numFmtId="2" fontId="72" fillId="3" borderId="75" xfId="2" applyNumberFormat="1" applyFont="1" applyFill="1" applyBorder="1" applyAlignment="1">
      <alignment horizontal="centerContinuous"/>
    </xf>
    <xf numFmtId="4" fontId="27" fillId="4" borderId="76" xfId="0" applyNumberFormat="1" applyFont="1" applyFill="1" applyBorder="1"/>
    <xf numFmtId="4" fontId="27" fillId="4" borderId="77" xfId="0" applyNumberFormat="1" applyFont="1" applyFill="1" applyBorder="1"/>
    <xf numFmtId="2" fontId="27" fillId="0" borderId="73" xfId="0" applyNumberFormat="1" applyFont="1" applyBorder="1"/>
    <xf numFmtId="2" fontId="27" fillId="0" borderId="74" xfId="0" applyNumberFormat="1" applyFont="1" applyBorder="1"/>
    <xf numFmtId="2" fontId="27" fillId="0" borderId="0" xfId="0" applyNumberFormat="1" applyFont="1"/>
    <xf numFmtId="14" fontId="74" fillId="3" borderId="70" xfId="2" applyNumberFormat="1" applyFont="1" applyFill="1" applyBorder="1" applyAlignment="1">
      <alignment horizontal="centerContinuous"/>
    </xf>
    <xf numFmtId="14" fontId="74" fillId="3" borderId="46" xfId="2" applyNumberFormat="1" applyFont="1" applyFill="1" applyBorder="1" applyAlignment="1">
      <alignment horizontal="centerContinuous"/>
    </xf>
    <xf numFmtId="14" fontId="72" fillId="3" borderId="47" xfId="2" applyNumberFormat="1" applyFont="1" applyFill="1" applyBorder="1" applyAlignment="1">
      <alignment horizontal="centerContinuous"/>
    </xf>
    <xf numFmtId="2" fontId="25" fillId="0" borderId="0" xfId="0" applyNumberFormat="1" applyFont="1" applyAlignment="1">
      <alignment horizontal="left"/>
    </xf>
    <xf numFmtId="2" fontId="36" fillId="0" borderId="0" xfId="2" applyNumberFormat="1" applyFont="1"/>
    <xf numFmtId="2" fontId="27" fillId="0" borderId="81" xfId="0" applyNumberFormat="1" applyFont="1" applyBorder="1"/>
    <xf numFmtId="4" fontId="27" fillId="4" borderId="82" xfId="0" applyNumberFormat="1" applyFont="1" applyFill="1" applyBorder="1"/>
    <xf numFmtId="4" fontId="27" fillId="4" borderId="83" xfId="0" applyNumberFormat="1" applyFont="1" applyFill="1" applyBorder="1"/>
    <xf numFmtId="2" fontId="25" fillId="0" borderId="53" xfId="0" applyNumberFormat="1" applyFont="1" applyBorder="1"/>
    <xf numFmtId="2" fontId="36" fillId="4" borderId="53" xfId="2" applyNumberFormat="1" applyFont="1" applyFill="1" applyBorder="1"/>
    <xf numFmtId="14" fontId="74" fillId="3" borderId="84" xfId="0" applyNumberFormat="1" applyFont="1" applyFill="1" applyBorder="1" applyAlignment="1">
      <alignment horizontal="center" vertical="center" wrapText="1"/>
    </xf>
    <xf numFmtId="4" fontId="27" fillId="8" borderId="28" xfId="0" applyNumberFormat="1" applyFont="1" applyFill="1" applyBorder="1" applyAlignment="1">
      <alignment horizontal="right"/>
    </xf>
    <xf numFmtId="4" fontId="27" fillId="9" borderId="28" xfId="0" applyNumberFormat="1" applyFont="1" applyFill="1" applyBorder="1" applyAlignment="1">
      <alignment horizontal="right"/>
    </xf>
    <xf numFmtId="4" fontId="27" fillId="4" borderId="28" xfId="0" applyNumberFormat="1" applyFont="1" applyFill="1" applyBorder="1" applyAlignment="1">
      <alignment horizontal="right"/>
    </xf>
    <xf numFmtId="4" fontId="27" fillId="0" borderId="28" xfId="0" applyNumberFormat="1" applyFont="1" applyBorder="1" applyAlignment="1">
      <alignment horizontal="right"/>
    </xf>
    <xf numFmtId="4" fontId="27" fillId="8" borderId="34" xfId="0" applyNumberFormat="1" applyFont="1" applyFill="1" applyBorder="1" applyAlignment="1">
      <alignment horizontal="right"/>
    </xf>
    <xf numFmtId="4" fontId="27" fillId="9" borderId="34" xfId="0" applyNumberFormat="1" applyFont="1" applyFill="1" applyBorder="1" applyAlignment="1">
      <alignment horizontal="right"/>
    </xf>
    <xf numFmtId="4" fontId="27" fillId="4" borderId="34" xfId="0" applyNumberFormat="1" applyFont="1" applyFill="1" applyBorder="1" applyAlignment="1">
      <alignment horizontal="right"/>
    </xf>
    <xf numFmtId="4" fontId="27" fillId="0" borderId="34" xfId="0" applyNumberFormat="1" applyFont="1" applyBorder="1" applyAlignment="1">
      <alignment horizontal="right"/>
    </xf>
    <xf numFmtId="4" fontId="27" fillId="0" borderId="67" xfId="0" applyNumberFormat="1" applyFont="1" applyBorder="1" applyAlignment="1">
      <alignment horizontal="right"/>
    </xf>
    <xf numFmtId="3" fontId="27" fillId="4" borderId="68" xfId="0" applyNumberFormat="1" applyFont="1" applyFill="1" applyBorder="1"/>
    <xf numFmtId="4" fontId="27" fillId="8" borderId="67" xfId="0" applyNumberFormat="1" applyFont="1" applyFill="1" applyBorder="1" applyAlignment="1">
      <alignment horizontal="right"/>
    </xf>
    <xf numFmtId="4" fontId="27" fillId="9" borderId="67" xfId="0" applyNumberFormat="1" applyFont="1" applyFill="1" applyBorder="1" applyAlignment="1">
      <alignment horizontal="right"/>
    </xf>
    <xf numFmtId="4" fontId="27" fillId="4" borderId="67" xfId="0" applyNumberFormat="1" applyFont="1" applyFill="1" applyBorder="1" applyAlignment="1">
      <alignment horizontal="right"/>
    </xf>
    <xf numFmtId="2" fontId="62" fillId="0" borderId="0" xfId="15" quotePrefix="1" applyNumberFormat="1" applyFont="1" applyAlignment="1">
      <alignment vertical="top"/>
    </xf>
    <xf numFmtId="14" fontId="74" fillId="3" borderId="85" xfId="0" applyNumberFormat="1" applyFont="1" applyFill="1" applyBorder="1" applyAlignment="1">
      <alignment horizontal="center" vertical="center" wrapText="1"/>
    </xf>
    <xf numFmtId="0" fontId="65" fillId="0" borderId="37" xfId="15" applyFont="1" applyBorder="1"/>
    <xf numFmtId="0" fontId="60" fillId="0" borderId="37" xfId="0" applyFont="1" applyBorder="1"/>
    <xf numFmtId="3" fontId="28" fillId="4" borderId="68" xfId="0" applyNumberFormat="1" applyFont="1" applyFill="1" applyBorder="1"/>
    <xf numFmtId="3" fontId="28" fillId="4" borderId="31" xfId="0" applyNumberFormat="1" applyFont="1" applyFill="1" applyBorder="1"/>
    <xf numFmtId="3" fontId="28" fillId="4" borderId="33" xfId="0" applyNumberFormat="1" applyFont="1" applyFill="1" applyBorder="1"/>
    <xf numFmtId="4" fontId="27" fillId="4" borderId="32" xfId="0" applyNumberFormat="1" applyFont="1" applyFill="1" applyBorder="1" applyAlignment="1">
      <alignment horizontal="right"/>
    </xf>
    <xf numFmtId="4" fontId="27" fillId="4" borderId="35" xfId="0" applyNumberFormat="1" applyFont="1" applyFill="1" applyBorder="1" applyAlignment="1">
      <alignment horizontal="right"/>
    </xf>
    <xf numFmtId="0" fontId="75" fillId="3" borderId="50" xfId="13" applyFont="1" applyFill="1" applyBorder="1" applyAlignment="1">
      <alignment horizontal="center" vertical="center" wrapText="1" readingOrder="1"/>
    </xf>
    <xf numFmtId="164" fontId="27" fillId="0" borderId="86" xfId="0" applyNumberFormat="1" applyFont="1" applyBorder="1" applyAlignment="1">
      <alignment horizontal="center"/>
    </xf>
    <xf numFmtId="164" fontId="27" fillId="0" borderId="87" xfId="0" applyNumberFormat="1" applyFont="1" applyBorder="1" applyAlignment="1">
      <alignment horizontal="center"/>
    </xf>
    <xf numFmtId="4" fontId="27" fillId="4" borderId="69" xfId="0" applyNumberFormat="1" applyFont="1" applyFill="1" applyBorder="1" applyAlignment="1">
      <alignment horizontal="right"/>
    </xf>
    <xf numFmtId="164" fontId="27" fillId="0" borderId="88" xfId="0" applyNumberFormat="1" applyFont="1" applyBorder="1" applyAlignment="1">
      <alignment horizontal="center"/>
    </xf>
    <xf numFmtId="0" fontId="72" fillId="3" borderId="49" xfId="13" applyFont="1" applyFill="1" applyBorder="1" applyAlignment="1">
      <alignment horizontal="center" vertical="center" wrapText="1" readingOrder="1"/>
    </xf>
    <xf numFmtId="14" fontId="74" fillId="3" borderId="89" xfId="0" applyNumberFormat="1" applyFont="1" applyFill="1" applyBorder="1" applyAlignment="1">
      <alignment horizontal="center" vertical="center" wrapText="1"/>
    </xf>
    <xf numFmtId="14" fontId="74" fillId="3" borderId="50" xfId="0" applyNumberFormat="1" applyFont="1" applyFill="1" applyBorder="1" applyAlignment="1">
      <alignment horizontal="center" vertical="center" wrapText="1"/>
    </xf>
    <xf numFmtId="14" fontId="74" fillId="3" borderId="90" xfId="0" applyNumberFormat="1" applyFont="1" applyFill="1" applyBorder="1" applyAlignment="1">
      <alignment horizontal="center" vertical="center" wrapText="1"/>
    </xf>
    <xf numFmtId="4" fontId="27" fillId="8" borderId="91" xfId="0" applyNumberFormat="1" applyFont="1" applyFill="1" applyBorder="1" applyAlignment="1">
      <alignment horizontal="right"/>
    </xf>
    <xf numFmtId="4" fontId="27" fillId="8" borderId="92" xfId="0" applyNumberFormat="1" applyFont="1" applyFill="1" applyBorder="1" applyAlignment="1">
      <alignment horizontal="right"/>
    </xf>
    <xf numFmtId="0" fontId="74" fillId="3" borderId="40" xfId="3" applyFont="1" applyFill="1" applyBorder="1" applyAlignment="1">
      <alignment horizontal="centerContinuous"/>
    </xf>
    <xf numFmtId="0" fontId="74" fillId="3" borderId="38" xfId="0" applyFont="1" applyFill="1" applyBorder="1" applyAlignment="1">
      <alignment horizontal="centerContinuous"/>
    </xf>
    <xf numFmtId="0" fontId="74" fillId="3" borderId="38" xfId="3" applyFont="1" applyFill="1" applyBorder="1" applyAlignment="1">
      <alignment horizontal="centerContinuous"/>
    </xf>
    <xf numFmtId="0" fontId="74" fillId="3" borderId="61" xfId="3" applyFont="1" applyFill="1" applyBorder="1" applyAlignment="1">
      <alignment horizontal="centerContinuous"/>
    </xf>
    <xf numFmtId="0" fontId="76" fillId="3" borderId="38" xfId="0" applyFont="1" applyFill="1" applyBorder="1"/>
    <xf numFmtId="0" fontId="77" fillId="3" borderId="51" xfId="3" applyFont="1" applyFill="1" applyBorder="1" applyAlignment="1">
      <alignment horizontal="center" vertical="top"/>
    </xf>
    <xf numFmtId="0" fontId="77" fillId="3" borderId="52" xfId="3" applyFont="1" applyFill="1" applyBorder="1" applyAlignment="1">
      <alignment horizontal="center" vertical="top"/>
    </xf>
    <xf numFmtId="0" fontId="77" fillId="3" borderId="50" xfId="3" applyFont="1" applyFill="1" applyBorder="1" applyAlignment="1">
      <alignment horizontal="center" vertical="top"/>
    </xf>
    <xf numFmtId="0" fontId="77" fillId="3" borderId="64" xfId="3" applyFont="1" applyFill="1" applyBorder="1" applyAlignment="1">
      <alignment horizontal="center" vertical="top"/>
    </xf>
    <xf numFmtId="0" fontId="77" fillId="3" borderId="60" xfId="3" applyFont="1" applyFill="1" applyBorder="1" applyAlignment="1">
      <alignment horizontal="center" vertical="top"/>
    </xf>
    <xf numFmtId="0" fontId="78" fillId="0" borderId="0" xfId="0" applyFont="1" applyAlignment="1">
      <alignment horizontal="center"/>
    </xf>
    <xf numFmtId="0" fontId="79" fillId="0" borderId="0" xfId="0" applyFont="1"/>
    <xf numFmtId="0" fontId="2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41" fillId="0" borderId="0" xfId="0" applyFont="1"/>
    <xf numFmtId="0" fontId="30" fillId="0" borderId="0" xfId="6" applyFont="1" applyAlignment="1">
      <alignment horizontal="center"/>
    </xf>
    <xf numFmtId="0" fontId="80" fillId="0" borderId="0" xfId="6" applyFont="1" applyAlignment="1">
      <alignment horizontal="left"/>
    </xf>
    <xf numFmtId="0" fontId="81" fillId="0" borderId="0" xfId="0" applyFont="1" applyAlignment="1">
      <alignment horizontal="center"/>
    </xf>
    <xf numFmtId="0" fontId="82" fillId="0" borderId="0" xfId="6" applyFont="1" applyAlignment="1">
      <alignment horizontal="left"/>
    </xf>
    <xf numFmtId="0" fontId="83" fillId="0" borderId="0" xfId="6" applyFont="1" applyAlignment="1">
      <alignment horizontal="left"/>
    </xf>
    <xf numFmtId="0" fontId="84" fillId="0" borderId="0" xfId="6" applyFont="1"/>
    <xf numFmtId="0" fontId="25" fillId="0" borderId="0" xfId="6" applyFont="1"/>
    <xf numFmtId="0" fontId="85" fillId="0" borderId="0" xfId="6" applyFont="1"/>
    <xf numFmtId="0" fontId="86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88" fillId="0" borderId="0" xfId="0" applyFont="1" applyAlignment="1">
      <alignment horizontal="right"/>
    </xf>
    <xf numFmtId="0" fontId="48" fillId="0" borderId="0" xfId="0" applyFont="1" applyAlignment="1">
      <alignment vertical="center"/>
    </xf>
    <xf numFmtId="0" fontId="66" fillId="0" borderId="0" xfId="0" applyFont="1"/>
    <xf numFmtId="0" fontId="0" fillId="4" borderId="0" xfId="0" applyFill="1"/>
    <xf numFmtId="0" fontId="25" fillId="0" borderId="0" xfId="0" applyFont="1"/>
    <xf numFmtId="0" fontId="36" fillId="0" borderId="0" xfId="0" applyFont="1"/>
    <xf numFmtId="0" fontId="28" fillId="0" borderId="0" xfId="0" applyFont="1" applyAlignment="1">
      <alignment horizontal="justify" vertical="center"/>
    </xf>
    <xf numFmtId="0" fontId="89" fillId="0" borderId="0" xfId="0" applyFont="1"/>
    <xf numFmtId="0" fontId="17" fillId="0" borderId="0" xfId="0" applyFont="1" applyAlignment="1">
      <alignment horizontal="justify" vertical="center"/>
    </xf>
    <xf numFmtId="0" fontId="36" fillId="0" borderId="0" xfId="16" applyFont="1" applyFill="1" applyAlignment="1" applyProtection="1">
      <alignment horizontal="left" vertical="center"/>
    </xf>
    <xf numFmtId="2" fontId="64" fillId="0" borderId="0" xfId="15" applyNumberFormat="1" applyFont="1" applyAlignment="1">
      <alignment vertical="top"/>
    </xf>
    <xf numFmtId="2" fontId="90" fillId="0" borderId="0" xfId="15" applyNumberFormat="1" applyFont="1" applyAlignment="1">
      <alignment vertical="center"/>
    </xf>
    <xf numFmtId="2" fontId="66" fillId="0" borderId="0" xfId="15" applyNumberFormat="1" applyFont="1" applyAlignment="1">
      <alignment horizontal="left" vertical="center"/>
    </xf>
    <xf numFmtId="0" fontId="66" fillId="0" borderId="37" xfId="16" applyFont="1" applyFill="1" applyBorder="1" applyAlignment="1" applyProtection="1">
      <alignment horizontal="right" vertical="top"/>
    </xf>
    <xf numFmtId="0" fontId="91" fillId="0" borderId="0" xfId="0" applyFont="1"/>
    <xf numFmtId="0" fontId="91" fillId="3" borderId="0" xfId="0" applyFont="1" applyFill="1"/>
    <xf numFmtId="0" fontId="28" fillId="3" borderId="0" xfId="0" applyFont="1" applyFill="1"/>
    <xf numFmtId="0" fontId="28" fillId="0" borderId="16" xfId="0" applyFont="1" applyBorder="1"/>
    <xf numFmtId="0" fontId="28" fillId="3" borderId="16" xfId="0" applyFont="1" applyFill="1" applyBorder="1"/>
    <xf numFmtId="0" fontId="26" fillId="10" borderId="0" xfId="0" applyFont="1" applyFill="1" applyAlignment="1">
      <alignment horizontal="center"/>
    </xf>
    <xf numFmtId="0" fontId="31" fillId="10" borderId="0" xfId="0" applyFont="1" applyFill="1" applyAlignment="1">
      <alignment horizontal="center"/>
    </xf>
    <xf numFmtId="0" fontId="31" fillId="10" borderId="16" xfId="0" applyFont="1" applyFill="1" applyBorder="1" applyAlignment="1">
      <alignment horizontal="center"/>
    </xf>
    <xf numFmtId="0" fontId="26" fillId="10" borderId="16" xfId="0" applyFont="1" applyFill="1" applyBorder="1"/>
    <xf numFmtId="0" fontId="31" fillId="10" borderId="0" xfId="0" applyFont="1" applyFill="1"/>
    <xf numFmtId="2" fontId="28" fillId="0" borderId="71" xfId="0" applyNumberFormat="1" applyFont="1" applyBorder="1" applyAlignment="1">
      <alignment horizontal="left"/>
    </xf>
    <xf numFmtId="2" fontId="28" fillId="0" borderId="21" xfId="0" applyNumberFormat="1" applyFont="1" applyBorder="1" applyAlignment="1">
      <alignment horizontal="left"/>
    </xf>
    <xf numFmtId="2" fontId="26" fillId="0" borderId="0" xfId="2" applyNumberFormat="1" applyFont="1"/>
    <xf numFmtId="2" fontId="26" fillId="0" borderId="0" xfId="0" applyNumberFormat="1" applyFont="1"/>
    <xf numFmtId="2" fontId="28" fillId="0" borderId="53" xfId="0" applyNumberFormat="1" applyFont="1" applyBorder="1" applyAlignment="1">
      <alignment horizontal="left"/>
    </xf>
    <xf numFmtId="2" fontId="26" fillId="0" borderId="80" xfId="0" applyNumberFormat="1" applyFont="1" applyBorder="1" applyAlignment="1">
      <alignment horizontal="left"/>
    </xf>
    <xf numFmtId="2" fontId="26" fillId="0" borderId="53" xfId="0" applyNumberFormat="1" applyFont="1" applyBorder="1" applyAlignment="1">
      <alignment horizontal="left"/>
    </xf>
    <xf numFmtId="2" fontId="28" fillId="0" borderId="72" xfId="0" applyNumberFormat="1" applyFont="1" applyBorder="1" applyAlignment="1">
      <alignment horizontal="left"/>
    </xf>
    <xf numFmtId="2" fontId="28" fillId="0" borderId="7" xfId="0" applyNumberFormat="1" applyFont="1" applyBorder="1" applyAlignment="1">
      <alignment horizontal="left"/>
    </xf>
    <xf numFmtId="2" fontId="26" fillId="0" borderId="72" xfId="0" applyNumberFormat="1" applyFont="1" applyBorder="1" applyAlignment="1">
      <alignment horizontal="left"/>
    </xf>
    <xf numFmtId="2" fontId="26" fillId="0" borderId="7" xfId="0" applyNumberFormat="1" applyFont="1" applyBorder="1" applyAlignment="1">
      <alignment horizontal="left"/>
    </xf>
    <xf numFmtId="4" fontId="44" fillId="4" borderId="5" xfId="5" applyNumberFormat="1" applyFont="1" applyFill="1" applyBorder="1" applyAlignment="1">
      <alignment horizontal="center" vertical="center"/>
    </xf>
    <xf numFmtId="0" fontId="44" fillId="4" borderId="16" xfId="5" applyFont="1" applyFill="1" applyBorder="1"/>
    <xf numFmtId="2" fontId="32" fillId="4" borderId="5" xfId="5" applyNumberFormat="1" applyFont="1" applyFill="1" applyBorder="1" applyAlignment="1">
      <alignment horizontal="center" vertical="center"/>
    </xf>
    <xf numFmtId="2" fontId="32" fillId="4" borderId="5" xfId="5" quotePrefix="1" applyNumberFormat="1" applyFont="1" applyFill="1" applyBorder="1" applyAlignment="1">
      <alignment horizontal="center" vertical="center"/>
    </xf>
    <xf numFmtId="2" fontId="50" fillId="4" borderId="94" xfId="5" quotePrefix="1" applyNumberFormat="1" applyFont="1" applyFill="1" applyBorder="1" applyAlignment="1">
      <alignment horizontal="center" vertical="center"/>
    </xf>
    <xf numFmtId="0" fontId="44" fillId="4" borderId="0" xfId="5" applyFont="1" applyFill="1"/>
    <xf numFmtId="2" fontId="64" fillId="0" borderId="36" xfId="15" applyNumberFormat="1" applyFont="1" applyBorder="1" applyAlignment="1">
      <alignment vertical="center"/>
    </xf>
    <xf numFmtId="2" fontId="63" fillId="0" borderId="36" xfId="15" applyNumberFormat="1" applyFont="1" applyBorder="1" applyAlignment="1">
      <alignment horizontal="right" vertical="center"/>
    </xf>
    <xf numFmtId="0" fontId="65" fillId="0" borderId="36" xfId="15" applyFont="1" applyBorder="1"/>
    <xf numFmtId="2" fontId="66" fillId="0" borderId="36" xfId="15" applyNumberFormat="1" applyFont="1" applyBorder="1" applyAlignment="1">
      <alignment horizontal="left" vertical="center"/>
    </xf>
    <xf numFmtId="0" fontId="60" fillId="0" borderId="36" xfId="0" applyFont="1" applyBorder="1"/>
    <xf numFmtId="0" fontId="67" fillId="0" borderId="36" xfId="0" applyFont="1" applyBorder="1"/>
    <xf numFmtId="0" fontId="10" fillId="0" borderId="36" xfId="15" applyBorder="1"/>
    <xf numFmtId="0" fontId="0" fillId="0" borderId="36" xfId="0" applyBorder="1"/>
    <xf numFmtId="0" fontId="66" fillId="0" borderId="36" xfId="0" applyFont="1" applyBorder="1" applyAlignment="1">
      <alignment horizontal="right"/>
    </xf>
    <xf numFmtId="0" fontId="0" fillId="0" borderId="37" xfId="0" applyBorder="1"/>
    <xf numFmtId="0" fontId="66" fillId="0" borderId="0" xfId="16" applyFont="1" applyFill="1" applyBorder="1" applyAlignment="1" applyProtection="1">
      <alignment horizontal="right" vertical="top"/>
    </xf>
    <xf numFmtId="0" fontId="24" fillId="0" borderId="0" xfId="15" applyFont="1"/>
    <xf numFmtId="0" fontId="24" fillId="0" borderId="0" xfId="15" quotePrefix="1" applyFont="1"/>
    <xf numFmtId="0" fontId="28" fillId="0" borderId="14" xfId="0" applyFont="1" applyBorder="1"/>
    <xf numFmtId="166" fontId="27" fillId="0" borderId="4" xfId="0" applyNumberFormat="1" applyFont="1" applyBorder="1"/>
    <xf numFmtId="166" fontId="27" fillId="6" borderId="4" xfId="0" applyNumberFormat="1" applyFont="1" applyFill="1" applyBorder="1"/>
    <xf numFmtId="166" fontId="27" fillId="6" borderId="14" xfId="0" applyNumberFormat="1" applyFont="1" applyFill="1" applyBorder="1"/>
    <xf numFmtId="0" fontId="26" fillId="3" borderId="2" xfId="0" applyFont="1" applyFill="1" applyBorder="1" applyAlignment="1">
      <alignment horizontal="centerContinuous" vertical="center"/>
    </xf>
    <xf numFmtId="0" fontId="26" fillId="3" borderId="10" xfId="0" applyFont="1" applyFill="1" applyBorder="1" applyAlignment="1">
      <alignment horizontal="centerContinuous" vertical="center"/>
    </xf>
    <xf numFmtId="0" fontId="28" fillId="3" borderId="3" xfId="0" applyFont="1" applyFill="1" applyBorder="1" applyAlignment="1">
      <alignment horizontal="centerContinuous" vertical="center"/>
    </xf>
    <xf numFmtId="0" fontId="28" fillId="3" borderId="12" xfId="0" applyFont="1" applyFill="1" applyBorder="1" applyAlignment="1">
      <alignment horizontal="centerContinuous" vertical="center"/>
    </xf>
    <xf numFmtId="0" fontId="36" fillId="3" borderId="9" xfId="0" applyFont="1" applyFill="1" applyBorder="1"/>
    <xf numFmtId="0" fontId="26" fillId="3" borderId="11" xfId="0" applyFont="1" applyFill="1" applyBorder="1" applyAlignment="1">
      <alignment horizontal="center"/>
    </xf>
    <xf numFmtId="0" fontId="24" fillId="3" borderId="13" xfId="0" applyFont="1" applyFill="1" applyBorder="1"/>
    <xf numFmtId="49" fontId="36" fillId="3" borderId="19" xfId="0" applyNumberFormat="1" applyFont="1" applyFill="1" applyBorder="1"/>
    <xf numFmtId="49" fontId="26" fillId="3" borderId="0" xfId="0" applyNumberFormat="1" applyFont="1" applyFill="1" applyAlignment="1">
      <alignment horizontal="center"/>
    </xf>
    <xf numFmtId="49" fontId="24" fillId="3" borderId="20" xfId="0" applyNumberFormat="1" applyFont="1" applyFill="1" applyBorder="1"/>
    <xf numFmtId="49" fontId="28" fillId="0" borderId="95" xfId="0" applyNumberFormat="1" applyFont="1" applyBorder="1"/>
    <xf numFmtId="0" fontId="26" fillId="3" borderId="22" xfId="0" applyFont="1" applyFill="1" applyBorder="1" applyAlignment="1">
      <alignment horizontal="centerContinuous" vertical="center"/>
    </xf>
    <xf numFmtId="0" fontId="28" fillId="3" borderId="5" xfId="0" applyFont="1" applyFill="1" applyBorder="1" applyAlignment="1">
      <alignment horizontal="centerContinuous" vertical="center"/>
    </xf>
    <xf numFmtId="166" fontId="27" fillId="6" borderId="96" xfId="0" applyNumberFormat="1" applyFont="1" applyFill="1" applyBorder="1"/>
    <xf numFmtId="14" fontId="74" fillId="3" borderId="45" xfId="3" applyNumberFormat="1" applyFont="1" applyFill="1" applyBorder="1" applyAlignment="1">
      <alignment horizontal="centerContinuous" vertical="center"/>
    </xf>
    <xf numFmtId="14" fontId="74" fillId="3" borderId="48" xfId="3" applyNumberFormat="1" applyFont="1" applyFill="1" applyBorder="1" applyAlignment="1">
      <alignment horizontal="centerContinuous" vertical="center"/>
    </xf>
    <xf numFmtId="165" fontId="74" fillId="3" borderId="62" xfId="0" applyNumberFormat="1" applyFont="1" applyFill="1" applyBorder="1" applyAlignment="1">
      <alignment horizontal="centerContinuous"/>
    </xf>
    <xf numFmtId="165" fontId="75" fillId="3" borderId="58" xfId="3" applyNumberFormat="1" applyFont="1" applyFill="1" applyBorder="1" applyAlignment="1">
      <alignment horizontal="centerContinuous" vertical="center" wrapText="1"/>
    </xf>
    <xf numFmtId="165" fontId="74" fillId="3" borderId="47" xfId="0" applyNumberFormat="1" applyFont="1" applyFill="1" applyBorder="1" applyAlignment="1">
      <alignment horizontal="centerContinuous"/>
    </xf>
    <xf numFmtId="165" fontId="74" fillId="3" borderId="45" xfId="3" applyNumberFormat="1" applyFont="1" applyFill="1" applyBorder="1" applyAlignment="1">
      <alignment horizontal="centerContinuous" vertical="center"/>
    </xf>
    <xf numFmtId="0" fontId="74" fillId="3" borderId="42" xfId="3" applyFont="1" applyFill="1" applyBorder="1" applyAlignment="1">
      <alignment horizontal="center" vertical="center" wrapText="1"/>
    </xf>
    <xf numFmtId="0" fontId="74" fillId="3" borderId="44" xfId="0" applyFont="1" applyFill="1" applyBorder="1" applyAlignment="1">
      <alignment horizontal="center"/>
    </xf>
    <xf numFmtId="0" fontId="74" fillId="3" borderId="40" xfId="3" applyFont="1" applyFill="1" applyBorder="1" applyAlignment="1">
      <alignment horizontal="center" vertical="center" wrapText="1"/>
    </xf>
    <xf numFmtId="0" fontId="74" fillId="3" borderId="63" xfId="0" applyFont="1" applyFill="1" applyBorder="1" applyAlignment="1">
      <alignment horizontal="center"/>
    </xf>
    <xf numFmtId="0" fontId="74" fillId="3" borderId="59" xfId="3" applyFont="1" applyFill="1" applyBorder="1" applyAlignment="1">
      <alignment horizontal="center" vertical="center" wrapText="1"/>
    </xf>
    <xf numFmtId="0" fontId="74" fillId="3" borderId="41" xfId="0" applyFont="1" applyFill="1" applyBorder="1" applyAlignment="1">
      <alignment horizontal="center"/>
    </xf>
    <xf numFmtId="2" fontId="25" fillId="3" borderId="49" xfId="2" applyNumberFormat="1" applyFont="1" applyFill="1" applyBorder="1" applyAlignment="1">
      <alignment horizontal="left"/>
    </xf>
    <xf numFmtId="2" fontId="74" fillId="3" borderId="49" xfId="2" applyNumberFormat="1" applyFont="1" applyFill="1" applyBorder="1" applyAlignment="1">
      <alignment horizontal="center"/>
    </xf>
    <xf numFmtId="2" fontId="74" fillId="3" borderId="49" xfId="2" applyNumberFormat="1" applyFont="1" applyFill="1" applyBorder="1" applyAlignment="1">
      <alignment horizontal="centerContinuous"/>
    </xf>
    <xf numFmtId="2" fontId="75" fillId="3" borderId="78" xfId="2" applyNumberFormat="1" applyFont="1" applyFill="1" applyBorder="1" applyAlignment="1">
      <alignment horizontal="center"/>
    </xf>
    <xf numFmtId="2" fontId="75" fillId="3" borderId="79" xfId="2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0" fontId="26" fillId="6" borderId="6" xfId="0" applyFont="1" applyFill="1" applyBorder="1" applyAlignment="1">
      <alignment horizontal="center"/>
    </xf>
    <xf numFmtId="0" fontId="95" fillId="3" borderId="103" xfId="19" applyFont="1" applyFill="1" applyBorder="1" applyAlignment="1">
      <alignment horizontal="centerContinuous"/>
    </xf>
    <xf numFmtId="0" fontId="95" fillId="3" borderId="104" xfId="19" applyFont="1" applyFill="1" applyBorder="1" applyAlignment="1">
      <alignment horizontal="centerContinuous"/>
    </xf>
    <xf numFmtId="0" fontId="95" fillId="3" borderId="105" xfId="19" applyFont="1" applyFill="1" applyBorder="1" applyAlignment="1">
      <alignment horizontal="centerContinuous"/>
    </xf>
    <xf numFmtId="0" fontId="72" fillId="3" borderId="106" xfId="19" applyFont="1" applyFill="1" applyBorder="1" applyAlignment="1">
      <alignment horizontal="center" vertical="center"/>
    </xf>
    <xf numFmtId="0" fontId="74" fillId="3" borderId="107" xfId="19" applyFont="1" applyFill="1" applyBorder="1" applyAlignment="1">
      <alignment horizontal="center" vertical="center" wrapText="1"/>
    </xf>
    <xf numFmtId="0" fontId="74" fillId="3" borderId="102" xfId="19" applyFont="1" applyFill="1" applyBorder="1" applyAlignment="1">
      <alignment horizontal="center" vertical="center" wrapText="1"/>
    </xf>
    <xf numFmtId="0" fontId="25" fillId="0" borderId="108" xfId="19" applyFont="1" applyBorder="1"/>
    <xf numFmtId="3" fontId="25" fillId="0" borderId="2" xfId="21" applyNumberFormat="1" applyFont="1" applyBorder="1"/>
    <xf numFmtId="3" fontId="25" fillId="4" borderId="22" xfId="21" applyNumberFormat="1" applyFont="1" applyFill="1" applyBorder="1"/>
    <xf numFmtId="3" fontId="27" fillId="0" borderId="97" xfId="21" applyNumberFormat="1" applyFont="1" applyBorder="1"/>
    <xf numFmtId="3" fontId="27" fillId="0" borderId="99" xfId="21" applyNumberFormat="1" applyFont="1" applyBorder="1"/>
    <xf numFmtId="3" fontId="27" fillId="4" borderId="101" xfId="21" applyNumberFormat="1" applyFont="1" applyFill="1" applyBorder="1"/>
    <xf numFmtId="3" fontId="27" fillId="0" borderId="98" xfId="21" applyNumberFormat="1" applyFont="1" applyBorder="1"/>
    <xf numFmtId="3" fontId="27" fillId="0" borderId="3" xfId="19" applyNumberFormat="1" applyFont="1" applyBorder="1"/>
    <xf numFmtId="3" fontId="27" fillId="4" borderId="5" xfId="19" applyNumberFormat="1" applyFont="1" applyFill="1" applyBorder="1"/>
    <xf numFmtId="3" fontId="27" fillId="0" borderId="99" xfId="19" applyNumberFormat="1" applyFont="1" applyBorder="1"/>
    <xf numFmtId="3" fontId="27" fillId="0" borderId="100" xfId="21" applyNumberFormat="1" applyFont="1" applyBorder="1"/>
    <xf numFmtId="3" fontId="27" fillId="0" borderId="93" xfId="19" applyNumberFormat="1" applyFont="1" applyBorder="1"/>
    <xf numFmtId="3" fontId="27" fillId="4" borderId="94" xfId="19" applyNumberFormat="1" applyFont="1" applyFill="1" applyBorder="1"/>
    <xf numFmtId="0" fontId="91" fillId="0" borderId="0" xfId="19" applyFont="1"/>
    <xf numFmtId="0" fontId="26" fillId="0" borderId="0" xfId="19" applyFont="1"/>
    <xf numFmtId="0" fontId="26" fillId="0" borderId="0" xfId="22" applyFont="1" applyAlignment="1">
      <alignment vertical="center"/>
    </xf>
    <xf numFmtId="0" fontId="28" fillId="0" borderId="0" xfId="22" applyFont="1" applyAlignment="1">
      <alignment vertical="center"/>
    </xf>
    <xf numFmtId="0" fontId="28" fillId="0" borderId="0" xfId="19" applyFont="1" applyAlignment="1">
      <alignment vertical="center"/>
    </xf>
    <xf numFmtId="0" fontId="96" fillId="0" borderId="0" xfId="15" applyFont="1"/>
    <xf numFmtId="3" fontId="27" fillId="4" borderId="101" xfId="19" applyNumberFormat="1" applyFont="1" applyFill="1" applyBorder="1"/>
    <xf numFmtId="0" fontId="61" fillId="0" borderId="0" xfId="15" applyFont="1"/>
    <xf numFmtId="0" fontId="60" fillId="0" borderId="0" xfId="15" applyFont="1"/>
    <xf numFmtId="0" fontId="60" fillId="0" borderId="36" xfId="15" applyFont="1" applyBorder="1"/>
    <xf numFmtId="0" fontId="67" fillId="0" borderId="36" xfId="15" applyFont="1" applyBorder="1"/>
    <xf numFmtId="2" fontId="97" fillId="0" borderId="0" xfId="15" quotePrefix="1" applyNumberFormat="1" applyFont="1" applyAlignment="1">
      <alignment vertical="top"/>
    </xf>
    <xf numFmtId="0" fontId="98" fillId="0" borderId="0" xfId="19" applyFont="1"/>
    <xf numFmtId="0" fontId="10" fillId="0" borderId="0" xfId="17"/>
    <xf numFmtId="0" fontId="68" fillId="0" borderId="0" xfId="17" applyFont="1" applyAlignment="1">
      <alignment vertical="center"/>
    </xf>
    <xf numFmtId="0" fontId="11" fillId="0" borderId="0" xfId="20" applyFont="1"/>
    <xf numFmtId="0" fontId="94" fillId="0" borderId="0" xfId="19" applyFont="1"/>
    <xf numFmtId="0" fontId="98" fillId="0" borderId="0" xfId="19" applyFont="1" applyAlignment="1">
      <alignment vertical="center"/>
    </xf>
    <xf numFmtId="0" fontId="17" fillId="0" borderId="0" xfId="19" applyFont="1" applyAlignment="1">
      <alignment vertical="center"/>
    </xf>
    <xf numFmtId="0" fontId="94" fillId="0" borderId="0" xfId="15" applyFont="1" applyAlignment="1">
      <alignment horizontal="center" vertical="center"/>
    </xf>
    <xf numFmtId="164" fontId="24" fillId="0" borderId="0" xfId="19" applyNumberFormat="1" applyFont="1" applyAlignment="1">
      <alignment vertical="center"/>
    </xf>
    <xf numFmtId="0" fontId="99" fillId="0" borderId="0" xfId="19" applyFont="1"/>
    <xf numFmtId="0" fontId="24" fillId="0" borderId="0" xfId="19" applyFont="1"/>
    <xf numFmtId="3" fontId="24" fillId="0" borderId="0" xfId="15" applyNumberFormat="1" applyFont="1"/>
    <xf numFmtId="0" fontId="100" fillId="0" borderId="109" xfId="22" applyFont="1" applyBorder="1"/>
    <xf numFmtId="3" fontId="49" fillId="0" borderId="109" xfId="19" applyNumberFormat="1" applyFont="1" applyBorder="1"/>
    <xf numFmtId="0" fontId="24" fillId="0" borderId="109" xfId="19" applyFont="1" applyBorder="1"/>
    <xf numFmtId="0" fontId="101" fillId="0" borderId="109" xfId="22" applyFont="1" applyBorder="1"/>
    <xf numFmtId="3" fontId="102" fillId="0" borderId="109" xfId="19" applyNumberFormat="1" applyFont="1" applyBorder="1"/>
    <xf numFmtId="3" fontId="24" fillId="0" borderId="109" xfId="19" applyNumberFormat="1" applyFont="1" applyBorder="1"/>
    <xf numFmtId="3" fontId="24" fillId="0" borderId="109" xfId="15" applyNumberFormat="1" applyFont="1" applyBorder="1"/>
    <xf numFmtId="0" fontId="100" fillId="0" borderId="0" xfId="22" applyFont="1"/>
    <xf numFmtId="3" fontId="49" fillId="0" borderId="0" xfId="19" applyNumberFormat="1" applyFont="1"/>
    <xf numFmtId="0" fontId="101" fillId="0" borderId="0" xfId="22" applyFont="1"/>
    <xf numFmtId="3" fontId="102" fillId="0" borderId="0" xfId="19" applyNumberFormat="1" applyFont="1"/>
    <xf numFmtId="3" fontId="24" fillId="0" borderId="0" xfId="19" applyNumberFormat="1" applyFont="1"/>
    <xf numFmtId="14" fontId="24" fillId="0" borderId="0" xfId="15" applyNumberFormat="1" applyFont="1"/>
    <xf numFmtId="0" fontId="3" fillId="0" borderId="0" xfId="23"/>
    <xf numFmtId="0" fontId="45" fillId="0" borderId="0" xfId="23" applyFont="1"/>
    <xf numFmtId="4" fontId="43" fillId="0" borderId="0" xfId="23" applyNumberFormat="1" applyFont="1"/>
    <xf numFmtId="0" fontId="60" fillId="0" borderId="0" xfId="15" applyFont="1" applyAlignment="1">
      <alignment vertical="top"/>
    </xf>
    <xf numFmtId="0" fontId="60" fillId="0" borderId="37" xfId="15" applyFont="1" applyBorder="1"/>
    <xf numFmtId="0" fontId="28" fillId="0" borderId="3" xfId="15" applyFont="1" applyBorder="1"/>
    <xf numFmtId="14" fontId="28" fillId="0" borderId="3" xfId="15" applyNumberFormat="1" applyFont="1" applyBorder="1"/>
    <xf numFmtId="14" fontId="28" fillId="0" borderId="0" xfId="15" applyNumberFormat="1" applyFont="1"/>
    <xf numFmtId="2" fontId="28" fillId="0" borderId="3" xfId="15" applyNumberFormat="1" applyFont="1" applyBorder="1"/>
    <xf numFmtId="2" fontId="28" fillId="0" borderId="0" xfId="15" applyNumberFormat="1" applyFont="1"/>
    <xf numFmtId="4" fontId="2" fillId="0" borderId="3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3" xfId="0" quotePrefix="1" applyNumberFormat="1" applyFont="1" applyBorder="1" applyAlignment="1">
      <alignment horizontal="center" vertical="center"/>
    </xf>
    <xf numFmtId="4" fontId="2" fillId="0" borderId="3" xfId="0" quotePrefix="1" applyNumberFormat="1" applyFont="1" applyBorder="1" applyAlignment="1">
      <alignment horizontal="center" vertical="center"/>
    </xf>
    <xf numFmtId="4" fontId="43" fillId="0" borderId="3" xfId="0" applyNumberFormat="1" applyFont="1" applyBorder="1" applyAlignment="1">
      <alignment horizontal="center" vertical="center"/>
    </xf>
    <xf numFmtId="2" fontId="43" fillId="0" borderId="3" xfId="0" applyNumberFormat="1" applyFont="1" applyBorder="1" applyAlignment="1">
      <alignment horizontal="center" vertical="center"/>
    </xf>
    <xf numFmtId="2" fontId="43" fillId="0" borderId="3" xfId="0" quotePrefix="1" applyNumberFormat="1" applyFont="1" applyBorder="1" applyAlignment="1">
      <alignment horizontal="center" vertical="center"/>
    </xf>
    <xf numFmtId="2" fontId="93" fillId="0" borderId="3" xfId="0" quotePrefix="1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43" fillId="0" borderId="3" xfId="0" applyNumberFormat="1" applyFont="1" applyBorder="1" applyAlignment="1">
      <alignment horizontal="center"/>
    </xf>
    <xf numFmtId="4" fontId="43" fillId="0" borderId="5" xfId="0" applyNumberFormat="1" applyFont="1" applyBorder="1" applyAlignment="1">
      <alignment horizontal="center" vertical="center"/>
    </xf>
    <xf numFmtId="4" fontId="43" fillId="0" borderId="5" xfId="0" quotePrefix="1" applyNumberFormat="1" applyFont="1" applyBorder="1" applyAlignment="1">
      <alignment horizontal="center" vertical="center"/>
    </xf>
    <xf numFmtId="4" fontId="27" fillId="8" borderId="30" xfId="0" applyNumberFormat="1" applyFont="1" applyFill="1" applyBorder="1" applyAlignment="1">
      <alignment horizontal="right"/>
    </xf>
    <xf numFmtId="2" fontId="103" fillId="0" borderId="0" xfId="15" applyNumberFormat="1" applyFont="1" applyAlignment="1">
      <alignment vertical="center"/>
    </xf>
    <xf numFmtId="4" fontId="27" fillId="0" borderId="88" xfId="0" applyNumberFormat="1" applyFont="1" applyBorder="1" applyAlignment="1">
      <alignment horizontal="right"/>
    </xf>
    <xf numFmtId="4" fontId="27" fillId="0" borderId="86" xfId="0" applyNumberFormat="1" applyFont="1" applyBorder="1" applyAlignment="1">
      <alignment horizontal="right"/>
    </xf>
    <xf numFmtId="4" fontId="27" fillId="4" borderId="29" xfId="0" applyNumberFormat="1" applyFont="1" applyFill="1" applyBorder="1" applyAlignment="1">
      <alignment horizontal="right"/>
    </xf>
    <xf numFmtId="4" fontId="27" fillId="4" borderId="110" xfId="0" applyNumberFormat="1" applyFont="1" applyFill="1" applyBorder="1"/>
    <xf numFmtId="4" fontId="27" fillId="8" borderId="69" xfId="0" applyNumberFormat="1" applyFont="1" applyFill="1" applyBorder="1"/>
    <xf numFmtId="4" fontId="27" fillId="8" borderId="30" xfId="0" applyNumberFormat="1" applyFont="1" applyFill="1" applyBorder="1"/>
    <xf numFmtId="0" fontId="44" fillId="4" borderId="0" xfId="0" applyFont="1" applyFill="1" applyAlignment="1">
      <alignment horizontal="left"/>
    </xf>
    <xf numFmtId="0" fontId="44" fillId="4" borderId="0" xfId="0" applyFont="1" applyFill="1" applyAlignment="1">
      <alignment horizontal="centerContinuous"/>
    </xf>
    <xf numFmtId="0" fontId="105" fillId="4" borderId="0" xfId="0" applyFont="1" applyFill="1"/>
    <xf numFmtId="0" fontId="33" fillId="4" borderId="0" xfId="0" applyFont="1" applyFill="1"/>
    <xf numFmtId="0" fontId="32" fillId="4" borderId="0" xfId="0" applyFont="1" applyFill="1" applyAlignment="1">
      <alignment horizontal="left" vertical="center"/>
    </xf>
    <xf numFmtId="0" fontId="104" fillId="4" borderId="0" xfId="0" applyFont="1" applyFill="1" applyAlignment="1">
      <alignment horizontal="center"/>
    </xf>
    <xf numFmtId="0" fontId="50" fillId="4" borderId="0" xfId="0" applyFont="1" applyFill="1" applyAlignment="1">
      <alignment horizontal="left"/>
    </xf>
    <xf numFmtId="0" fontId="2" fillId="0" borderId="0" xfId="0" applyFont="1"/>
    <xf numFmtId="4" fontId="93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8" fillId="4" borderId="0" xfId="0" applyFont="1" applyFill="1"/>
    <xf numFmtId="0" fontId="107" fillId="12" borderId="0" xfId="0" applyFont="1" applyFill="1" applyAlignment="1">
      <alignment horizontal="left" vertical="center"/>
    </xf>
    <xf numFmtId="0" fontId="108" fillId="3" borderId="3" xfId="0" applyFont="1" applyFill="1" applyBorder="1" applyAlignment="1">
      <alignment horizontal="center" vertical="center" wrapText="1"/>
    </xf>
    <xf numFmtId="0" fontId="108" fillId="3" borderId="5" xfId="0" applyFont="1" applyFill="1" applyBorder="1" applyAlignment="1">
      <alignment horizontal="center" vertical="center" wrapText="1"/>
    </xf>
    <xf numFmtId="0" fontId="35" fillId="4" borderId="0" xfId="0" applyFont="1" applyFill="1"/>
    <xf numFmtId="0" fontId="113" fillId="3" borderId="114" xfId="0" applyFont="1" applyFill="1" applyBorder="1"/>
    <xf numFmtId="0" fontId="112" fillId="3" borderId="115" xfId="7" applyFont="1" applyFill="1" applyBorder="1" applyAlignment="1">
      <alignment horizontal="center"/>
    </xf>
    <xf numFmtId="2" fontId="58" fillId="4" borderId="15" xfId="7" applyNumberFormat="1" applyFont="1" applyFill="1" applyBorder="1" applyAlignment="1">
      <alignment horizontal="center"/>
    </xf>
    <xf numFmtId="0" fontId="35" fillId="4" borderId="114" xfId="0" applyFont="1" applyFill="1" applyBorder="1"/>
    <xf numFmtId="0" fontId="59" fillId="4" borderId="115" xfId="7" applyFont="1" applyFill="1" applyBorder="1" applyAlignment="1">
      <alignment horizontal="left"/>
    </xf>
    <xf numFmtId="0" fontId="59" fillId="4" borderId="93" xfId="7" applyFont="1" applyFill="1" applyBorder="1" applyAlignment="1">
      <alignment horizontal="left"/>
    </xf>
    <xf numFmtId="0" fontId="58" fillId="4" borderId="115" xfId="7" applyFont="1" applyFill="1" applyBorder="1" applyAlignment="1">
      <alignment horizontal="left"/>
    </xf>
    <xf numFmtId="0" fontId="58" fillId="4" borderId="93" xfId="7" applyFont="1" applyFill="1" applyBorder="1" applyAlignment="1">
      <alignment horizontal="left"/>
    </xf>
    <xf numFmtId="2" fontId="58" fillId="4" borderId="116" xfId="7" applyNumberFormat="1" applyFont="1" applyFill="1" applyBorder="1" applyAlignment="1">
      <alignment horizontal="center"/>
    </xf>
    <xf numFmtId="0" fontId="113" fillId="3" borderId="111" xfId="0" applyFont="1" applyFill="1" applyBorder="1"/>
    <xf numFmtId="0" fontId="112" fillId="3" borderId="112" xfId="7" applyFont="1" applyFill="1" applyBorder="1" applyAlignment="1">
      <alignment horizontal="center"/>
    </xf>
    <xf numFmtId="0" fontId="112" fillId="3" borderId="93" xfId="7" applyFont="1" applyFill="1" applyBorder="1"/>
    <xf numFmtId="0" fontId="112" fillId="3" borderId="99" xfId="7" applyFont="1" applyFill="1" applyBorder="1"/>
    <xf numFmtId="0" fontId="58" fillId="4" borderId="117" xfId="7" applyFont="1" applyFill="1" applyBorder="1"/>
    <xf numFmtId="0" fontId="58" fillId="4" borderId="25" xfId="7" applyFont="1" applyFill="1" applyBorder="1"/>
    <xf numFmtId="2" fontId="35" fillId="4" borderId="0" xfId="0" applyNumberFormat="1" applyFont="1" applyFill="1" applyAlignment="1">
      <alignment horizontal="center"/>
    </xf>
    <xf numFmtId="0" fontId="58" fillId="4" borderId="26" xfId="7" applyFont="1" applyFill="1" applyBorder="1"/>
    <xf numFmtId="0" fontId="58" fillId="4" borderId="27" xfId="7" applyFont="1" applyFill="1" applyBorder="1" applyAlignment="1">
      <alignment horizontal="left"/>
    </xf>
    <xf numFmtId="0" fontId="59" fillId="4" borderId="99" xfId="7" applyFont="1" applyFill="1" applyBorder="1" applyAlignment="1">
      <alignment horizontal="left"/>
    </xf>
    <xf numFmtId="0" fontId="35" fillId="4" borderId="111" xfId="0" applyFont="1" applyFill="1" applyBorder="1"/>
    <xf numFmtId="2" fontId="59" fillId="4" borderId="112" xfId="9" quotePrefix="1" applyNumberFormat="1" applyFont="1" applyFill="1" applyBorder="1" applyAlignment="1">
      <alignment horizontal="center"/>
    </xf>
    <xf numFmtId="2" fontId="108" fillId="3" borderId="3" xfId="0" applyNumberFormat="1" applyFont="1" applyFill="1" applyBorder="1" applyAlignment="1">
      <alignment vertical="center" wrapText="1"/>
    </xf>
    <xf numFmtId="4" fontId="43" fillId="0" borderId="3" xfId="0" applyNumberFormat="1" applyFont="1" applyBorder="1" applyAlignment="1">
      <alignment horizontal="left"/>
    </xf>
    <xf numFmtId="0" fontId="2" fillId="0" borderId="27" xfId="0" applyFont="1" applyBorder="1"/>
    <xf numFmtId="2" fontId="43" fillId="0" borderId="3" xfId="0" applyNumberFormat="1" applyFont="1" applyBorder="1" applyAlignment="1">
      <alignment horizontal="left"/>
    </xf>
    <xf numFmtId="0" fontId="43" fillId="0" borderId="3" xfId="0" applyFont="1" applyBorder="1"/>
    <xf numFmtId="0" fontId="93" fillId="0" borderId="3" xfId="0" applyFont="1" applyBorder="1" applyAlignment="1">
      <alignment horizontal="left"/>
    </xf>
    <xf numFmtId="0" fontId="93" fillId="0" borderId="16" xfId="0" applyFont="1" applyBorder="1" applyAlignment="1">
      <alignment horizontal="left"/>
    </xf>
    <xf numFmtId="4" fontId="93" fillId="0" borderId="118" xfId="0" quotePrefix="1" applyNumberFormat="1" applyFont="1" applyBorder="1" applyAlignment="1">
      <alignment horizontal="center"/>
    </xf>
    <xf numFmtId="2" fontId="108" fillId="3" borderId="3" xfId="0" applyNumberFormat="1" applyFont="1" applyFill="1" applyBorder="1" applyAlignment="1">
      <alignment vertical="center"/>
    </xf>
    <xf numFmtId="4" fontId="43" fillId="0" borderId="3" xfId="0" quotePrefix="1" applyNumberFormat="1" applyFont="1" applyBorder="1" applyAlignment="1">
      <alignment horizontal="center" vertical="center"/>
    </xf>
    <xf numFmtId="4" fontId="93" fillId="0" borderId="3" xfId="0" quotePrefix="1" applyNumberFormat="1" applyFont="1" applyBorder="1" applyAlignment="1">
      <alignment horizontal="center" vertical="center"/>
    </xf>
    <xf numFmtId="4" fontId="93" fillId="0" borderId="3" xfId="0" applyNumberFormat="1" applyFont="1" applyBorder="1" applyAlignment="1">
      <alignment horizontal="center" vertical="center"/>
    </xf>
    <xf numFmtId="4" fontId="93" fillId="0" borderId="5" xfId="0" applyNumberFormat="1" applyFont="1" applyBorder="1" applyAlignment="1">
      <alignment horizontal="center" vertical="center"/>
    </xf>
    <xf numFmtId="4" fontId="44" fillId="4" borderId="97" xfId="5" applyNumberFormat="1" applyFont="1" applyFill="1" applyBorder="1" applyAlignment="1">
      <alignment horizontal="center" vertical="center"/>
    </xf>
    <xf numFmtId="2" fontId="44" fillId="4" borderId="97" xfId="5" applyNumberFormat="1" applyFont="1" applyFill="1" applyBorder="1" applyAlignment="1">
      <alignment horizontal="center" vertical="center"/>
    </xf>
    <xf numFmtId="2" fontId="32" fillId="4" borderId="113" xfId="5" applyNumberFormat="1" applyFont="1" applyFill="1" applyBorder="1" applyAlignment="1">
      <alignment horizontal="center" vertical="center"/>
    </xf>
    <xf numFmtId="2" fontId="32" fillId="4" borderId="113" xfId="5" quotePrefix="1" applyNumberFormat="1" applyFont="1" applyFill="1" applyBorder="1" applyAlignment="1">
      <alignment horizontal="center" vertical="center"/>
    </xf>
    <xf numFmtId="2" fontId="50" fillId="4" borderId="100" xfId="5" quotePrefix="1" applyNumberFormat="1" applyFont="1" applyFill="1" applyBorder="1" applyAlignment="1">
      <alignment horizontal="center" vertical="center"/>
    </xf>
    <xf numFmtId="4" fontId="28" fillId="4" borderId="97" xfId="5" applyNumberFormat="1" applyFont="1" applyFill="1" applyBorder="1" applyAlignment="1">
      <alignment horizontal="left"/>
    </xf>
    <xf numFmtId="2" fontId="28" fillId="4" borderId="97" xfId="5" applyNumberFormat="1" applyFont="1" applyFill="1" applyBorder="1" applyAlignment="1">
      <alignment horizontal="left"/>
    </xf>
    <xf numFmtId="0" fontId="28" fillId="4" borderId="97" xfId="5" applyFont="1" applyFill="1" applyBorder="1"/>
    <xf numFmtId="0" fontId="91" fillId="4" borderId="100" xfId="5" applyFont="1" applyFill="1" applyBorder="1" applyAlignment="1">
      <alignment horizontal="left"/>
    </xf>
    <xf numFmtId="2" fontId="108" fillId="3" borderId="97" xfId="5" applyNumberFormat="1" applyFont="1" applyFill="1" applyBorder="1" applyAlignment="1">
      <alignment vertical="center" wrapText="1"/>
    </xf>
    <xf numFmtId="0" fontId="108" fillId="3" borderId="97" xfId="5" applyFont="1" applyFill="1" applyBorder="1" applyAlignment="1">
      <alignment horizontal="center" vertical="center" wrapText="1"/>
    </xf>
    <xf numFmtId="0" fontId="108" fillId="3" borderId="5" xfId="5" applyFont="1" applyFill="1" applyBorder="1" applyAlignment="1">
      <alignment horizontal="center" vertical="center" wrapText="1"/>
    </xf>
    <xf numFmtId="0" fontId="28" fillId="4" borderId="114" xfId="7" applyFont="1" applyFill="1" applyBorder="1" applyAlignment="1">
      <alignment horizontal="center" wrapText="1"/>
    </xf>
    <xf numFmtId="0" fontId="1" fillId="0" borderId="0" xfId="23" applyFont="1"/>
    <xf numFmtId="0" fontId="108" fillId="3" borderId="113" xfId="7" applyFont="1" applyFill="1" applyBorder="1" applyAlignment="1">
      <alignment horizontal="center" vertical="center"/>
    </xf>
    <xf numFmtId="0" fontId="24" fillId="0" borderId="3" xfId="7" applyFont="1" applyBorder="1" applyAlignment="1">
      <alignment horizontal="center" vertical="center" wrapText="1"/>
    </xf>
    <xf numFmtId="0" fontId="117" fillId="5" borderId="3" xfId="7" applyFont="1" applyFill="1" applyBorder="1" applyAlignment="1">
      <alignment horizontal="center" vertical="center" wrapText="1"/>
    </xf>
    <xf numFmtId="2" fontId="28" fillId="0" borderId="3" xfId="7" applyNumberFormat="1" applyFont="1" applyBorder="1" applyAlignment="1">
      <alignment horizontal="right"/>
    </xf>
    <xf numFmtId="0" fontId="28" fillId="2" borderId="0" xfId="7" applyFont="1" applyFill="1" applyAlignment="1">
      <alignment horizontal="center"/>
    </xf>
    <xf numFmtId="2" fontId="28" fillId="0" borderId="93" xfId="7" applyNumberFormat="1" applyFont="1" applyBorder="1" applyAlignment="1">
      <alignment horizontal="right"/>
    </xf>
    <xf numFmtId="0" fontId="117" fillId="5" borderId="5" xfId="7" applyFont="1" applyFill="1" applyBorder="1" applyAlignment="1">
      <alignment horizontal="center" vertical="center" wrapText="1"/>
    </xf>
    <xf numFmtId="0" fontId="26" fillId="2" borderId="97" xfId="7" applyFont="1" applyFill="1" applyBorder="1" applyAlignment="1">
      <alignment horizontal="left" vertical="center" wrapText="1"/>
    </xf>
    <xf numFmtId="0" fontId="26" fillId="2" borderId="100" xfId="7" applyFont="1" applyFill="1" applyBorder="1" applyAlignment="1">
      <alignment horizontal="left" vertical="center" wrapText="1"/>
    </xf>
    <xf numFmtId="0" fontId="26" fillId="3" borderId="119" xfId="7" applyFont="1" applyFill="1" applyBorder="1" applyAlignment="1">
      <alignment horizontal="center" vertical="center" wrapText="1"/>
    </xf>
    <xf numFmtId="0" fontId="116" fillId="3" borderId="118" xfId="7" applyFont="1" applyFill="1" applyBorder="1" applyAlignment="1">
      <alignment horizontal="center" vertical="center" wrapText="1"/>
    </xf>
    <xf numFmtId="0" fontId="38" fillId="3" borderId="118" xfId="7" applyFont="1" applyFill="1" applyBorder="1" applyAlignment="1">
      <alignment horizontal="center" vertical="center" wrapText="1"/>
    </xf>
    <xf numFmtId="0" fontId="38" fillId="3" borderId="98" xfId="7" applyFont="1" applyFill="1" applyBorder="1" applyAlignment="1">
      <alignment horizontal="center" vertical="center" wrapText="1"/>
    </xf>
    <xf numFmtId="0" fontId="28" fillId="3" borderId="118" xfId="7" applyFont="1" applyFill="1" applyBorder="1" applyAlignment="1">
      <alignment horizontal="center" wrapText="1"/>
    </xf>
    <xf numFmtId="0" fontId="3" fillId="0" borderId="0" xfId="23" applyAlignment="1">
      <alignment horizontal="center"/>
    </xf>
    <xf numFmtId="0" fontId="52" fillId="0" borderId="0" xfId="0" applyFont="1" applyAlignment="1">
      <alignment vertical="center"/>
    </xf>
    <xf numFmtId="0" fontId="110" fillId="12" borderId="0" xfId="7" applyFont="1" applyFill="1" applyAlignment="1">
      <alignment horizontal="centerContinuous" vertical="center"/>
    </xf>
    <xf numFmtId="0" fontId="111" fillId="12" borderId="0" xfId="0" applyFont="1" applyFill="1" applyAlignment="1">
      <alignment horizontal="centerContinuous" vertical="center"/>
    </xf>
    <xf numFmtId="0" fontId="43" fillId="0" borderId="0" xfId="23" applyFont="1"/>
    <xf numFmtId="0" fontId="118" fillId="0" borderId="0" xfId="17" applyFont="1" applyAlignment="1">
      <alignment vertical="center"/>
    </xf>
    <xf numFmtId="0" fontId="3" fillId="0" borderId="0" xfId="23" applyBorder="1"/>
    <xf numFmtId="164" fontId="92" fillId="13" borderId="122" xfId="13" applyNumberFormat="1" applyFont="1" applyFill="1" applyBorder="1" applyAlignment="1">
      <alignment horizontal="center" vertical="center" wrapText="1" readingOrder="1"/>
    </xf>
    <xf numFmtId="164" fontId="119" fillId="14" borderId="122" xfId="13" applyNumberFormat="1" applyFont="1" applyFill="1" applyBorder="1" applyAlignment="1">
      <alignment horizontal="center" vertical="center" wrapText="1" readingOrder="1"/>
    </xf>
    <xf numFmtId="164" fontId="39" fillId="0" borderId="3" xfId="7" applyNumberFormat="1" applyFont="1" applyBorder="1" applyAlignment="1">
      <alignment horizontal="right"/>
    </xf>
    <xf numFmtId="164" fontId="42" fillId="0" borderId="5" xfId="7" applyNumberFormat="1" applyFont="1" applyBorder="1" applyAlignment="1">
      <alignment horizontal="right"/>
    </xf>
    <xf numFmtId="164" fontId="42" fillId="0" borderId="3" xfId="7" applyNumberFormat="1" applyFont="1" applyBorder="1" applyAlignment="1">
      <alignment horizontal="right"/>
    </xf>
    <xf numFmtId="164" fontId="120" fillId="0" borderId="3" xfId="7" applyNumberFormat="1" applyFont="1" applyBorder="1" applyAlignment="1">
      <alignment horizontal="right"/>
    </xf>
    <xf numFmtId="164" fontId="120" fillId="0" borderId="93" xfId="7" applyNumberFormat="1" applyFont="1" applyBorder="1" applyAlignment="1">
      <alignment horizontal="right"/>
    </xf>
    <xf numFmtId="164" fontId="42" fillId="0" borderId="93" xfId="7" applyNumberFormat="1" applyFont="1" applyBorder="1" applyAlignment="1">
      <alignment horizontal="right"/>
    </xf>
    <xf numFmtId="164" fontId="42" fillId="0" borderId="94" xfId="7" applyNumberFormat="1" applyFont="1" applyBorder="1" applyAlignment="1">
      <alignment horizontal="right"/>
    </xf>
    <xf numFmtId="0" fontId="52" fillId="0" borderId="0" xfId="0" applyFont="1" applyFill="1" applyBorder="1"/>
    <xf numFmtId="0" fontId="121" fillId="0" borderId="121" xfId="7" applyFont="1" applyFill="1" applyBorder="1" applyAlignment="1">
      <alignment horizontal="center"/>
    </xf>
    <xf numFmtId="0" fontId="121" fillId="0" borderId="120" xfId="7" applyFont="1" applyFill="1" applyBorder="1" applyAlignment="1">
      <alignment horizontal="center"/>
    </xf>
    <xf numFmtId="0" fontId="52" fillId="0" borderId="8" xfId="0" applyFont="1" applyFill="1" applyBorder="1"/>
    <xf numFmtId="0" fontId="52" fillId="0" borderId="0" xfId="0" applyFont="1" applyFill="1"/>
    <xf numFmtId="0" fontId="121" fillId="0" borderId="123" xfId="7" applyFont="1" applyFill="1" applyBorder="1" applyAlignment="1">
      <alignment horizontal="center"/>
    </xf>
    <xf numFmtId="0" fontId="121" fillId="0" borderId="124" xfId="7" applyFont="1" applyFill="1" applyBorder="1" applyAlignment="1">
      <alignment horizontal="center"/>
    </xf>
    <xf numFmtId="0" fontId="121" fillId="0" borderId="125" xfId="7" applyFont="1" applyFill="1" applyBorder="1" applyAlignment="1">
      <alignment horizontal="center"/>
    </xf>
    <xf numFmtId="0" fontId="121" fillId="0" borderId="126" xfId="7" applyFont="1" applyFill="1" applyBorder="1" applyAlignment="1">
      <alignment horizontal="center"/>
    </xf>
    <xf numFmtId="2" fontId="121" fillId="0" borderId="17" xfId="7" applyNumberFormat="1" applyFont="1" applyFill="1" applyBorder="1" applyAlignment="1">
      <alignment horizontal="center"/>
    </xf>
    <xf numFmtId="2" fontId="121" fillId="0" borderId="25" xfId="7" applyNumberFormat="1" applyFont="1" applyFill="1" applyBorder="1" applyAlignment="1">
      <alignment horizontal="center"/>
    </xf>
    <xf numFmtId="2" fontId="121" fillId="0" borderId="127" xfId="7" applyNumberFormat="1" applyFont="1" applyFill="1" applyBorder="1" applyAlignment="1">
      <alignment horizontal="center"/>
    </xf>
    <xf numFmtId="2" fontId="121" fillId="0" borderId="18" xfId="7" applyNumberFormat="1" applyFont="1" applyFill="1" applyBorder="1" applyAlignment="1">
      <alignment horizontal="center"/>
    </xf>
    <xf numFmtId="2" fontId="121" fillId="0" borderId="26" xfId="7" applyNumberFormat="1" applyFont="1" applyFill="1" applyBorder="1" applyAlignment="1">
      <alignment horizontal="center"/>
    </xf>
    <xf numFmtId="2" fontId="121" fillId="0" borderId="128" xfId="7" applyNumberFormat="1" applyFont="1" applyFill="1" applyBorder="1" applyAlignment="1">
      <alignment horizontal="center"/>
    </xf>
    <xf numFmtId="2" fontId="121" fillId="0" borderId="129" xfId="7" applyNumberFormat="1" applyFont="1" applyFill="1" applyBorder="1" applyAlignment="1">
      <alignment horizontal="center"/>
    </xf>
    <xf numFmtId="2" fontId="121" fillId="0" borderId="130" xfId="7" applyNumberFormat="1" applyFont="1" applyFill="1" applyBorder="1" applyAlignment="1">
      <alignment horizontal="center"/>
    </xf>
    <xf numFmtId="2" fontId="121" fillId="0" borderId="131" xfId="7" applyNumberFormat="1" applyFont="1" applyFill="1" applyBorder="1" applyAlignment="1">
      <alignment horizontal="center"/>
    </xf>
    <xf numFmtId="0" fontId="121" fillId="0" borderId="132" xfId="7" applyFont="1" applyFill="1" applyBorder="1" applyAlignment="1">
      <alignment horizontal="left"/>
    </xf>
    <xf numFmtId="0" fontId="121" fillId="0" borderId="133" xfId="7" applyFont="1" applyFill="1" applyBorder="1" applyAlignment="1">
      <alignment horizontal="left"/>
    </xf>
    <xf numFmtId="0" fontId="121" fillId="0" borderId="134" xfId="7" applyFont="1" applyFill="1" applyBorder="1" applyAlignment="1">
      <alignment horizontal="left"/>
    </xf>
    <xf numFmtId="2" fontId="121" fillId="0" borderId="135" xfId="7" applyNumberFormat="1" applyFont="1" applyFill="1" applyBorder="1" applyAlignment="1">
      <alignment horizontal="center"/>
    </xf>
    <xf numFmtId="2" fontId="121" fillId="0" borderId="136" xfId="7" applyNumberFormat="1" applyFont="1" applyFill="1" applyBorder="1" applyAlignment="1">
      <alignment horizontal="center"/>
    </xf>
    <xf numFmtId="2" fontId="121" fillId="0" borderId="137" xfId="7" applyNumberFormat="1" applyFont="1" applyFill="1" applyBorder="1" applyAlignment="1">
      <alignment horizontal="center"/>
    </xf>
    <xf numFmtId="2" fontId="121" fillId="0" borderId="135" xfId="7" quotePrefix="1" applyNumberFormat="1" applyFont="1" applyFill="1" applyBorder="1" applyAlignment="1">
      <alignment horizontal="center"/>
    </xf>
    <xf numFmtId="2" fontId="121" fillId="0" borderId="136" xfId="7" quotePrefix="1" applyNumberFormat="1" applyFont="1" applyFill="1" applyBorder="1" applyAlignment="1">
      <alignment horizontal="center"/>
    </xf>
    <xf numFmtId="2" fontId="121" fillId="0" borderId="137" xfId="7" quotePrefix="1" applyNumberFormat="1" applyFont="1" applyFill="1" applyBorder="1" applyAlignment="1">
      <alignment horizontal="center"/>
    </xf>
    <xf numFmtId="0" fontId="122" fillId="0" borderId="16" xfId="7" applyFont="1" applyFill="1" applyBorder="1" applyAlignment="1">
      <alignment horizontal="left"/>
    </xf>
    <xf numFmtId="0" fontId="122" fillId="0" borderId="27" xfId="7" applyFont="1" applyFill="1" applyBorder="1" applyAlignment="1">
      <alignment horizontal="left"/>
    </xf>
    <xf numFmtId="0" fontId="122" fillId="0" borderId="138" xfId="7" applyFont="1" applyFill="1" applyBorder="1" applyAlignment="1">
      <alignment horizontal="left"/>
    </xf>
    <xf numFmtId="2" fontId="122" fillId="0" borderId="139" xfId="9" quotePrefix="1" applyNumberFormat="1" applyFont="1" applyFill="1" applyBorder="1" applyAlignment="1">
      <alignment horizontal="center"/>
    </xf>
    <xf numFmtId="2" fontId="122" fillId="0" borderId="140" xfId="9" quotePrefix="1" applyNumberFormat="1" applyFont="1" applyFill="1" applyBorder="1" applyAlignment="1">
      <alignment horizontal="center"/>
    </xf>
    <xf numFmtId="2" fontId="122" fillId="0" borderId="141" xfId="9" quotePrefix="1" applyNumberFormat="1" applyFont="1" applyFill="1" applyBorder="1" applyAlignment="1">
      <alignment horizontal="center"/>
    </xf>
    <xf numFmtId="3" fontId="91" fillId="0" borderId="142" xfId="0" applyNumberFormat="1" applyFont="1" applyBorder="1"/>
    <xf numFmtId="4" fontId="123" fillId="0" borderId="142" xfId="0" applyNumberFormat="1" applyFont="1" applyBorder="1"/>
    <xf numFmtId="4" fontId="123" fillId="4" borderId="142" xfId="0" applyNumberFormat="1" applyFont="1" applyFill="1" applyBorder="1"/>
    <xf numFmtId="164" fontId="123" fillId="0" borderId="142" xfId="0" applyNumberFormat="1" applyFont="1" applyBorder="1" applyAlignment="1">
      <alignment horizontal="center"/>
    </xf>
    <xf numFmtId="0" fontId="28" fillId="0" borderId="0" xfId="0" applyFont="1"/>
    <xf numFmtId="0" fontId="52" fillId="0" borderId="0" xfId="0" applyFont="1"/>
    <xf numFmtId="0" fontId="28" fillId="0" borderId="0" xfId="0" applyFont="1"/>
    <xf numFmtId="0" fontId="28" fillId="0" borderId="0" xfId="0" applyFont="1"/>
    <xf numFmtId="0" fontId="53" fillId="0" borderId="0" xfId="13" applyFont="1" applyAlignment="1">
      <alignment vertical="top" wrapText="1" readingOrder="1"/>
    </xf>
    <xf numFmtId="0" fontId="52" fillId="0" borderId="0" xfId="0" applyFont="1"/>
    <xf numFmtId="0" fontId="46" fillId="0" borderId="0" xfId="13" applyFont="1" applyAlignment="1">
      <alignment vertical="top" wrapText="1" readingOrder="1"/>
    </xf>
    <xf numFmtId="0" fontId="28" fillId="0" borderId="0" xfId="0" applyFont="1"/>
    <xf numFmtId="0" fontId="44" fillId="4" borderId="0" xfId="0" applyFont="1" applyFill="1" applyAlignment="1">
      <alignment horizontal="center"/>
    </xf>
    <xf numFmtId="0" fontId="44" fillId="7" borderId="0" xfId="0" applyFont="1" applyFill="1" applyAlignment="1">
      <alignment horizontal="left"/>
    </xf>
    <xf numFmtId="0" fontId="106" fillId="4" borderId="0" xfId="0" applyFont="1" applyFill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16" fontId="32" fillId="4" borderId="0" xfId="0" applyNumberFormat="1" applyFont="1" applyFill="1" applyAlignment="1">
      <alignment horizontal="center" vertical="center"/>
    </xf>
    <xf numFmtId="0" fontId="106" fillId="7" borderId="0" xfId="0" applyFont="1" applyFill="1" applyAlignment="1">
      <alignment horizontal="left"/>
    </xf>
    <xf numFmtId="0" fontId="52" fillId="7" borderId="0" xfId="0" applyFont="1" applyFill="1" applyAlignment="1">
      <alignment horizontal="left" shrinkToFit="1"/>
    </xf>
    <xf numFmtId="0" fontId="57" fillId="7" borderId="0" xfId="0" applyFont="1" applyFill="1" applyAlignment="1">
      <alignment horizontal="right" shrinkToFit="1"/>
    </xf>
    <xf numFmtId="0" fontId="109" fillId="7" borderId="0" xfId="0" applyFont="1" applyFill="1" applyAlignment="1">
      <alignment horizontal="center" vertical="center"/>
    </xf>
    <xf numFmtId="0" fontId="109" fillId="7" borderId="0" xfId="0" applyFont="1" applyFill="1" applyAlignment="1">
      <alignment horizontal="left" shrinkToFit="1"/>
    </xf>
    <xf numFmtId="0" fontId="108" fillId="3" borderId="3" xfId="7" applyFont="1" applyFill="1" applyBorder="1" applyAlignment="1">
      <alignment horizontal="center" vertical="center"/>
    </xf>
    <xf numFmtId="14" fontId="108" fillId="3" borderId="3" xfId="7" applyNumberFormat="1" applyFont="1" applyFill="1" applyBorder="1" applyAlignment="1" applyProtection="1">
      <alignment horizontal="center" vertical="center"/>
      <protection hidden="1"/>
    </xf>
    <xf numFmtId="14" fontId="108" fillId="3" borderId="5" xfId="7" applyNumberFormat="1" applyFont="1" applyFill="1" applyBorder="1" applyAlignment="1" applyProtection="1">
      <alignment horizontal="center" vertical="center"/>
      <protection hidden="1"/>
    </xf>
    <xf numFmtId="0" fontId="114" fillId="3" borderId="19" xfId="7" applyFont="1" applyFill="1" applyBorder="1" applyAlignment="1">
      <alignment horizontal="center" vertical="center"/>
    </xf>
    <xf numFmtId="0" fontId="115" fillId="3" borderId="0" xfId="7" applyFont="1" applyFill="1" applyAlignment="1">
      <alignment horizontal="center" vertical="center"/>
    </xf>
    <xf numFmtId="0" fontId="115" fillId="3" borderId="0" xfId="7" applyFont="1" applyFill="1" applyAlignment="1">
      <alignment horizontal="center"/>
    </xf>
    <xf numFmtId="0" fontId="28" fillId="3" borderId="0" xfId="7" applyFont="1" applyFill="1" applyAlignment="1">
      <alignment horizontal="center" vertical="center"/>
    </xf>
    <xf numFmtId="0" fontId="28" fillId="3" borderId="114" xfId="7" applyFont="1" applyFill="1" applyBorder="1" applyAlignment="1">
      <alignment horizontal="center" wrapText="1"/>
    </xf>
  </cellXfs>
  <cellStyles count="25">
    <cellStyle name="Hiperłącze" xfId="1" builtinId="8"/>
    <cellStyle name="Hiperłącze 2" xfId="16"/>
    <cellStyle name="Normal" xfId="13"/>
    <cellStyle name="Normal_WK" xfId="2"/>
    <cellStyle name="Normalny" xfId="0" builtinId="0"/>
    <cellStyle name="Normalny 2" xfId="5"/>
    <cellStyle name="Normalny 3" xfId="7"/>
    <cellStyle name="Normalny 3 2 2 2" xfId="15"/>
    <cellStyle name="Normalny 3 3" xfId="4"/>
    <cellStyle name="Normalny 4" xfId="8"/>
    <cellStyle name="Normalny 5" xfId="10"/>
    <cellStyle name="Normalny 6" xfId="11"/>
    <cellStyle name="Normalny 7" xfId="12"/>
    <cellStyle name="Normalny 8" xfId="14"/>
    <cellStyle name="Normalny 8 2" xfId="23"/>
    <cellStyle name="Normalny 9" xfId="24"/>
    <cellStyle name="Normalny_DROB41_0" xfId="6"/>
    <cellStyle name="Normalny_Handel_2011 2" xfId="20"/>
    <cellStyle name="Normalny_KE_handel" xfId="17"/>
    <cellStyle name="Normalny_Kopia I-IX.06" xfId="21"/>
    <cellStyle name="Normalny_MatrycaKRAJ 2 2" xfId="19"/>
    <cellStyle name="Normalny_tabela (2)" xfId="3"/>
    <cellStyle name="Normalny_wieprzowina 2010_2011_ wstepne 2 2" xfId="22"/>
    <cellStyle name="Normalny_zaklady-ceny_sez" xfId="9"/>
    <cellStyle name="Złe 2" xfId="18"/>
  </cellStyles>
  <dxfs count="104">
    <dxf>
      <font>
        <b/>
        <i val="0"/>
        <color rgb="FF0000FF"/>
      </font>
    </dxf>
    <dxf>
      <font>
        <b/>
        <i val="0"/>
        <color rgb="FF006600"/>
      </font>
    </dxf>
    <dxf>
      <font>
        <color rgb="FF006600"/>
      </font>
    </dxf>
    <dxf>
      <font>
        <b/>
        <i val="0"/>
        <color rgb="FF0000FF"/>
      </font>
    </dxf>
    <dxf>
      <font>
        <b/>
        <i val="0"/>
        <color rgb="FF006600"/>
      </font>
    </dxf>
    <dxf>
      <font>
        <b/>
        <i val="0"/>
        <color rgb="FF0000FF"/>
      </font>
    </dxf>
    <dxf>
      <font>
        <color rgb="FF006600"/>
      </font>
    </dxf>
    <dxf>
      <font>
        <color rgb="FF9C0006"/>
      </font>
    </dxf>
    <dxf>
      <font>
        <color auto="1"/>
      </font>
    </dxf>
    <dxf>
      <font>
        <b/>
        <i val="0"/>
        <color rgb="FF0066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6600"/>
      </font>
    </dxf>
    <dxf>
      <font>
        <color rgb="FF006600"/>
      </font>
    </dxf>
    <dxf>
      <font>
        <b/>
        <i val="0"/>
        <color rgb="FF0000FF"/>
      </font>
    </dxf>
    <dxf>
      <font>
        <b/>
        <i val="0"/>
        <color rgb="FF006600"/>
      </font>
    </dxf>
    <dxf>
      <font>
        <b/>
        <i val="0"/>
        <color rgb="FF0000FF"/>
      </font>
    </dxf>
    <dxf>
      <font>
        <color rgb="FF006600"/>
      </font>
    </dxf>
    <dxf>
      <font>
        <color rgb="FF9C0006"/>
      </font>
    </dxf>
    <dxf>
      <font>
        <color auto="1"/>
      </font>
    </dxf>
    <dxf>
      <font>
        <b/>
        <i val="0"/>
        <color rgb="FF0066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6600"/>
      </font>
    </dxf>
    <dxf>
      <font>
        <color rgb="FF006600"/>
      </font>
    </dxf>
    <dxf>
      <font>
        <b/>
        <i val="0"/>
        <color rgb="FF0000FF"/>
      </font>
    </dxf>
    <dxf>
      <font>
        <b/>
        <i val="0"/>
        <color rgb="FF006600"/>
      </font>
    </dxf>
    <dxf>
      <font>
        <b/>
        <i val="0"/>
        <color rgb="FF0000FF"/>
      </font>
    </dxf>
    <dxf>
      <font>
        <color rgb="FF006600"/>
      </font>
    </dxf>
    <dxf>
      <font>
        <color rgb="FF9C0006"/>
      </font>
    </dxf>
    <dxf>
      <font>
        <color auto="1"/>
      </font>
    </dxf>
    <dxf>
      <font>
        <b/>
        <i val="0"/>
        <color rgb="FF006600"/>
      </font>
    </dxf>
    <dxf>
      <font>
        <b/>
        <i val="0"/>
        <color rgb="FF0000FF"/>
      </font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8000"/>
      <color rgb="FFFF552D"/>
      <color rgb="FFFF3300"/>
      <color rgb="FFFD5B2F"/>
      <color rgb="FFFF481D"/>
      <color rgb="FF333333"/>
      <color rgb="FFFF6600"/>
      <color rgb="FFCC0000"/>
      <color rgb="FFCC990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Jabłka</a:t>
            </a:r>
            <a:r>
              <a:rPr lang="pl-PL" baseline="0"/>
              <a:t> wg odmian (krajowe)</a:t>
            </a:r>
            <a:endParaRPr lang="pl-PL"/>
          </a:p>
        </c:rich>
      </c:tx>
      <c:layout>
        <c:manualLayout>
          <c:xMode val="edge"/>
          <c:yMode val="edge"/>
          <c:x val="0.37037411616161614"/>
          <c:y val="9.1134259259259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9.7453535353535348E-2"/>
          <c:y val="0.26484791666666668"/>
          <c:w val="0.80954141414141412"/>
          <c:h val="0.49778148148148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'DETAL OWOCE WYKRES '!$B$63</c:f>
              <c:strCache>
                <c:ptCount val="1"/>
                <c:pt idx="0">
                  <c:v>15.03.2026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6600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'DETAL OWOCE WYKRES '!$A$64:$A$69</c:f>
              <c:strCache>
                <c:ptCount val="6"/>
                <c:pt idx="0">
                  <c:v>Gala</c:v>
                </c:pt>
                <c:pt idx="1">
                  <c:v>Golden delicious</c:v>
                </c:pt>
                <c:pt idx="2">
                  <c:v>Idared</c:v>
                </c:pt>
                <c:pt idx="3">
                  <c:v>Jonagold/jonagored</c:v>
                </c:pt>
                <c:pt idx="4">
                  <c:v>Ligol</c:v>
                </c:pt>
                <c:pt idx="5">
                  <c:v>Szampion</c:v>
                </c:pt>
              </c:strCache>
            </c:strRef>
          </c:cat>
          <c:val>
            <c:numRef>
              <c:f>'DETAL OWOCE WYKRES '!$B$64:$B$69</c:f>
              <c:numCache>
                <c:formatCode>0.00</c:formatCode>
                <c:ptCount val="6"/>
                <c:pt idx="0">
                  <c:v>3.4468000000000001</c:v>
                </c:pt>
                <c:pt idx="1">
                  <c:v>3.1718999999999999</c:v>
                </c:pt>
                <c:pt idx="2">
                  <c:v>2.9011999999999998</c:v>
                </c:pt>
                <c:pt idx="3">
                  <c:v>2.5804999999999998</c:v>
                </c:pt>
                <c:pt idx="4">
                  <c:v>3.0244</c:v>
                </c:pt>
                <c:pt idx="5">
                  <c:v>2.8206000000000002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A-4FB6-B426-34F951833928}"/>
            </c:ext>
          </c:extLst>
        </c:ser>
        <c:ser>
          <c:idx val="1"/>
          <c:order val="1"/>
          <c:tx>
            <c:strRef>
              <c:f>'DETAL OWOCE WYKRES '!$C$63</c:f>
              <c:strCache>
                <c:ptCount val="1"/>
                <c:pt idx="0">
                  <c:v>08.03.2026</c:v>
                </c:pt>
              </c:strCache>
            </c:strRef>
          </c:tx>
          <c:spPr>
            <a:solidFill>
              <a:srgbClr val="FFC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CC9900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'DETAL OWOCE WYKRES '!$A$64:$A$69</c:f>
              <c:strCache>
                <c:ptCount val="6"/>
                <c:pt idx="0">
                  <c:v>Gala</c:v>
                </c:pt>
                <c:pt idx="1">
                  <c:v>Golden delicious</c:v>
                </c:pt>
                <c:pt idx="2">
                  <c:v>Idared</c:v>
                </c:pt>
                <c:pt idx="3">
                  <c:v>Jonagold/jonagored</c:v>
                </c:pt>
                <c:pt idx="4">
                  <c:v>Ligol</c:v>
                </c:pt>
                <c:pt idx="5">
                  <c:v>Szampion</c:v>
                </c:pt>
              </c:strCache>
            </c:strRef>
          </c:cat>
          <c:val>
            <c:numRef>
              <c:f>'DETAL OWOCE WYKRES '!$C$64:$C$69</c:f>
              <c:numCache>
                <c:formatCode>0.00</c:formatCode>
                <c:ptCount val="6"/>
                <c:pt idx="0">
                  <c:v>3.4159000000000002</c:v>
                </c:pt>
                <c:pt idx="1">
                  <c:v>3.2921999999999998</c:v>
                </c:pt>
                <c:pt idx="2">
                  <c:v>3.0478000000000001</c:v>
                </c:pt>
                <c:pt idx="3">
                  <c:v>2.625</c:v>
                </c:pt>
                <c:pt idx="4">
                  <c:v>3.11</c:v>
                </c:pt>
                <c:pt idx="5">
                  <c:v>2.9224999999999999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EA-4FB6-B426-34F951833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020504"/>
        <c:axId val="443020832"/>
      </c:barChart>
      <c:catAx>
        <c:axId val="44302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43020832"/>
        <c:crosses val="autoZero"/>
        <c:auto val="1"/>
        <c:lblAlgn val="ctr"/>
        <c:lblOffset val="100"/>
        <c:noMultiLvlLbl val="0"/>
      </c:catAx>
      <c:valAx>
        <c:axId val="44302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4302050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849381313131313"/>
          <c:y val="0.87798726851851838"/>
          <c:w val="0.26621931818181815"/>
          <c:h val="6.02766203703703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Warzywa</a:t>
            </a:r>
            <a:r>
              <a:rPr lang="pl-PL" baseline="0"/>
              <a:t> (krajowe)</a:t>
            </a:r>
            <a:endParaRPr lang="pl-PL"/>
          </a:p>
        </c:rich>
      </c:tx>
      <c:layout>
        <c:manualLayout>
          <c:xMode val="edge"/>
          <c:yMode val="edge"/>
          <c:x val="0.40798914141414139"/>
          <c:y val="7.9375000000000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9.6747979797979791E-2"/>
          <c:y val="0.24720902777777778"/>
          <c:w val="0.8262823232323232"/>
          <c:h val="0.502511111111111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'DETAL WARZ WYKRES'!$B$60</c:f>
              <c:strCache>
                <c:ptCount val="1"/>
                <c:pt idx="0">
                  <c:v>15.03.2026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996600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'DETAL WARZ WYKRES'!$A$61:$A$63</c:f>
              <c:strCache>
                <c:ptCount val="3"/>
                <c:pt idx="0">
                  <c:v>Marchew</c:v>
                </c:pt>
                <c:pt idx="1">
                  <c:v>Pomidory okrągłe</c:v>
                </c:pt>
                <c:pt idx="2">
                  <c:v>Ziemniaki</c:v>
                </c:pt>
              </c:strCache>
            </c:strRef>
          </c:cat>
          <c:val>
            <c:numRef>
              <c:f>'DETAL WARZ WYKRES'!$B$61:$B$63</c:f>
              <c:numCache>
                <c:formatCode>0.00</c:formatCode>
                <c:ptCount val="3"/>
                <c:pt idx="0">
                  <c:v>2.0193500000000002</c:v>
                </c:pt>
                <c:pt idx="1">
                  <c:v>17.5823</c:v>
                </c:pt>
                <c:pt idx="2">
                  <c:v>1.1516999999999999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7-40B0-9D09-2C5E52B758FA}"/>
            </c:ext>
          </c:extLst>
        </c:ser>
        <c:ser>
          <c:idx val="1"/>
          <c:order val="1"/>
          <c:tx>
            <c:strRef>
              <c:f>'DETAL WARZ WYKRES'!$C$60</c:f>
              <c:strCache>
                <c:ptCount val="1"/>
                <c:pt idx="0">
                  <c:v>08.03.2026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'DETAL WARZ WYKRES'!$A$61:$A$63</c:f>
              <c:strCache>
                <c:ptCount val="3"/>
                <c:pt idx="0">
                  <c:v>Marchew</c:v>
                </c:pt>
                <c:pt idx="1">
                  <c:v>Pomidory okrągłe</c:v>
                </c:pt>
                <c:pt idx="2">
                  <c:v>Ziemniaki</c:v>
                </c:pt>
              </c:strCache>
            </c:strRef>
          </c:cat>
          <c:val>
            <c:numRef>
              <c:f>'DETAL WARZ WYKRES'!$C$61:$C$63</c:f>
              <c:numCache>
                <c:formatCode>0.00</c:formatCode>
                <c:ptCount val="3"/>
                <c:pt idx="0">
                  <c:v>2.3102</c:v>
                </c:pt>
                <c:pt idx="1">
                  <c:v>16.052700000000002</c:v>
                </c:pt>
                <c:pt idx="2">
                  <c:v>1.1083000000000001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F7-40B0-9D09-2C5E52B75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016896"/>
        <c:axId val="443015912"/>
      </c:barChart>
      <c:catAx>
        <c:axId val="44301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43015912"/>
        <c:crosses val="autoZero"/>
        <c:auto val="1"/>
        <c:lblAlgn val="ctr"/>
        <c:lblOffset val="100"/>
        <c:noMultiLvlLbl val="0"/>
      </c:catAx>
      <c:valAx>
        <c:axId val="44301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43016896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385012626262628"/>
          <c:y val="0.8851034722222223"/>
          <c:w val="0.22192083333333334"/>
          <c:h val="5.316041666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8FD9C.F41DAA6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chart" Target="../charts/chart1.xml"/><Relationship Id="rId5" Type="http://schemas.openxmlformats.org/officeDocument/2006/relationships/image" Target="../media/image8.png"/><Relationship Id="rId4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chart" Target="../charts/chart2.xml"/><Relationship Id="rId4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9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388034</xdr:colOff>
      <xdr:row>15</xdr:row>
      <xdr:rowOff>160077</xdr:rowOff>
    </xdr:from>
    <xdr:to>
      <xdr:col>10</xdr:col>
      <xdr:colOff>704533</xdr:colOff>
      <xdr:row>18</xdr:row>
      <xdr:rowOff>17602</xdr:rowOff>
    </xdr:to>
    <xdr:sp macro="" textlink="">
      <xdr:nvSpPr>
        <xdr:cNvPr id="2" name="Schemat blokowy: dan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rot="12804145">
          <a:off x="3385234" y="5722677"/>
          <a:ext cx="4812299" cy="619525"/>
        </a:xfrm>
        <a:prstGeom prst="flowChartInputOutput">
          <a:avLst/>
        </a:prstGeom>
        <a:solidFill>
          <a:srgbClr val="8FB143">
            <a:alpha val="23922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 editAs="oneCell">
    <xdr:from>
      <xdr:col>1</xdr:col>
      <xdr:colOff>62534</xdr:colOff>
      <xdr:row>5</xdr:row>
      <xdr:rowOff>160681</xdr:rowOff>
    </xdr:from>
    <xdr:to>
      <xdr:col>2</xdr:col>
      <xdr:colOff>304800</xdr:colOff>
      <xdr:row>6</xdr:row>
      <xdr:rowOff>127732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834" y="1684681"/>
          <a:ext cx="991566" cy="221051"/>
        </a:xfrm>
        <a:prstGeom prst="rect">
          <a:avLst/>
        </a:prstGeom>
      </xdr:spPr>
    </xdr:pic>
    <xdr:clientData/>
  </xdr:twoCellAnchor>
  <xdr:twoCellAnchor>
    <xdr:from>
      <xdr:col>5</xdr:col>
      <xdr:colOff>279662</xdr:colOff>
      <xdr:row>20</xdr:row>
      <xdr:rowOff>133908</xdr:rowOff>
    </xdr:from>
    <xdr:to>
      <xdr:col>12</xdr:col>
      <xdr:colOff>349083</xdr:colOff>
      <xdr:row>23</xdr:row>
      <xdr:rowOff>85886</xdr:rowOff>
    </xdr:to>
    <xdr:sp macro="" textlink="">
      <xdr:nvSpPr>
        <xdr:cNvPr id="4" name="Schemat blokowy: dan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2810779">
          <a:off x="4026162" y="6966508"/>
          <a:ext cx="5314521" cy="713978"/>
        </a:xfrm>
        <a:prstGeom prst="flowChartInputOutput">
          <a:avLst/>
        </a:prstGeom>
        <a:solidFill>
          <a:srgbClr val="70AD47">
            <a:lumMod val="60000"/>
            <a:lumOff val="40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0</xdr:col>
      <xdr:colOff>0</xdr:colOff>
      <xdr:row>16</xdr:row>
      <xdr:rowOff>133350</xdr:rowOff>
    </xdr:from>
    <xdr:to>
      <xdr:col>8</xdr:col>
      <xdr:colOff>123825</xdr:colOff>
      <xdr:row>16</xdr:row>
      <xdr:rowOff>133350</xdr:rowOff>
    </xdr:to>
    <xdr:cxnSp macro="">
      <xdr:nvCxnSpPr>
        <xdr:cNvPr id="5" name="Łącznik prosty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0" y="5949950"/>
          <a:ext cx="6118225" cy="0"/>
        </a:xfrm>
        <a:prstGeom prst="line">
          <a:avLst/>
        </a:prstGeom>
        <a:ln w="38100">
          <a:solidFill>
            <a:srgbClr val="00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</xdr:row>
      <xdr:rowOff>203768</xdr:rowOff>
    </xdr:from>
    <xdr:to>
      <xdr:col>5</xdr:col>
      <xdr:colOff>666877</xdr:colOff>
      <xdr:row>24</xdr:row>
      <xdr:rowOff>34312</xdr:rowOff>
    </xdr:to>
    <xdr:sp macro="" textlink="">
      <xdr:nvSpPr>
        <xdr:cNvPr id="6" name="Schemat blokowy: dane 5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 rot="12781388">
          <a:off x="0" y="7290368"/>
          <a:ext cx="4413377" cy="592544"/>
        </a:xfrm>
        <a:prstGeom prst="flowChartInputOutput">
          <a:avLst/>
        </a:prstGeom>
        <a:solidFill>
          <a:srgbClr val="70AD47">
            <a:lumMod val="60000"/>
            <a:lumOff val="40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5</xdr:col>
      <xdr:colOff>678224</xdr:colOff>
      <xdr:row>14</xdr:row>
      <xdr:rowOff>144824</xdr:rowOff>
    </xdr:from>
    <xdr:to>
      <xdr:col>6</xdr:col>
      <xdr:colOff>323849</xdr:colOff>
      <xdr:row>16</xdr:row>
      <xdr:rowOff>9524</xdr:rowOff>
    </xdr:to>
    <xdr:sp macro="" textlink="">
      <xdr:nvSpPr>
        <xdr:cNvPr id="7" name="Schemat blokowy: opóźnienie 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424724" y="5453424"/>
          <a:ext cx="394925" cy="372700"/>
        </a:xfrm>
        <a:prstGeom prst="flowChartDelay">
          <a:avLst/>
        </a:prstGeom>
        <a:solidFill>
          <a:srgbClr val="FF552D"/>
        </a:solidFill>
        <a:ln w="635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390525</xdr:colOff>
      <xdr:row>14</xdr:row>
      <xdr:rowOff>142873</xdr:rowOff>
    </xdr:from>
    <xdr:to>
      <xdr:col>5</xdr:col>
      <xdr:colOff>704850</xdr:colOff>
      <xdr:row>16</xdr:row>
      <xdr:rowOff>7573</xdr:rowOff>
    </xdr:to>
    <xdr:sp macro="" textlink="">
      <xdr:nvSpPr>
        <xdr:cNvPr id="8" name="Prostokąt 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4137025" y="5451473"/>
          <a:ext cx="314325" cy="372700"/>
        </a:xfrm>
        <a:prstGeom prst="rect">
          <a:avLst/>
        </a:prstGeom>
        <a:solidFill>
          <a:srgbClr val="FF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</xdr:col>
      <xdr:colOff>0</xdr:colOff>
      <xdr:row>0</xdr:row>
      <xdr:rowOff>171450</xdr:rowOff>
    </xdr:from>
    <xdr:to>
      <xdr:col>2</xdr:col>
      <xdr:colOff>552450</xdr:colOff>
      <xdr:row>1</xdr:row>
      <xdr:rowOff>165151</xdr:rowOff>
    </xdr:to>
    <xdr:pic>
      <xdr:nvPicPr>
        <xdr:cNvPr id="9" name="Obraz 2" descr="logo_stopka.pd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300" y="171450"/>
          <a:ext cx="1301750" cy="311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607435</xdr:colOff>
      <xdr:row>14</xdr:row>
      <xdr:rowOff>243301</xdr:rowOff>
    </xdr:from>
    <xdr:to>
      <xdr:col>15</xdr:col>
      <xdr:colOff>60840</xdr:colOff>
      <xdr:row>17</xdr:row>
      <xdr:rowOff>238847</xdr:rowOff>
    </xdr:to>
    <xdr:sp macro="" textlink="">
      <xdr:nvSpPr>
        <xdr:cNvPr id="10" name="Schemat blokowy: dane 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 rot="12749519">
          <a:off x="5103235" y="5551901"/>
          <a:ext cx="6197105" cy="757546"/>
        </a:xfrm>
        <a:prstGeom prst="flowChartInputOutput">
          <a:avLst/>
        </a:prstGeom>
        <a:solidFill>
          <a:srgbClr val="70AD47">
            <a:lumMod val="60000"/>
            <a:lumOff val="40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8</xdr:col>
      <xdr:colOff>125672</xdr:colOff>
      <xdr:row>17</xdr:row>
      <xdr:rowOff>226277</xdr:rowOff>
    </xdr:from>
    <xdr:to>
      <xdr:col>14</xdr:col>
      <xdr:colOff>396875</xdr:colOff>
      <xdr:row>20</xdr:row>
      <xdr:rowOff>72418</xdr:rowOff>
    </xdr:to>
    <xdr:sp macro="" textlink="">
      <xdr:nvSpPr>
        <xdr:cNvPr id="11" name="Schemat blokowy: dane 1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 rot="12781081">
          <a:off x="6120072" y="6296877"/>
          <a:ext cx="4767003" cy="608141"/>
        </a:xfrm>
        <a:prstGeom prst="flowChartInputOutput">
          <a:avLst/>
        </a:prstGeom>
        <a:solidFill>
          <a:srgbClr val="70AD47">
            <a:lumMod val="75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3</xdr:col>
      <xdr:colOff>646802</xdr:colOff>
      <xdr:row>22</xdr:row>
      <xdr:rowOff>85449</xdr:rowOff>
    </xdr:from>
    <xdr:to>
      <xdr:col>10</xdr:col>
      <xdr:colOff>445451</xdr:colOff>
      <xdr:row>24</xdr:row>
      <xdr:rowOff>230961</xdr:rowOff>
    </xdr:to>
    <xdr:sp macro="" textlink="">
      <xdr:nvSpPr>
        <xdr:cNvPr id="12" name="Schemat blokowy: dane 1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rot="12804145">
          <a:off x="2894702" y="7426049"/>
          <a:ext cx="5043749" cy="653512"/>
        </a:xfrm>
        <a:prstGeom prst="flowChartInputOutput">
          <a:avLst/>
        </a:prstGeom>
        <a:solidFill>
          <a:srgbClr val="8FB143">
            <a:alpha val="23922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0</xdr:col>
      <xdr:colOff>0</xdr:colOff>
      <xdr:row>14</xdr:row>
      <xdr:rowOff>142875</xdr:rowOff>
    </xdr:from>
    <xdr:to>
      <xdr:col>5</xdr:col>
      <xdr:colOff>388125</xdr:colOff>
      <xdr:row>16</xdr:row>
      <xdr:rowOff>7575</xdr:rowOff>
    </xdr:to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5451475"/>
          <a:ext cx="4134625" cy="372700"/>
        </a:xfrm>
        <a:prstGeom prst="rect">
          <a:avLst/>
        </a:prstGeom>
        <a:solidFill>
          <a:srgbClr val="32822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400" b="1">
              <a:solidFill>
                <a:schemeClr val="bg1"/>
              </a:solidFill>
              <a:latin typeface="+mn-lt"/>
            </a:rPr>
            <a:t>  </a:t>
          </a:r>
          <a:r>
            <a:rPr lang="pl-PL" sz="1400" b="1" baseline="0">
              <a:solidFill>
                <a:schemeClr val="bg1"/>
              </a:solidFill>
              <a:latin typeface="+mn-lt"/>
            </a:rPr>
            <a:t>              </a:t>
          </a:r>
          <a:r>
            <a:rPr lang="pl-PL" sz="1400" b="1">
              <a:solidFill>
                <a:schemeClr val="bg1"/>
              </a:solidFill>
              <a:latin typeface="+mn-lt"/>
            </a:rPr>
            <a:t>Notowania za okres: 09.03</a:t>
          </a:r>
          <a:r>
            <a:rPr lang="pl-PL" sz="1400" b="1" baseline="0">
              <a:solidFill>
                <a:schemeClr val="bg1"/>
              </a:solidFill>
              <a:latin typeface="+mn-lt"/>
            </a:rPr>
            <a:t> </a:t>
          </a:r>
          <a:r>
            <a:rPr lang="pl-PL" sz="1400" b="1">
              <a:solidFill>
                <a:schemeClr val="bg1"/>
              </a:solidFill>
              <a:latin typeface="+mn-lt"/>
            </a:rPr>
            <a:t>- 18.03.2026 r.</a:t>
          </a:r>
        </a:p>
      </xdr:txBody>
    </xdr:sp>
    <xdr:clientData/>
  </xdr:twoCellAnchor>
  <xdr:twoCellAnchor>
    <xdr:from>
      <xdr:col>5</xdr:col>
      <xdr:colOff>390525</xdr:colOff>
      <xdr:row>14</xdr:row>
      <xdr:rowOff>142874</xdr:rowOff>
    </xdr:from>
    <xdr:to>
      <xdr:col>6</xdr:col>
      <xdr:colOff>57150</xdr:colOff>
      <xdr:row>16</xdr:row>
      <xdr:rowOff>7574</xdr:rowOff>
    </xdr:to>
    <xdr:sp macro="" textlink="">
      <xdr:nvSpPr>
        <xdr:cNvPr id="14" name="Schemat blokowy: opóźnieni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962400" y="5391149"/>
          <a:ext cx="381000" cy="360000"/>
        </a:xfrm>
        <a:prstGeom prst="flowChartDelay">
          <a:avLst/>
        </a:prstGeom>
        <a:solidFill>
          <a:srgbClr val="328228"/>
        </a:solidFill>
        <a:ln w="635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10</xdr:col>
      <xdr:colOff>644931</xdr:colOff>
      <xdr:row>14</xdr:row>
      <xdr:rowOff>70709</xdr:rowOff>
    </xdr:from>
    <xdr:to>
      <xdr:col>15</xdr:col>
      <xdr:colOff>640935</xdr:colOff>
      <xdr:row>16</xdr:row>
      <xdr:rowOff>53107</xdr:rowOff>
    </xdr:to>
    <xdr:sp macro="" textlink="">
      <xdr:nvSpPr>
        <xdr:cNvPr id="15" name="Schemat blokowy: dane 1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 rot="12810779">
          <a:off x="8137931" y="5379309"/>
          <a:ext cx="3742504" cy="490398"/>
        </a:xfrm>
        <a:prstGeom prst="flowChartInputOutput">
          <a:avLst/>
        </a:prstGeom>
        <a:solidFill>
          <a:srgbClr val="EFF7E1">
            <a:alpha val="53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>
            <a:solidFill>
              <a:srgbClr val="99FFCC"/>
            </a:solidFill>
          </a:endParaRPr>
        </a:p>
      </xdr:txBody>
    </xdr:sp>
    <xdr:clientData/>
  </xdr:twoCellAnchor>
  <xdr:twoCellAnchor>
    <xdr:from>
      <xdr:col>0</xdr:col>
      <xdr:colOff>9525</xdr:colOff>
      <xdr:row>17</xdr:row>
      <xdr:rowOff>9525</xdr:rowOff>
    </xdr:from>
    <xdr:to>
      <xdr:col>12</xdr:col>
      <xdr:colOff>581025</xdr:colOff>
      <xdr:row>17</xdr:row>
      <xdr:rowOff>28575</xdr:rowOff>
    </xdr:to>
    <xdr:cxnSp macro="">
      <xdr:nvCxnSpPr>
        <xdr:cNvPr id="16" name="Łącznik prosty 1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9525" y="6080125"/>
          <a:ext cx="9563100" cy="19050"/>
        </a:xfrm>
        <a:prstGeom prst="line">
          <a:avLst/>
        </a:prstGeom>
        <a:ln w="34925">
          <a:solidFill>
            <a:srgbClr val="99CC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361950</xdr:colOff>
      <xdr:row>18</xdr:row>
      <xdr:rowOff>57150</xdr:rowOff>
    </xdr:from>
    <xdr:to>
      <xdr:col>2</xdr:col>
      <xdr:colOff>636294</xdr:colOff>
      <xdr:row>19</xdr:row>
      <xdr:rowOff>83844</xdr:rowOff>
    </xdr:to>
    <xdr:pic>
      <xdr:nvPicPr>
        <xdr:cNvPr id="17" name="Obraz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0550" y="6381750"/>
          <a:ext cx="274344" cy="280694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19</xdr:row>
      <xdr:rowOff>142875</xdr:rowOff>
    </xdr:from>
    <xdr:to>
      <xdr:col>6</xdr:col>
      <xdr:colOff>480753</xdr:colOff>
      <xdr:row>21</xdr:row>
      <xdr:rowOff>236666</xdr:rowOff>
    </xdr:to>
    <xdr:sp macro="" textlink="">
      <xdr:nvSpPr>
        <xdr:cNvPr id="18" name="Schemat blokowy: dane 1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 rot="12781081">
          <a:off x="209550" y="6721475"/>
          <a:ext cx="4767003" cy="601791"/>
        </a:xfrm>
        <a:prstGeom prst="flowChartInputOutput">
          <a:avLst/>
        </a:prstGeom>
        <a:solidFill>
          <a:srgbClr val="70AD47">
            <a:lumMod val="75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590550</xdr:colOff>
      <xdr:row>0</xdr:row>
      <xdr:rowOff>28575</xdr:rowOff>
    </xdr:from>
    <xdr:to>
      <xdr:col>14</xdr:col>
      <xdr:colOff>638240</xdr:colOff>
      <xdr:row>0</xdr:row>
      <xdr:rowOff>199278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700" y="28575"/>
          <a:ext cx="762066" cy="1707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10" name="Grupa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11" name="Obraz 10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12" name="Obraz 11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13" name="Grupa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4" name="pole tekstowe 13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15" name="Schemat blokowy: opóźnienie 14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607919</xdr:colOff>
      <xdr:row>0</xdr:row>
      <xdr:rowOff>39781</xdr:rowOff>
    </xdr:from>
    <xdr:to>
      <xdr:col>13</xdr:col>
      <xdr:colOff>653704</xdr:colOff>
      <xdr:row>0</xdr:row>
      <xdr:rowOff>214294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75184" y="39781"/>
          <a:ext cx="764867" cy="1707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4" name="Obraz 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5" name="Obraz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8" name="Schemat blokowy: opóźnienie 7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615764</xdr:colOff>
      <xdr:row>0</xdr:row>
      <xdr:rowOff>33618</xdr:rowOff>
    </xdr:from>
    <xdr:to>
      <xdr:col>13</xdr:col>
      <xdr:colOff>667264</xdr:colOff>
      <xdr:row>0</xdr:row>
      <xdr:rowOff>202416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9205" y="33618"/>
          <a:ext cx="764867" cy="1707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0" y="0"/>
          <a:ext cx="713294" cy="1103467"/>
          <a:chOff x="0" y="0"/>
          <a:chExt cx="713294" cy="1100292"/>
        </a:xfrm>
      </xdr:grpSpPr>
      <xdr:pic>
        <xdr:nvPicPr>
          <xdr:cNvPr id="4" name="Obraz 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5" name="Obraz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8" name="Schemat blokowy: opóźnienie 7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 editAs="oneCell">
    <xdr:from>
      <xdr:col>12</xdr:col>
      <xdr:colOff>447675</xdr:colOff>
      <xdr:row>0</xdr:row>
      <xdr:rowOff>38100</xdr:rowOff>
    </xdr:from>
    <xdr:to>
      <xdr:col>13</xdr:col>
      <xdr:colOff>498167</xdr:colOff>
      <xdr:row>0</xdr:row>
      <xdr:rowOff>208803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77350" y="38100"/>
          <a:ext cx="764867" cy="1707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8" name="Grupa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9" name="Obraz 8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10" name="Obraz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11" name="Grupa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2" name="pole tekstowe 11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660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13" name="Schemat blokowy: opóźnienie 12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6600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 editAs="oneCell">
    <xdr:from>
      <xdr:col>10</xdr:col>
      <xdr:colOff>638175</xdr:colOff>
      <xdr:row>0</xdr:row>
      <xdr:rowOff>28575</xdr:rowOff>
    </xdr:from>
    <xdr:to>
      <xdr:col>11</xdr:col>
      <xdr:colOff>688667</xdr:colOff>
      <xdr:row>0</xdr:row>
      <xdr:rowOff>199278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48925" y="28575"/>
          <a:ext cx="764867" cy="1707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 editAs="oneCell">
    <xdr:from>
      <xdr:col>8</xdr:col>
      <xdr:colOff>428625</xdr:colOff>
      <xdr:row>0</xdr:row>
      <xdr:rowOff>28575</xdr:rowOff>
    </xdr:from>
    <xdr:to>
      <xdr:col>9</xdr:col>
      <xdr:colOff>581091</xdr:colOff>
      <xdr:row>0</xdr:row>
      <xdr:rowOff>199278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53675" y="28575"/>
          <a:ext cx="762066" cy="170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 editAs="oneCell">
    <xdr:from>
      <xdr:col>10</xdr:col>
      <xdr:colOff>447675</xdr:colOff>
      <xdr:row>0</xdr:row>
      <xdr:rowOff>38100</xdr:rowOff>
    </xdr:from>
    <xdr:to>
      <xdr:col>11</xdr:col>
      <xdr:colOff>604847</xdr:colOff>
      <xdr:row>0</xdr:row>
      <xdr:rowOff>224043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72700" y="38100"/>
          <a:ext cx="764867" cy="17070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 editAs="oneCell">
    <xdr:from>
      <xdr:col>10</xdr:col>
      <xdr:colOff>438150</xdr:colOff>
      <xdr:row>0</xdr:row>
      <xdr:rowOff>57150</xdr:rowOff>
    </xdr:from>
    <xdr:to>
      <xdr:col>11</xdr:col>
      <xdr:colOff>604847</xdr:colOff>
      <xdr:row>0</xdr:row>
      <xdr:rowOff>227853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34575" y="57150"/>
          <a:ext cx="764867" cy="17070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693419</xdr:colOff>
      <xdr:row>3</xdr:row>
      <xdr:rowOff>236222</xdr:rowOff>
    </xdr:from>
    <xdr:to>
      <xdr:col>12</xdr:col>
      <xdr:colOff>42824</xdr:colOff>
      <xdr:row>20</xdr:row>
      <xdr:rowOff>106680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4" name="Obraz 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5" name="Obraz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8" name="Schemat blokowy: opóźnienie 7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 editAs="oneCell">
    <xdr:from>
      <xdr:col>11</xdr:col>
      <xdr:colOff>657225</xdr:colOff>
      <xdr:row>0</xdr:row>
      <xdr:rowOff>47625</xdr:rowOff>
    </xdr:from>
    <xdr:to>
      <xdr:col>12</xdr:col>
      <xdr:colOff>711013</xdr:colOff>
      <xdr:row>0</xdr:row>
      <xdr:rowOff>218328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99525" y="47625"/>
          <a:ext cx="803088" cy="17070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704849</xdr:colOff>
      <xdr:row>3</xdr:row>
      <xdr:rowOff>285750</xdr:rowOff>
    </xdr:from>
    <xdr:to>
      <xdr:col>13</xdr:col>
      <xdr:colOff>128549</xdr:colOff>
      <xdr:row>25</xdr:row>
      <xdr:rowOff>90900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4" name="Obraz 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5" name="Obraz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8" name="Schemat blokowy: opóźnienie 7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4" name="Grupa 3">
          <a:extLst>
            <a:ext uri="{FF2B5EF4-FFF2-40B4-BE49-F238E27FC236}">
              <a16:creationId xmlns:a16="http://schemas.microsoft.com/office/drawing/2014/main" id="{B2A526AD-383E-48A5-ABCE-1F0EFDB0F029}"/>
            </a:ext>
          </a:extLst>
        </xdr:cNvPr>
        <xdr:cNvGrpSpPr/>
      </xdr:nvGrpSpPr>
      <xdr:grpSpPr>
        <a:xfrm>
          <a:off x="0" y="0"/>
          <a:ext cx="713294" cy="1122517"/>
          <a:chOff x="0" y="0"/>
          <a:chExt cx="713294" cy="1100292"/>
        </a:xfrm>
      </xdr:grpSpPr>
      <xdr:pic>
        <xdr:nvPicPr>
          <xdr:cNvPr id="5" name="Obraz 4">
            <a:extLst>
              <a:ext uri="{FF2B5EF4-FFF2-40B4-BE49-F238E27FC236}">
                <a16:creationId xmlns:a16="http://schemas.microsoft.com/office/drawing/2014/main" id="{B22C60F4-EB00-F20A-1BCC-F095FA31D9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6" name="Obraz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BAE3C2F-3283-E856-61EA-9E38517BDA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7" name="Grupa 6">
            <a:extLst>
              <a:ext uri="{FF2B5EF4-FFF2-40B4-BE49-F238E27FC236}">
                <a16:creationId xmlns:a16="http://schemas.microsoft.com/office/drawing/2014/main" id="{AE6D992B-3523-96F8-3517-1E1FACE1B45A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8" name="pole tekstowe 7">
              <a:extLst>
                <a:ext uri="{FF2B5EF4-FFF2-40B4-BE49-F238E27FC236}">
                  <a16:creationId xmlns:a16="http://schemas.microsoft.com/office/drawing/2014/main" id="{E63FBA7E-4CA6-C411-FF7C-81EFA590EAF2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9" name="Schemat blokowy: opóźnienie 8">
              <a:extLst>
                <a:ext uri="{FF2B5EF4-FFF2-40B4-BE49-F238E27FC236}">
                  <a16:creationId xmlns:a16="http://schemas.microsoft.com/office/drawing/2014/main" id="{62539942-2C4E-2071-2007-E2990451BE8D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147792</xdr:rowOff>
    </xdr:to>
    <xdr:grpSp>
      <xdr:nvGrpSpPr>
        <xdr:cNvPr id="8" name="Grupa 7">
          <a:extLst>
            <a:ext uri="{FF2B5EF4-FFF2-40B4-BE49-F238E27FC236}">
              <a16:creationId xmlns:a16="http://schemas.microsoft.com/office/drawing/2014/main" id="{12D6CEF0-2EAA-4747-9A27-C7FE9AF7D58E}"/>
            </a:ext>
          </a:extLst>
        </xdr:cNvPr>
        <xdr:cNvGrpSpPr/>
      </xdr:nvGrpSpPr>
      <xdr:grpSpPr>
        <a:xfrm>
          <a:off x="0" y="0"/>
          <a:ext cx="713294" cy="1112992"/>
          <a:chOff x="0" y="0"/>
          <a:chExt cx="713294" cy="1100292"/>
        </a:xfrm>
      </xdr:grpSpPr>
      <xdr:pic>
        <xdr:nvPicPr>
          <xdr:cNvPr id="9" name="Obraz 8">
            <a:extLst>
              <a:ext uri="{FF2B5EF4-FFF2-40B4-BE49-F238E27FC236}">
                <a16:creationId xmlns:a16="http://schemas.microsoft.com/office/drawing/2014/main" id="{36D771EB-F9DF-F8D8-2C9A-B81E99FE9C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10" name="Obraz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85687539-6C1C-55B3-804A-99BAB3E0E0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11" name="Grupa 10">
            <a:extLst>
              <a:ext uri="{FF2B5EF4-FFF2-40B4-BE49-F238E27FC236}">
                <a16:creationId xmlns:a16="http://schemas.microsoft.com/office/drawing/2014/main" id="{CEDD2050-E518-7246-9C78-A06CA534CF5C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2" name="pole tekstowe 11">
              <a:extLst>
                <a:ext uri="{FF2B5EF4-FFF2-40B4-BE49-F238E27FC236}">
                  <a16:creationId xmlns:a16="http://schemas.microsoft.com/office/drawing/2014/main" id="{6C8E8091-3310-12BA-8EF8-504EFAE02E86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13" name="Schemat blokowy: opóźnienie 12">
              <a:extLst>
                <a:ext uri="{FF2B5EF4-FFF2-40B4-BE49-F238E27FC236}">
                  <a16:creationId xmlns:a16="http://schemas.microsoft.com/office/drawing/2014/main" id="{0BB428CA-FF6D-254E-8625-2A8778232E10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0" y="0"/>
          <a:ext cx="713294" cy="1122517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147792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0" y="0"/>
          <a:ext cx="713294" cy="1111498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10</xdr:row>
      <xdr:rowOff>0</xdr:rowOff>
    </xdr:from>
    <xdr:to>
      <xdr:col>4</xdr:col>
      <xdr:colOff>419100</xdr:colOff>
      <xdr:row>26</xdr:row>
      <xdr:rowOff>0</xdr:rowOff>
    </xdr:to>
    <xdr:sp macro="" textlink="">
      <xdr:nvSpPr>
        <xdr:cNvPr id="3" name="Strzałka w górę 2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3048000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285750</xdr:colOff>
      <xdr:row>9</xdr:row>
      <xdr:rowOff>200025</xdr:rowOff>
    </xdr:from>
    <xdr:to>
      <xdr:col>13</xdr:col>
      <xdr:colOff>409575</xdr:colOff>
      <xdr:row>25</xdr:row>
      <xdr:rowOff>200025</xdr:rowOff>
    </xdr:to>
    <xdr:sp macro="" textlink="">
      <xdr:nvSpPr>
        <xdr:cNvPr id="5" name="Strzałka w górę 16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10375900" y="2994025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0</xdr:colOff>
      <xdr:row>0</xdr:row>
      <xdr:rowOff>38100</xdr:rowOff>
    </xdr:from>
    <xdr:to>
      <xdr:col>17</xdr:col>
      <xdr:colOff>47691</xdr:colOff>
      <xdr:row>0</xdr:row>
      <xdr:rowOff>208803</xdr:rowOff>
    </xdr:to>
    <xdr:pic>
      <xdr:nvPicPr>
        <xdr:cNvPr id="16" name="Obraz 15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6500" y="38100"/>
          <a:ext cx="796991" cy="1707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146111</xdr:rowOff>
    </xdr:to>
    <xdr:grpSp>
      <xdr:nvGrpSpPr>
        <xdr:cNvPr id="6" name="Grupa 5">
          <a:extLst>
            <a:ext uri="{FF2B5EF4-FFF2-40B4-BE49-F238E27FC236}">
              <a16:creationId xmlns:a16="http://schemas.microsoft.com/office/drawing/2014/main" id="{084F590E-7057-4042-B71C-FE62F730EA21}"/>
            </a:ext>
          </a:extLst>
        </xdr:cNvPr>
        <xdr:cNvGrpSpPr/>
      </xdr:nvGrpSpPr>
      <xdr:grpSpPr>
        <a:xfrm>
          <a:off x="0" y="0"/>
          <a:ext cx="713294" cy="1098611"/>
          <a:chOff x="0" y="0"/>
          <a:chExt cx="713294" cy="1100292"/>
        </a:xfrm>
      </xdr:grpSpPr>
      <xdr:pic>
        <xdr:nvPicPr>
          <xdr:cNvPr id="7" name="Obraz 6">
            <a:extLst>
              <a:ext uri="{FF2B5EF4-FFF2-40B4-BE49-F238E27FC236}">
                <a16:creationId xmlns:a16="http://schemas.microsoft.com/office/drawing/2014/main" id="{2F19549E-983F-5C4D-6DAB-9C35739CFA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8" name="Obraz 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619BDFA-1DAA-3C46-BBA0-6813FD7AAF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9" name="Grupa 8">
            <a:extLst>
              <a:ext uri="{FF2B5EF4-FFF2-40B4-BE49-F238E27FC236}">
                <a16:creationId xmlns:a16="http://schemas.microsoft.com/office/drawing/2014/main" id="{95D22F68-7D89-554D-18CF-2EC0569E0C8F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0" name="pole tekstowe 9">
              <a:extLst>
                <a:ext uri="{FF2B5EF4-FFF2-40B4-BE49-F238E27FC236}">
                  <a16:creationId xmlns:a16="http://schemas.microsoft.com/office/drawing/2014/main" id="{BA568346-5C22-7E53-20EE-F330FBAB2556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11" name="Schemat blokowy: opóźnienie 10">
              <a:extLst>
                <a:ext uri="{FF2B5EF4-FFF2-40B4-BE49-F238E27FC236}">
                  <a16:creationId xmlns:a16="http://schemas.microsoft.com/office/drawing/2014/main" id="{C9CA8F5C-C10F-68A1-C57D-B6E4B03E7472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10</xdr:row>
      <xdr:rowOff>0</xdr:rowOff>
    </xdr:from>
    <xdr:to>
      <xdr:col>4</xdr:col>
      <xdr:colOff>419100</xdr:colOff>
      <xdr:row>26</xdr:row>
      <xdr:rowOff>0</xdr:rowOff>
    </xdr:to>
    <xdr:sp macro="" textlink="">
      <xdr:nvSpPr>
        <xdr:cNvPr id="3" name="Strzałka w górę 2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3048000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285750</xdr:colOff>
      <xdr:row>9</xdr:row>
      <xdr:rowOff>200025</xdr:rowOff>
    </xdr:from>
    <xdr:to>
      <xdr:col>13</xdr:col>
      <xdr:colOff>409575</xdr:colOff>
      <xdr:row>25</xdr:row>
      <xdr:rowOff>200025</xdr:rowOff>
    </xdr:to>
    <xdr:sp macro="" textlink="">
      <xdr:nvSpPr>
        <xdr:cNvPr id="5" name="Strzałka w górę 16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10375900" y="2994025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0</xdr:colOff>
      <xdr:row>0</xdr:row>
      <xdr:rowOff>38100</xdr:rowOff>
    </xdr:from>
    <xdr:to>
      <xdr:col>17</xdr:col>
      <xdr:colOff>47691</xdr:colOff>
      <xdr:row>0</xdr:row>
      <xdr:rowOff>208803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6500" y="38100"/>
          <a:ext cx="796991" cy="1707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146111</xdr:rowOff>
    </xdr:to>
    <xdr:grpSp>
      <xdr:nvGrpSpPr>
        <xdr:cNvPr id="8" name="Grupa 7">
          <a:extLst>
            <a:ext uri="{FF2B5EF4-FFF2-40B4-BE49-F238E27FC236}">
              <a16:creationId xmlns:a16="http://schemas.microsoft.com/office/drawing/2014/main" id="{FC3A4297-745D-4517-97D4-2D05F59CA511}"/>
            </a:ext>
          </a:extLst>
        </xdr:cNvPr>
        <xdr:cNvGrpSpPr/>
      </xdr:nvGrpSpPr>
      <xdr:grpSpPr>
        <a:xfrm>
          <a:off x="0" y="0"/>
          <a:ext cx="713294" cy="1098611"/>
          <a:chOff x="0" y="0"/>
          <a:chExt cx="713294" cy="1100292"/>
        </a:xfrm>
      </xdr:grpSpPr>
      <xdr:pic>
        <xdr:nvPicPr>
          <xdr:cNvPr id="9" name="Obraz 8">
            <a:extLst>
              <a:ext uri="{FF2B5EF4-FFF2-40B4-BE49-F238E27FC236}">
                <a16:creationId xmlns:a16="http://schemas.microsoft.com/office/drawing/2014/main" id="{D1BD96DF-E350-F62E-EAD5-B8714D504F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10" name="Obraz 9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5D93C6C-E92E-6BF6-732E-532F04D9F4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11" name="Grupa 10">
            <a:extLst>
              <a:ext uri="{FF2B5EF4-FFF2-40B4-BE49-F238E27FC236}">
                <a16:creationId xmlns:a16="http://schemas.microsoft.com/office/drawing/2014/main" id="{3BC25B5E-7C55-9710-BEFB-805F13DEEF5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2" name="pole tekstowe 11">
              <a:extLst>
                <a:ext uri="{FF2B5EF4-FFF2-40B4-BE49-F238E27FC236}">
                  <a16:creationId xmlns:a16="http://schemas.microsoft.com/office/drawing/2014/main" id="{7A0C0366-E892-D40A-57B5-D64386F4F79E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13" name="Schemat blokowy: opóźnienie 12">
              <a:extLst>
                <a:ext uri="{FF2B5EF4-FFF2-40B4-BE49-F238E27FC236}">
                  <a16:creationId xmlns:a16="http://schemas.microsoft.com/office/drawing/2014/main" id="{D079A7A9-CAF9-0969-49D8-77F10820BBD1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146111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6E5D9C3C-E615-4FE9-BF19-560842232EB1}"/>
            </a:ext>
          </a:extLst>
        </xdr:cNvPr>
        <xdr:cNvGrpSpPr/>
      </xdr:nvGrpSpPr>
      <xdr:grpSpPr>
        <a:xfrm>
          <a:off x="0" y="0"/>
          <a:ext cx="713294" cy="1089086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D6D1B8DB-054E-618D-C750-F82CC6FA8F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6F5B1B2-4B05-0F36-D020-01F51FE335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FE61B113-93CB-B1DD-3081-C0A6FF2239B4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5087A7FD-CB66-7540-AA70-30A16A5DC9AB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5C838C02-2C28-A81A-510B-CC685D4E74FD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593663</xdr:colOff>
      <xdr:row>0</xdr:row>
      <xdr:rowOff>19050</xdr:rowOff>
    </xdr:from>
    <xdr:to>
      <xdr:col>15</xdr:col>
      <xdr:colOff>672619</xdr:colOff>
      <xdr:row>0</xdr:row>
      <xdr:rowOff>199050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4913" y="19050"/>
          <a:ext cx="793331" cy="18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146111</xdr:rowOff>
    </xdr:to>
    <xdr:grpSp>
      <xdr:nvGrpSpPr>
        <xdr:cNvPr id="15" name="Grupa 14">
          <a:extLst>
            <a:ext uri="{FF2B5EF4-FFF2-40B4-BE49-F238E27FC236}">
              <a16:creationId xmlns:a16="http://schemas.microsoft.com/office/drawing/2014/main" id="{D722A36D-5DA1-4EDD-BAA3-C96D86413621}"/>
            </a:ext>
          </a:extLst>
        </xdr:cNvPr>
        <xdr:cNvGrpSpPr/>
      </xdr:nvGrpSpPr>
      <xdr:grpSpPr>
        <a:xfrm>
          <a:off x="0" y="0"/>
          <a:ext cx="713294" cy="1098611"/>
          <a:chOff x="0" y="0"/>
          <a:chExt cx="713294" cy="1100292"/>
        </a:xfrm>
      </xdr:grpSpPr>
      <xdr:pic>
        <xdr:nvPicPr>
          <xdr:cNvPr id="16" name="Obraz 15">
            <a:extLst>
              <a:ext uri="{FF2B5EF4-FFF2-40B4-BE49-F238E27FC236}">
                <a16:creationId xmlns:a16="http://schemas.microsoft.com/office/drawing/2014/main" id="{23A111FE-4805-351E-9059-A03F119FCE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17" name="Obraz 1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37C356B3-4132-D741-9637-612686C070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18" name="Grupa 17">
            <a:extLst>
              <a:ext uri="{FF2B5EF4-FFF2-40B4-BE49-F238E27FC236}">
                <a16:creationId xmlns:a16="http://schemas.microsoft.com/office/drawing/2014/main" id="{9143D150-BC89-FC2F-99CC-EC4F492B71EB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9" name="pole tekstowe 18">
              <a:extLst>
                <a:ext uri="{FF2B5EF4-FFF2-40B4-BE49-F238E27FC236}">
                  <a16:creationId xmlns:a16="http://schemas.microsoft.com/office/drawing/2014/main" id="{EFBD1712-7F26-17C8-74AA-BCE286C9F55A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20" name="Schemat blokowy: opóźnienie 19">
              <a:extLst>
                <a:ext uri="{FF2B5EF4-FFF2-40B4-BE49-F238E27FC236}">
                  <a16:creationId xmlns:a16="http://schemas.microsoft.com/office/drawing/2014/main" id="{C8F2F8EA-0842-D890-26FB-C4F75C1C85F1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ianna\moje%20dokumen\Moje%20dokumenty\Moje%20dokumenty\BiuletynInf\BiuletynInf\Charakterystyka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INROLDATA\Wydzia&#322;%20Informacji%20Rynkowej%20i%20Statystyki%20Rolnej$\Users\apater.ADMINROL\Documents\Kopia%20pig-price-europ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_BIULETYNY%20TYGODNIOWE/Biuletyny%203_2026/mleko%203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wyn1"/>
      <sheetName val="Zestawienie2"/>
      <sheetName val="MINMAX"/>
      <sheetName val="SPRAWDZANIE (2)"/>
      <sheetName val="tabelaWARZ"/>
      <sheetName val="WK"/>
      <sheetName val="tabelaOW"/>
      <sheetName val="OK"/>
      <sheetName val="do danych"/>
      <sheetName val="dane"/>
      <sheetName val="WersjaAng"/>
      <sheetName val="Moduł1"/>
      <sheetName val="Moduł2"/>
      <sheetName val="Moduł3"/>
      <sheetName val="Moduł4"/>
      <sheetName val="Moduł5"/>
      <sheetName val="Moduł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is Exchange rate"/>
      <sheetName val="COVER"/>
      <sheetName val="Prices"/>
      <sheetName val="Weekly Piglet prices"/>
      <sheetName val="Class S"/>
      <sheetName val="Class E"/>
      <sheetName val="Class R"/>
      <sheetName val="Graphs Prices"/>
      <sheetName val="Monthly piglet prices"/>
      <sheetName val="Monthly pig prices-Classe S "/>
      <sheetName val="Monthly pig prices-Classe E"/>
      <sheetName val="Monthly pig prices-Class R"/>
      <sheetName val="Annual pig price-Class E"/>
      <sheetName val="Annual piglet price"/>
    </sheetNames>
    <sheetDataSet>
      <sheetData sheetId="0">
        <row r="2">
          <cell r="D2">
            <v>41426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SPIS"/>
      <sheetName val="DODATKOWE INFO"/>
      <sheetName val="SKUP MLEKA"/>
      <sheetName val="MIESIĘCZNE CENY SKUPU 2004-2025"/>
      <sheetName val="CENY SKUPU MLEKA EKOLOGICZNEGO"/>
      <sheetName val="PRODUKTY STAŁE-SPRZEDAŻ"/>
      <sheetName val="MASŁO WYKRESY TYG."/>
      <sheetName val="MLEKO W PROSZKU WYKRESY TYG."/>
      <sheetName val="SERY-SPRZEDAŻ "/>
      <sheetName val="SERY WYKRESY TYG."/>
      <sheetName val="PRODUKTY PŁYNNE-SPRZEDAŻ "/>
      <sheetName val="PREPARATY MLEKOPODOBNE"/>
      <sheetName val="ZAKUP-PRZETWÓRSTWO"/>
      <sheetName val="ZAKUP DETAL "/>
      <sheetName val="TAB. TYGODNIOWA"/>
      <sheetName val="DYNAMIKA ZMIANY CEN"/>
      <sheetName val="CENY MIESIĘCZNE-MLEKO W PROSZKU"/>
      <sheetName val="CENY MIESIĘCZNE-MASŁO "/>
      <sheetName val="CENY MIESIĘCZNE-SERY"/>
      <sheetName val="UE- MIESIĘCZNE CENY SKUPU"/>
      <sheetName val="UE- ROCZNE CENY SKUPU "/>
      <sheetName val="OMP POLSKA+UE 2025 WYKRES "/>
      <sheetName val="MASŁO POLSKA+UE 2025 WYKRES"/>
      <sheetName val="Ceny_miesieczneUE_IV_2021"/>
      <sheetName val="SALDO I-XI 2025"/>
      <sheetName val="EXP-IMP KRAJE I-XI 2025"/>
      <sheetName val="POM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">
          <cell r="B5" t="str">
            <v>Notowania 12 - 18.01.2026 / Tydzień 3</v>
          </cell>
        </row>
      </sheetData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008000"/>
    <pageSetUpPr fitToPage="1"/>
  </sheetPr>
  <dimension ref="A1:AI50"/>
  <sheetViews>
    <sheetView showGridLines="0" tabSelected="1" topLeftCell="A10" zoomScaleNormal="100" workbookViewId="0">
      <selection activeCell="I13" sqref="I13"/>
    </sheetView>
  </sheetViews>
  <sheetFormatPr defaultRowHeight="12.5" x14ac:dyDescent="0.25"/>
  <cols>
    <col min="1" max="13" width="10.7265625" customWidth="1"/>
    <col min="14" max="15" width="10.7265625" style="192" customWidth="1"/>
    <col min="16" max="26" width="10.7265625" customWidth="1"/>
  </cols>
  <sheetData>
    <row r="1" spans="1:35" ht="25" customHeight="1" x14ac:dyDescent="0.3">
      <c r="L1" s="173"/>
      <c r="M1" s="173"/>
      <c r="N1" s="17"/>
      <c r="O1" s="17"/>
      <c r="P1" s="10"/>
      <c r="Q1" s="10"/>
      <c r="R1" s="10"/>
      <c r="S1" s="10"/>
      <c r="AH1" s="174"/>
      <c r="AI1" s="174"/>
    </row>
    <row r="2" spans="1:35" ht="25" customHeight="1" x14ac:dyDescent="0.3">
      <c r="L2" s="173"/>
      <c r="N2" s="17"/>
      <c r="O2" s="17"/>
      <c r="Q2" s="10"/>
      <c r="R2" s="10"/>
      <c r="S2" s="10"/>
      <c r="AH2" s="174"/>
      <c r="AI2" s="174"/>
    </row>
    <row r="3" spans="1:35" ht="25" customHeight="1" x14ac:dyDescent="0.3">
      <c r="L3" s="173"/>
      <c r="N3" s="17"/>
      <c r="O3" s="17"/>
      <c r="P3" s="10"/>
      <c r="Q3" s="10"/>
      <c r="R3" s="10"/>
      <c r="S3" s="10"/>
      <c r="AH3" s="174"/>
      <c r="AI3" s="174"/>
    </row>
    <row r="4" spans="1:35" ht="25" customHeight="1" x14ac:dyDescent="0.3">
      <c r="A4" s="15"/>
      <c r="C4" s="10"/>
      <c r="D4" s="10"/>
      <c r="E4" s="10"/>
      <c r="F4" s="10"/>
      <c r="G4" s="16"/>
      <c r="H4" s="10"/>
      <c r="I4" s="10"/>
      <c r="J4" s="10"/>
      <c r="K4" s="10"/>
      <c r="L4" s="10"/>
      <c r="M4" s="10"/>
      <c r="N4" s="17"/>
      <c r="O4" s="17"/>
      <c r="P4" s="10"/>
      <c r="Q4" s="10"/>
      <c r="R4" s="10"/>
      <c r="S4" s="10"/>
    </row>
    <row r="5" spans="1:35" ht="20.149999999999999" customHeight="1" x14ac:dyDescent="0.35">
      <c r="B5" s="175" t="s">
        <v>337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7"/>
      <c r="O5" s="17"/>
      <c r="P5" s="10"/>
      <c r="Q5" s="10"/>
      <c r="R5" s="10"/>
      <c r="S5" s="10"/>
    </row>
    <row r="6" spans="1:35" ht="20.149999999999999" customHeight="1" x14ac:dyDescent="0.45">
      <c r="A6" s="178"/>
      <c r="B6" s="13"/>
      <c r="C6" s="13"/>
      <c r="D6" s="10"/>
      <c r="E6" s="10"/>
      <c r="F6" s="10"/>
      <c r="G6" s="10"/>
      <c r="H6" s="10"/>
      <c r="I6" s="10"/>
      <c r="J6" s="10"/>
      <c r="K6" s="10"/>
      <c r="L6" s="10"/>
      <c r="M6" s="10"/>
      <c r="N6" s="17"/>
      <c r="O6" s="17"/>
      <c r="P6" s="10"/>
      <c r="Q6" s="10"/>
      <c r="R6" s="10"/>
      <c r="S6" s="10"/>
    </row>
    <row r="7" spans="1:35" ht="20.149999999999999" customHeight="1" x14ac:dyDescent="0.45">
      <c r="A7" s="178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17"/>
      <c r="P7" s="10"/>
      <c r="Q7" s="10"/>
      <c r="R7" s="10"/>
      <c r="S7" s="10"/>
    </row>
    <row r="8" spans="1:35" ht="20.149999999999999" customHeight="1" x14ac:dyDescent="0.45">
      <c r="A8" s="178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7"/>
      <c r="O8" s="17"/>
      <c r="P8" s="10"/>
      <c r="Q8" s="10"/>
      <c r="R8" s="10"/>
      <c r="S8" s="10"/>
    </row>
    <row r="9" spans="1:35" ht="20.149999999999999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17"/>
      <c r="P9" s="10"/>
      <c r="Q9" s="10"/>
      <c r="R9" s="10"/>
      <c r="S9" s="10"/>
    </row>
    <row r="10" spans="1:35" ht="49" x14ac:dyDescent="0.9">
      <c r="A10" s="179"/>
      <c r="B10" s="180" t="s">
        <v>338</v>
      </c>
      <c r="C10" s="181"/>
      <c r="D10" s="181"/>
      <c r="E10" s="181"/>
      <c r="F10" s="181"/>
      <c r="G10" s="181"/>
      <c r="H10" s="181"/>
      <c r="I10" s="181"/>
      <c r="J10" s="10"/>
      <c r="K10" s="10"/>
      <c r="L10" s="10"/>
      <c r="N10" s="17"/>
      <c r="O10" s="17"/>
      <c r="P10" s="10"/>
      <c r="Q10" s="10"/>
      <c r="R10" s="10"/>
      <c r="S10" s="10"/>
    </row>
    <row r="11" spans="1:35" ht="49" x14ac:dyDescent="0.9">
      <c r="A11" s="179"/>
      <c r="B11" s="182" t="s">
        <v>340</v>
      </c>
      <c r="C11" s="181"/>
      <c r="D11" s="181"/>
      <c r="E11" s="181"/>
      <c r="F11" s="181"/>
      <c r="G11" s="181"/>
      <c r="H11" s="181"/>
      <c r="I11" s="181"/>
      <c r="J11" s="10"/>
      <c r="K11" s="10"/>
      <c r="L11" s="10"/>
      <c r="N11" s="17"/>
      <c r="O11" s="17"/>
      <c r="P11" s="10"/>
      <c r="Q11" s="10"/>
      <c r="R11" s="10"/>
      <c r="S11" s="10"/>
    </row>
    <row r="12" spans="1:35" ht="49" x14ac:dyDescent="0.9">
      <c r="A12" s="179"/>
      <c r="B12" s="182"/>
      <c r="C12" s="181"/>
      <c r="D12" s="181"/>
      <c r="E12" s="181"/>
      <c r="F12" s="181"/>
      <c r="G12" s="181"/>
      <c r="H12" s="181"/>
      <c r="I12" s="181"/>
      <c r="J12" s="10"/>
      <c r="K12" s="10"/>
      <c r="L12" s="10"/>
      <c r="N12" s="17"/>
      <c r="O12" s="17"/>
      <c r="P12" s="10"/>
      <c r="Q12" s="10"/>
      <c r="R12" s="10"/>
      <c r="S12" s="10"/>
    </row>
    <row r="13" spans="1:35" ht="51" x14ac:dyDescent="1.1000000000000001">
      <c r="A13" s="179"/>
      <c r="B13" s="183"/>
      <c r="C13" s="181"/>
      <c r="D13" s="181"/>
      <c r="E13" s="181"/>
      <c r="F13" s="181"/>
      <c r="G13" s="181"/>
      <c r="H13" s="181"/>
      <c r="I13" s="181"/>
      <c r="J13" s="10"/>
      <c r="K13" s="10"/>
      <c r="N13" s="17"/>
      <c r="O13" s="17"/>
      <c r="P13" s="10"/>
      <c r="Q13" s="10"/>
      <c r="R13" s="10"/>
      <c r="S13" s="10"/>
    </row>
    <row r="14" spans="1:35" ht="20.149999999999999" customHeight="1" x14ac:dyDescent="0.45">
      <c r="A14" s="179"/>
      <c r="B14" s="184" t="s">
        <v>477</v>
      </c>
      <c r="C14" s="181"/>
      <c r="D14" s="181"/>
      <c r="E14" s="181"/>
      <c r="F14" s="181"/>
      <c r="G14" s="181"/>
      <c r="H14" s="181"/>
      <c r="L14" s="10"/>
      <c r="M14" s="185"/>
      <c r="N14" s="17"/>
      <c r="O14" s="17"/>
      <c r="P14" s="10"/>
      <c r="Q14" s="10"/>
      <c r="R14" s="10"/>
      <c r="S14" s="10"/>
    </row>
    <row r="15" spans="1:35" ht="20.149999999999999" customHeight="1" x14ac:dyDescent="0.45">
      <c r="A15" s="179"/>
      <c r="B15" s="186"/>
      <c r="C15" s="181"/>
      <c r="D15" s="181"/>
      <c r="E15" s="181"/>
      <c r="F15" s="181"/>
      <c r="G15" s="181"/>
      <c r="H15" s="181"/>
      <c r="I15" s="181"/>
      <c r="J15" s="10"/>
      <c r="M15" s="185"/>
      <c r="N15" s="17"/>
      <c r="O15" s="17"/>
      <c r="P15" s="10"/>
      <c r="Q15" s="10"/>
      <c r="R15" s="10"/>
      <c r="S15" s="10"/>
    </row>
    <row r="16" spans="1:35" ht="20.149999999999999" customHeight="1" x14ac:dyDescent="0.35">
      <c r="A16" s="187"/>
      <c r="B16" s="188"/>
      <c r="C16" s="27"/>
      <c r="D16" s="27"/>
      <c r="E16" s="27"/>
      <c r="F16" s="10"/>
      <c r="G16" s="10"/>
      <c r="H16" s="10"/>
      <c r="K16" s="10"/>
      <c r="L16" s="10"/>
      <c r="M16" s="189" t="s">
        <v>618</v>
      </c>
      <c r="N16" s="17"/>
      <c r="O16" s="17"/>
      <c r="P16" s="10"/>
      <c r="Q16" s="10"/>
      <c r="R16" s="10"/>
      <c r="S16" s="10"/>
    </row>
    <row r="17" spans="1:19" ht="20.149999999999999" customHeight="1" x14ac:dyDescent="0.35">
      <c r="A17" s="187"/>
      <c r="B17" s="27"/>
      <c r="C17" s="27"/>
      <c r="D17" s="27"/>
      <c r="E17" s="27"/>
      <c r="F17" s="10"/>
      <c r="G17" s="10"/>
      <c r="H17" s="10"/>
      <c r="I17" s="10"/>
      <c r="J17" s="10"/>
      <c r="K17" s="10"/>
      <c r="L17" s="10"/>
      <c r="N17" s="17"/>
      <c r="O17" s="17"/>
      <c r="P17" s="10"/>
      <c r="Q17" s="10"/>
      <c r="R17" s="10"/>
      <c r="S17" s="10"/>
    </row>
    <row r="18" spans="1:19" ht="20.149999999999999" customHeight="1" x14ac:dyDescent="0.35">
      <c r="A18" s="190"/>
      <c r="B18" s="27"/>
      <c r="C18" s="27"/>
      <c r="D18" s="27"/>
      <c r="E18" s="27"/>
      <c r="F18" s="10"/>
      <c r="G18" s="10"/>
      <c r="H18" s="10"/>
      <c r="I18" s="10"/>
      <c r="J18" s="10"/>
      <c r="K18" s="10"/>
      <c r="L18" s="10"/>
      <c r="M18" s="10"/>
      <c r="N18" s="17"/>
      <c r="O18" s="17"/>
      <c r="P18" s="10"/>
      <c r="Q18" s="10"/>
      <c r="R18" s="10"/>
      <c r="S18" s="10"/>
    </row>
    <row r="19" spans="1:19" ht="20.149999999999999" customHeight="1" x14ac:dyDescent="0.35">
      <c r="D19" s="191" t="s">
        <v>339</v>
      </c>
      <c r="E19" s="27"/>
      <c r="P19" s="10"/>
      <c r="Q19" s="10"/>
      <c r="R19" s="10"/>
      <c r="S19" s="10"/>
    </row>
    <row r="20" spans="1:19" ht="20.149999999999999" customHeight="1" x14ac:dyDescent="0.3">
      <c r="P20" s="10"/>
      <c r="Q20" s="10"/>
      <c r="R20" s="10"/>
      <c r="S20" s="10"/>
    </row>
    <row r="21" spans="1:19" ht="20.149999999999999" customHeight="1" x14ac:dyDescent="0.3">
      <c r="P21" s="10"/>
      <c r="Q21" s="10"/>
      <c r="R21" s="10"/>
      <c r="S21" s="10"/>
    </row>
    <row r="22" spans="1:19" ht="20.149999999999999" customHeight="1" x14ac:dyDescent="0.3">
      <c r="P22" s="10"/>
      <c r="Q22" s="10"/>
      <c r="R22" s="10"/>
      <c r="S22" s="10"/>
    </row>
    <row r="23" spans="1:19" ht="20.149999999999999" customHeight="1" x14ac:dyDescent="0.3">
      <c r="P23" s="10"/>
      <c r="Q23" s="10"/>
      <c r="R23" s="10"/>
      <c r="S23" s="10"/>
    </row>
    <row r="24" spans="1:19" ht="20.149999999999999" customHeight="1" x14ac:dyDescent="0.3">
      <c r="P24" s="10"/>
      <c r="Q24" s="10"/>
      <c r="R24" s="10"/>
      <c r="S24" s="10"/>
    </row>
    <row r="25" spans="1:19" ht="20.149999999999999" customHeight="1" x14ac:dyDescent="0.3">
      <c r="O25" s="17"/>
      <c r="P25" s="10"/>
      <c r="Q25" s="10"/>
      <c r="R25" s="10"/>
      <c r="S25" s="10"/>
    </row>
    <row r="26" spans="1:19" ht="20.149999999999999" customHeight="1" x14ac:dyDescent="0.3">
      <c r="O26" s="17"/>
      <c r="P26" s="10"/>
      <c r="Q26" s="10"/>
      <c r="R26" s="10"/>
      <c r="S26" s="10"/>
    </row>
    <row r="27" spans="1:19" ht="20.149999999999999" customHeight="1" x14ac:dyDescent="0.3">
      <c r="O27" s="17"/>
      <c r="P27" s="10"/>
      <c r="Q27" s="10"/>
      <c r="R27" s="10"/>
      <c r="S27" s="10"/>
    </row>
    <row r="28" spans="1:19" ht="20.149999999999999" customHeight="1" x14ac:dyDescent="0.3">
      <c r="O28" s="17"/>
      <c r="P28" s="10"/>
      <c r="Q28" s="10"/>
      <c r="R28" s="10"/>
      <c r="S28" s="10"/>
    </row>
    <row r="29" spans="1:19" ht="20.149999999999999" customHeight="1" x14ac:dyDescent="0.3">
      <c r="M29" s="10"/>
      <c r="N29" s="17"/>
      <c r="O29" s="17"/>
      <c r="P29" s="10"/>
      <c r="Q29" s="10"/>
      <c r="R29" s="10"/>
      <c r="S29" s="10"/>
    </row>
    <row r="30" spans="1:19" ht="20.149999999999999" customHeight="1" x14ac:dyDescent="0.3">
      <c r="M30" s="10"/>
      <c r="N30" s="17"/>
      <c r="O30" s="17"/>
      <c r="P30" s="10"/>
      <c r="Q30" s="10"/>
      <c r="R30" s="10"/>
      <c r="S30" s="10"/>
    </row>
    <row r="31" spans="1:19" ht="20.149999999999999" customHeight="1" x14ac:dyDescent="0.3">
      <c r="M31" s="10"/>
      <c r="N31" s="17"/>
      <c r="O31" s="17"/>
      <c r="P31" s="10"/>
      <c r="Q31" s="10"/>
      <c r="R31" s="10"/>
      <c r="S31" s="10"/>
    </row>
    <row r="32" spans="1:19" ht="20.149999999999999" customHeight="1" x14ac:dyDescent="0.3">
      <c r="M32" s="10"/>
      <c r="N32" s="17"/>
      <c r="O32" s="17"/>
      <c r="P32" s="10"/>
      <c r="Q32" s="10"/>
      <c r="R32" s="10"/>
      <c r="S32" s="10"/>
    </row>
    <row r="33" spans="1:19" ht="20.149999999999999" customHeight="1" x14ac:dyDescent="0.3">
      <c r="M33" s="10"/>
      <c r="N33" s="17"/>
      <c r="O33" s="17"/>
      <c r="P33" s="10"/>
      <c r="Q33" s="10"/>
      <c r="R33" s="10"/>
      <c r="S33" s="10"/>
    </row>
    <row r="34" spans="1:19" ht="20.149999999999999" customHeight="1" x14ac:dyDescent="0.3">
      <c r="M34" s="10"/>
      <c r="N34" s="17"/>
      <c r="O34" s="17"/>
      <c r="P34" s="10"/>
      <c r="Q34" s="10"/>
      <c r="R34" s="10"/>
      <c r="S34" s="10"/>
    </row>
    <row r="35" spans="1:19" ht="20.149999999999999" customHeight="1" x14ac:dyDescent="0.3">
      <c r="M35" s="10"/>
      <c r="N35" s="17"/>
      <c r="O35" s="17"/>
      <c r="P35" s="10"/>
      <c r="Q35" s="10"/>
      <c r="R35" s="10"/>
      <c r="S35" s="10"/>
    </row>
    <row r="36" spans="1:19" ht="20.149999999999999" customHeight="1" x14ac:dyDescent="0.3">
      <c r="M36" s="10"/>
      <c r="N36" s="17"/>
      <c r="O36" s="17"/>
      <c r="P36" s="10"/>
      <c r="Q36" s="10"/>
      <c r="R36" s="10"/>
      <c r="S36" s="10"/>
    </row>
    <row r="37" spans="1:19" ht="20.149999999999999" customHeight="1" x14ac:dyDescent="0.3">
      <c r="M37" s="10"/>
      <c r="N37" s="17"/>
      <c r="O37" s="17"/>
      <c r="P37" s="10"/>
      <c r="Q37" s="10"/>
      <c r="R37" s="10"/>
      <c r="S37" s="10"/>
    </row>
    <row r="38" spans="1:19" ht="20.149999999999999" customHeight="1" x14ac:dyDescent="0.3">
      <c r="M38" s="10"/>
      <c r="N38" s="17"/>
      <c r="O38" s="17"/>
      <c r="P38" s="10"/>
      <c r="Q38" s="10"/>
      <c r="R38" s="10"/>
      <c r="S38" s="10"/>
    </row>
    <row r="39" spans="1:19" ht="20.149999999999999" customHeight="1" x14ac:dyDescent="0.35">
      <c r="B39" s="193"/>
      <c r="C39" s="193"/>
      <c r="D39" s="193"/>
      <c r="E39" s="193"/>
      <c r="F39" s="194"/>
      <c r="G39" s="194"/>
      <c r="H39" s="194"/>
      <c r="I39" s="194"/>
      <c r="J39" s="10"/>
      <c r="K39" s="10"/>
      <c r="L39" s="10"/>
      <c r="M39" s="10"/>
      <c r="N39" s="17"/>
      <c r="O39" s="17"/>
      <c r="P39" s="10"/>
      <c r="Q39" s="10"/>
      <c r="R39" s="10"/>
      <c r="S39" s="10"/>
    </row>
    <row r="40" spans="1:19" ht="20.149999999999999" customHeight="1" x14ac:dyDescent="0.3">
      <c r="K40" s="10"/>
      <c r="L40" s="10"/>
      <c r="M40" s="195"/>
      <c r="N40" s="17"/>
      <c r="O40" s="17"/>
      <c r="P40" s="10"/>
      <c r="Q40" s="10"/>
      <c r="R40" s="10"/>
      <c r="S40" s="10"/>
    </row>
    <row r="41" spans="1:19" ht="20.149999999999999" customHeight="1" x14ac:dyDescent="0.35">
      <c r="A41" s="27"/>
      <c r="B41" s="27"/>
      <c r="C41" s="27"/>
      <c r="D41" s="27"/>
      <c r="E41" s="27"/>
      <c r="F41" s="10"/>
      <c r="G41" s="10"/>
      <c r="H41" s="10"/>
      <c r="I41" s="10"/>
      <c r="J41" s="10"/>
      <c r="K41" s="10"/>
      <c r="L41" s="10"/>
      <c r="M41" s="195"/>
      <c r="N41" s="17"/>
      <c r="O41" s="17"/>
      <c r="P41" s="10"/>
      <c r="Q41" s="10"/>
      <c r="R41" s="10"/>
      <c r="S41" s="10"/>
    </row>
    <row r="42" spans="1:19" ht="15.5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95"/>
      <c r="N42" s="17"/>
      <c r="O42" s="17"/>
      <c r="P42" s="10"/>
      <c r="Q42" s="10"/>
      <c r="R42" s="10"/>
      <c r="S42" s="10"/>
    </row>
    <row r="43" spans="1:19" ht="15.5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95"/>
      <c r="N43" s="17"/>
      <c r="O43" s="17"/>
      <c r="P43" s="10"/>
      <c r="Q43" s="10"/>
      <c r="R43" s="10"/>
      <c r="S43" s="10"/>
    </row>
    <row r="44" spans="1:19" ht="15.5" x14ac:dyDescent="0.25">
      <c r="A44" s="196"/>
      <c r="B44" s="196"/>
      <c r="C44" s="196"/>
      <c r="D44" s="196"/>
      <c r="E44" s="196"/>
      <c r="F44" s="196"/>
      <c r="G44" s="196"/>
      <c r="H44" s="196"/>
      <c r="I44" s="196"/>
      <c r="J44" s="196"/>
      <c r="M44" s="197"/>
    </row>
    <row r="45" spans="1:19" ht="15.5" x14ac:dyDescent="0.25">
      <c r="A45" s="196"/>
      <c r="B45" s="196"/>
      <c r="C45" s="196"/>
      <c r="D45" s="196"/>
      <c r="E45" s="196"/>
      <c r="F45" s="196"/>
      <c r="G45" s="196"/>
      <c r="H45" s="196"/>
      <c r="I45" s="196"/>
      <c r="J45" s="196"/>
      <c r="M45" s="197"/>
    </row>
    <row r="46" spans="1:19" x14ac:dyDescent="0.25">
      <c r="A46" s="196"/>
      <c r="B46" s="196"/>
      <c r="C46" s="196"/>
      <c r="D46" s="196"/>
      <c r="E46" s="196"/>
      <c r="F46" s="196"/>
      <c r="G46" s="196"/>
      <c r="H46" s="196"/>
      <c r="I46" s="196"/>
      <c r="J46" s="196"/>
    </row>
    <row r="47" spans="1:19" x14ac:dyDescent="0.25">
      <c r="A47" s="196"/>
      <c r="B47" s="196"/>
      <c r="C47" s="196"/>
      <c r="D47" s="196"/>
      <c r="E47" s="196"/>
      <c r="F47" s="196"/>
      <c r="G47" s="196"/>
      <c r="H47" s="196"/>
      <c r="I47" s="196"/>
      <c r="J47" s="196"/>
    </row>
    <row r="48" spans="1:19" x14ac:dyDescent="0.25">
      <c r="A48" s="196"/>
      <c r="B48" s="196"/>
      <c r="C48" s="196"/>
      <c r="D48" s="196"/>
      <c r="E48" s="196"/>
      <c r="F48" s="196"/>
      <c r="G48" s="196"/>
      <c r="H48" s="196"/>
      <c r="I48" s="196"/>
      <c r="J48" s="196"/>
    </row>
    <row r="49" spans="1:10" x14ac:dyDescent="0.25">
      <c r="A49" s="196"/>
      <c r="B49" s="196"/>
      <c r="C49" s="196"/>
      <c r="D49" s="196"/>
      <c r="E49" s="196"/>
      <c r="F49" s="196"/>
      <c r="G49" s="196"/>
      <c r="H49" s="196"/>
      <c r="I49" s="196"/>
      <c r="J49" s="196"/>
    </row>
    <row r="50" spans="1:10" x14ac:dyDescent="0.25">
      <c r="A50" s="196"/>
      <c r="B50" s="196"/>
      <c r="C50" s="196"/>
      <c r="D50" s="196"/>
      <c r="E50" s="196"/>
      <c r="F50" s="196"/>
      <c r="G50" s="196"/>
      <c r="H50" s="196"/>
      <c r="I50" s="196"/>
      <c r="J50" s="196"/>
    </row>
  </sheetData>
  <pageMargins left="0.70866141732283472" right="0.70866141732283472" top="0.74803149606299213" bottom="0.74803149606299213" header="0.31496062992125984" footer="0.31496062992125984"/>
  <pageSetup paperSize="9" scale="78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P101"/>
  <sheetViews>
    <sheetView showGridLines="0" zoomScaleNormal="100" workbookViewId="0"/>
  </sheetViews>
  <sheetFormatPr defaultRowHeight="12.5" x14ac:dyDescent="0.25"/>
  <cols>
    <col min="1" max="26" width="10.7265625" customWidth="1"/>
  </cols>
  <sheetData>
    <row r="1" spans="1:16" s="53" customFormat="1" ht="25" customHeight="1" x14ac:dyDescent="0.25">
      <c r="C1" s="198"/>
      <c r="F1" s="54"/>
      <c r="L1" s="55"/>
      <c r="M1" s="56"/>
    </row>
    <row r="2" spans="1:16" ht="25" customHeight="1" x14ac:dyDescent="0.25">
      <c r="A2" s="57"/>
      <c r="B2" s="58" t="s">
        <v>341</v>
      </c>
      <c r="C2" s="199"/>
      <c r="D2" s="59"/>
      <c r="E2" s="59"/>
      <c r="F2" s="59"/>
      <c r="G2" s="59"/>
      <c r="H2" s="59"/>
      <c r="I2" s="59"/>
      <c r="J2" s="59"/>
      <c r="K2" s="59"/>
      <c r="L2" s="60"/>
      <c r="M2" s="60"/>
      <c r="N2" s="60"/>
      <c r="O2" s="60"/>
      <c r="P2" s="60"/>
    </row>
    <row r="3" spans="1:16" ht="25" customHeight="1" thickBot="1" x14ac:dyDescent="0.3">
      <c r="B3" s="61"/>
      <c r="C3" s="63"/>
      <c r="D3" s="62"/>
      <c r="E3" s="63"/>
      <c r="F3" s="64"/>
      <c r="G3" s="65"/>
      <c r="H3" s="66"/>
      <c r="I3" s="66"/>
      <c r="J3" s="67"/>
      <c r="K3" s="68"/>
      <c r="L3" s="69"/>
      <c r="M3" s="69"/>
      <c r="N3" s="69"/>
      <c r="O3" s="69"/>
      <c r="P3" s="69"/>
    </row>
    <row r="4" spans="1:16" ht="25" customHeight="1" thickTop="1" x14ac:dyDescent="0.3">
      <c r="B4" s="200"/>
      <c r="D4" s="71"/>
      <c r="E4" s="72"/>
      <c r="F4" s="72"/>
      <c r="G4" s="73"/>
      <c r="H4" s="201"/>
      <c r="I4" s="74"/>
      <c r="J4" s="74"/>
      <c r="K4" s="74"/>
      <c r="L4" s="74"/>
      <c r="M4" s="202"/>
      <c r="N4" s="53"/>
      <c r="P4" s="202"/>
    </row>
    <row r="5" spans="1:16" ht="20.149999999999999" customHeight="1" x14ac:dyDescent="0.35">
      <c r="C5" s="12"/>
      <c r="D5" s="12"/>
    </row>
    <row r="6" spans="1:16" ht="20.149999999999999" customHeight="1" x14ac:dyDescent="0.35">
      <c r="C6" s="12" t="s">
        <v>342</v>
      </c>
      <c r="D6" s="12"/>
    </row>
    <row r="7" spans="1:16" ht="20.149999999999999" customHeight="1" x14ac:dyDescent="0.35">
      <c r="C7" s="12" t="s">
        <v>343</v>
      </c>
      <c r="D7" s="12"/>
    </row>
    <row r="8" spans="1:16" ht="20.149999999999999" customHeight="1" x14ac:dyDescent="0.35">
      <c r="C8" s="12" t="s">
        <v>344</v>
      </c>
      <c r="D8" s="12"/>
    </row>
    <row r="9" spans="1:16" ht="20.149999999999999" customHeight="1" x14ac:dyDescent="0.35">
      <c r="C9" s="12" t="s">
        <v>345</v>
      </c>
      <c r="D9" s="12"/>
    </row>
    <row r="10" spans="1:16" ht="20.149999999999999" customHeight="1" x14ac:dyDescent="0.35">
      <c r="C10" s="12" t="s">
        <v>346</v>
      </c>
      <c r="D10" s="12"/>
    </row>
    <row r="11" spans="1:16" ht="20.149999999999999" customHeight="1" x14ac:dyDescent="0.35">
      <c r="C11" s="12" t="s">
        <v>347</v>
      </c>
      <c r="D11" s="12"/>
    </row>
    <row r="12" spans="1:16" ht="20.149999999999999" customHeight="1" x14ac:dyDescent="0.35">
      <c r="B12" s="12"/>
      <c r="C12" s="12" t="s">
        <v>348</v>
      </c>
    </row>
    <row r="13" spans="1:16" ht="20.149999999999999" customHeight="1" x14ac:dyDescent="0.35">
      <c r="B13" s="12"/>
      <c r="C13" s="12" t="s">
        <v>349</v>
      </c>
    </row>
    <row r="14" spans="1:16" ht="20.149999999999999" customHeight="1" x14ac:dyDescent="0.35">
      <c r="B14" s="12"/>
      <c r="C14" s="12" t="s">
        <v>350</v>
      </c>
    </row>
    <row r="15" spans="1:16" ht="20.149999999999999" customHeight="1" x14ac:dyDescent="0.35">
      <c r="B15" s="12"/>
      <c r="C15" s="12" t="s">
        <v>351</v>
      </c>
    </row>
    <row r="16" spans="1:16" ht="20.149999999999999" customHeight="1" x14ac:dyDescent="0.35">
      <c r="B16" s="12"/>
      <c r="C16" s="12" t="s">
        <v>352</v>
      </c>
    </row>
    <row r="17" spans="2:3" ht="20.149999999999999" customHeight="1" x14ac:dyDescent="0.35">
      <c r="B17" s="12"/>
      <c r="C17" s="12" t="s">
        <v>353</v>
      </c>
    </row>
    <row r="18" spans="2:3" ht="20.149999999999999" customHeight="1" x14ac:dyDescent="0.35">
      <c r="B18" s="12"/>
      <c r="C18" s="12" t="s">
        <v>354</v>
      </c>
    </row>
    <row r="19" spans="2:3" ht="20.149999999999999" customHeight="1" x14ac:dyDescent="0.35">
      <c r="B19" s="12"/>
      <c r="C19" s="12" t="s">
        <v>355</v>
      </c>
    </row>
    <row r="20" spans="2:3" ht="20.149999999999999" customHeight="1" x14ac:dyDescent="0.35">
      <c r="B20" s="12"/>
      <c r="C20" s="12" t="s">
        <v>356</v>
      </c>
    </row>
    <row r="21" spans="2:3" ht="20.149999999999999" customHeight="1" x14ac:dyDescent="0.35">
      <c r="B21" s="12"/>
      <c r="C21" s="12"/>
    </row>
    <row r="22" spans="2:3" ht="20.149999999999999" customHeight="1" x14ac:dyDescent="0.35">
      <c r="B22" s="12"/>
      <c r="C22" s="12"/>
    </row>
    <row r="23" spans="2:3" ht="20.149999999999999" customHeight="1" x14ac:dyDescent="0.35">
      <c r="B23" s="12"/>
      <c r="C23" s="12"/>
    </row>
    <row r="24" spans="2:3" ht="20.149999999999999" customHeight="1" x14ac:dyDescent="0.35">
      <c r="B24" s="12"/>
      <c r="C24" s="12"/>
    </row>
    <row r="25" spans="2:3" ht="20.149999999999999" customHeight="1" x14ac:dyDescent="0.35">
      <c r="B25" s="12"/>
      <c r="C25" s="12"/>
    </row>
    <row r="26" spans="2:3" ht="20.149999999999999" customHeight="1" x14ac:dyDescent="0.35">
      <c r="B26" s="12"/>
      <c r="C26" s="12"/>
    </row>
    <row r="27" spans="2:3" ht="20.149999999999999" customHeight="1" x14ac:dyDescent="0.35">
      <c r="B27" s="12"/>
      <c r="C27" s="12"/>
    </row>
    <row r="28" spans="2:3" ht="20.149999999999999" customHeight="1" x14ac:dyDescent="0.35">
      <c r="B28" s="12"/>
      <c r="C28" s="12"/>
    </row>
    <row r="29" spans="2:3" ht="20.149999999999999" customHeight="1" x14ac:dyDescent="0.35">
      <c r="B29" s="12"/>
      <c r="C29" s="12"/>
    </row>
    <row r="30" spans="2:3" ht="20.149999999999999" customHeight="1" x14ac:dyDescent="0.35">
      <c r="B30" s="12"/>
      <c r="C30" s="12"/>
    </row>
    <row r="31" spans="2:3" ht="20.149999999999999" customHeight="1" x14ac:dyDescent="0.35">
      <c r="B31" s="12"/>
      <c r="C31" s="12"/>
    </row>
    <row r="32" spans="2:3" ht="20.149999999999999" customHeight="1" x14ac:dyDescent="0.35">
      <c r="B32" s="12"/>
      <c r="C32" s="12"/>
    </row>
    <row r="33" spans="2:3" ht="20.149999999999999" customHeight="1" x14ac:dyDescent="0.35">
      <c r="B33" s="12"/>
      <c r="C33" s="12"/>
    </row>
    <row r="34" spans="2:3" ht="20.149999999999999" customHeight="1" x14ac:dyDescent="0.35">
      <c r="B34" s="12"/>
      <c r="C34" s="12"/>
    </row>
    <row r="35" spans="2:3" ht="20.149999999999999" customHeight="1" x14ac:dyDescent="0.25"/>
    <row r="36" spans="2:3" ht="20.149999999999999" customHeight="1" x14ac:dyDescent="0.25"/>
    <row r="37" spans="2:3" ht="20.149999999999999" customHeight="1" x14ac:dyDescent="0.25"/>
    <row r="38" spans="2:3" ht="20.149999999999999" customHeight="1" x14ac:dyDescent="0.25"/>
    <row r="39" spans="2:3" ht="20.149999999999999" customHeight="1" x14ac:dyDescent="0.25"/>
    <row r="40" spans="2:3" ht="20.149999999999999" customHeight="1" x14ac:dyDescent="0.25"/>
    <row r="41" spans="2:3" ht="20.149999999999999" customHeight="1" x14ac:dyDescent="0.25"/>
    <row r="42" spans="2:3" ht="20.149999999999999" customHeight="1" x14ac:dyDescent="0.25"/>
    <row r="43" spans="2:3" ht="20.149999999999999" customHeight="1" x14ac:dyDescent="0.25"/>
    <row r="44" spans="2:3" ht="20.149999999999999" customHeight="1" x14ac:dyDescent="0.25"/>
    <row r="45" spans="2:3" ht="20.149999999999999" customHeight="1" x14ac:dyDescent="0.25"/>
    <row r="46" spans="2:3" ht="20.149999999999999" customHeight="1" x14ac:dyDescent="0.25"/>
    <row r="47" spans="2:3" ht="20.149999999999999" customHeight="1" x14ac:dyDescent="0.25"/>
    <row r="48" spans="2:3" ht="20.149999999999999" customHeight="1" x14ac:dyDescent="0.25"/>
    <row r="49" ht="20.149999999999999" customHeight="1" x14ac:dyDescent="0.25"/>
    <row r="50" ht="20.149999999999999" customHeight="1" x14ac:dyDescent="0.25"/>
    <row r="51" ht="20.149999999999999" customHeight="1" x14ac:dyDescent="0.25"/>
    <row r="52" ht="20.149999999999999" customHeight="1" x14ac:dyDescent="0.25"/>
    <row r="53" ht="20.149999999999999" customHeight="1" x14ac:dyDescent="0.25"/>
    <row r="54" ht="20.149999999999999" customHeight="1" x14ac:dyDescent="0.25"/>
    <row r="55" ht="20.149999999999999" customHeight="1" x14ac:dyDescent="0.25"/>
    <row r="56" ht="20.149999999999999" customHeight="1" x14ac:dyDescent="0.25"/>
    <row r="57" ht="20.149999999999999" customHeight="1" x14ac:dyDescent="0.25"/>
    <row r="58" ht="20.149999999999999" customHeight="1" x14ac:dyDescent="0.25"/>
    <row r="59" ht="20.149999999999999" customHeight="1" x14ac:dyDescent="0.25"/>
    <row r="60" ht="20.149999999999999" customHeight="1" x14ac:dyDescent="0.25"/>
    <row r="61" ht="20.149999999999999" customHeight="1" x14ac:dyDescent="0.25"/>
    <row r="62" ht="20.149999999999999" customHeight="1" x14ac:dyDescent="0.25"/>
    <row r="63" ht="20.149999999999999" customHeight="1" x14ac:dyDescent="0.25"/>
    <row r="64" ht="20.149999999999999" customHeight="1" x14ac:dyDescent="0.25"/>
    <row r="65" ht="20.149999999999999" customHeight="1" x14ac:dyDescent="0.25"/>
    <row r="66" ht="20.149999999999999" customHeight="1" x14ac:dyDescent="0.25"/>
    <row r="67" ht="20.149999999999999" customHeight="1" x14ac:dyDescent="0.25"/>
    <row r="68" ht="20.149999999999999" customHeight="1" x14ac:dyDescent="0.25"/>
    <row r="69" ht="20.149999999999999" customHeight="1" x14ac:dyDescent="0.25"/>
    <row r="70" ht="20.149999999999999" customHeight="1" x14ac:dyDescent="0.25"/>
    <row r="71" ht="20.149999999999999" customHeight="1" x14ac:dyDescent="0.25"/>
    <row r="72" ht="20.149999999999999" customHeight="1" x14ac:dyDescent="0.25"/>
    <row r="73" ht="20.149999999999999" customHeight="1" x14ac:dyDescent="0.25"/>
    <row r="74" ht="20.149999999999999" customHeight="1" x14ac:dyDescent="0.25"/>
    <row r="75" ht="20.149999999999999" customHeight="1" x14ac:dyDescent="0.25"/>
    <row r="76" ht="20.149999999999999" customHeight="1" x14ac:dyDescent="0.25"/>
    <row r="77" ht="20.149999999999999" customHeight="1" x14ac:dyDescent="0.25"/>
    <row r="78" ht="20.149999999999999" customHeight="1" x14ac:dyDescent="0.25"/>
    <row r="79" ht="20.149999999999999" customHeight="1" x14ac:dyDescent="0.25"/>
    <row r="80" ht="20.149999999999999" customHeight="1" x14ac:dyDescent="0.25"/>
    <row r="81" ht="20.149999999999999" customHeight="1" x14ac:dyDescent="0.25"/>
    <row r="82" ht="20.149999999999999" customHeight="1" x14ac:dyDescent="0.25"/>
    <row r="83" ht="20.149999999999999" customHeight="1" x14ac:dyDescent="0.25"/>
    <row r="84" ht="20.149999999999999" customHeight="1" x14ac:dyDescent="0.25"/>
    <row r="85" ht="20.149999999999999" customHeight="1" x14ac:dyDescent="0.25"/>
    <row r="86" ht="20.149999999999999" customHeight="1" x14ac:dyDescent="0.25"/>
    <row r="87" ht="20.149999999999999" customHeight="1" x14ac:dyDescent="0.25"/>
    <row r="88" ht="20.149999999999999" customHeight="1" x14ac:dyDescent="0.25"/>
    <row r="89" ht="20.149999999999999" customHeight="1" x14ac:dyDescent="0.25"/>
    <row r="90" ht="20.149999999999999" customHeight="1" x14ac:dyDescent="0.25"/>
    <row r="91" ht="20.149999999999999" customHeight="1" x14ac:dyDescent="0.25"/>
    <row r="92" ht="20.149999999999999" customHeight="1" x14ac:dyDescent="0.25"/>
    <row r="93" ht="20.149999999999999" customHeight="1" x14ac:dyDescent="0.25"/>
    <row r="94" ht="20.149999999999999" customHeight="1" x14ac:dyDescent="0.25"/>
    <row r="95" ht="20.149999999999999" customHeight="1" x14ac:dyDescent="0.25"/>
    <row r="96" ht="20.149999999999999" customHeight="1" x14ac:dyDescent="0.25"/>
    <row r="97" ht="20.149999999999999" customHeight="1" x14ac:dyDescent="0.25"/>
    <row r="98" ht="20.149999999999999" customHeight="1" x14ac:dyDescent="0.25"/>
    <row r="99" ht="20.149999999999999" customHeight="1" x14ac:dyDescent="0.25"/>
    <row r="100" ht="20.149999999999999" customHeight="1" x14ac:dyDescent="0.25"/>
    <row r="101" ht="20.149999999999999" customHeight="1" x14ac:dyDescent="0.25"/>
  </sheetData>
  <hyperlinks>
    <hyperlink ref="C7" location="'HURT WARZ'!B1" display="CENY HURTOWE WARZYW"/>
    <hyperlink ref="C6" location="'ZMIANY HURT'!B1" display="ZMIANY CEN HURTOWYCH"/>
  </hyperlink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theme="9" tint="0.59999389629810485"/>
    <pageSetUpPr autoPageBreaks="0" fitToPage="1"/>
  </sheetPr>
  <dimension ref="A1:R78"/>
  <sheetViews>
    <sheetView showGridLines="0" zoomScaleNormal="100" workbookViewId="0">
      <selection activeCell="C14" sqref="C14"/>
    </sheetView>
  </sheetViews>
  <sheetFormatPr defaultColWidth="9.1796875" defaultRowHeight="21" x14ac:dyDescent="0.5"/>
  <cols>
    <col min="1" max="1" width="10.7265625" style="14" customWidth="1"/>
    <col min="2" max="2" width="23.26953125" style="12" customWidth="1"/>
    <col min="3" max="3" width="10.7265625" style="14" customWidth="1"/>
    <col min="4" max="6" width="10.1796875" style="14" bestFit="1" customWidth="1"/>
    <col min="7" max="7" width="11.453125" style="14" customWidth="1"/>
    <col min="8" max="8" width="10.1796875" style="14" customWidth="1"/>
    <col min="9" max="9" width="10.54296875" style="14" customWidth="1"/>
    <col min="10" max="10" width="12.1796875" style="14" customWidth="1"/>
    <col min="11" max="11" width="11.1796875" style="14" customWidth="1"/>
    <col min="12" max="12" width="11.7265625" style="14" customWidth="1"/>
    <col min="13" max="13" width="10.26953125" style="14" customWidth="1"/>
    <col min="14" max="14" width="10.7265625" style="14" customWidth="1"/>
    <col min="15" max="15" width="10" style="14" customWidth="1"/>
    <col min="16" max="22" width="9.1796875" style="14"/>
    <col min="23" max="23" width="10.7265625" style="14" bestFit="1" customWidth="1"/>
    <col min="24" max="16384" width="9.1796875" style="14"/>
  </cols>
  <sheetData>
    <row r="1" spans="1:18" s="53" customFormat="1" ht="25" customHeight="1" x14ac:dyDescent="0.35">
      <c r="B1" s="77"/>
      <c r="E1" s="54"/>
      <c r="J1" s="55"/>
      <c r="K1" s="56"/>
    </row>
    <row r="2" spans="1:18" customFormat="1" ht="25" customHeight="1" x14ac:dyDescent="0.25">
      <c r="A2" s="57"/>
      <c r="B2" s="58" t="s">
        <v>332</v>
      </c>
      <c r="C2" s="59"/>
      <c r="D2" s="59"/>
      <c r="E2" s="59"/>
      <c r="F2" s="59"/>
      <c r="G2" s="59"/>
      <c r="H2" s="59"/>
      <c r="I2" s="59"/>
      <c r="J2" s="60"/>
      <c r="K2" s="60"/>
      <c r="L2" s="60"/>
      <c r="M2" s="53"/>
      <c r="N2" s="60"/>
    </row>
    <row r="3" spans="1:18" customFormat="1" ht="25" customHeight="1" thickBot="1" x14ac:dyDescent="0.3">
      <c r="B3" s="78"/>
      <c r="C3" s="62"/>
      <c r="D3" s="63"/>
      <c r="E3" s="64"/>
      <c r="F3" s="65"/>
      <c r="G3" s="66"/>
      <c r="H3" s="67"/>
      <c r="I3" s="68"/>
      <c r="J3" s="69"/>
      <c r="K3" s="69"/>
      <c r="L3" s="69"/>
      <c r="M3" s="69"/>
      <c r="N3" s="69"/>
      <c r="O3" s="69"/>
      <c r="R3" s="53"/>
    </row>
    <row r="4" spans="1:18" customFormat="1" ht="25" customHeight="1" thickTop="1" x14ac:dyDescent="0.3">
      <c r="B4" s="362"/>
      <c r="C4" s="71"/>
      <c r="D4" s="72"/>
      <c r="E4" s="72"/>
      <c r="F4" s="73"/>
      <c r="G4" s="74"/>
      <c r="H4" s="74"/>
      <c r="I4" s="74"/>
      <c r="J4" s="74"/>
      <c r="K4" s="75"/>
      <c r="L4" s="53"/>
      <c r="M4" s="76"/>
      <c r="N4" s="60"/>
      <c r="O4" s="240" t="str">
        <f>POMOC!B5</f>
        <v>Notowania 09.03 - 18.03.2026 / Tydzień 10</v>
      </c>
      <c r="Q4" s="53"/>
    </row>
    <row r="5" spans="1:18" ht="20.149999999999999" customHeight="1" x14ac:dyDescent="0.5">
      <c r="B5" s="81"/>
      <c r="C5" s="83"/>
      <c r="D5" s="163" t="s">
        <v>97</v>
      </c>
      <c r="E5" s="164"/>
      <c r="F5" s="165"/>
      <c r="G5" s="166"/>
      <c r="H5" s="165" t="s">
        <v>98</v>
      </c>
      <c r="I5" s="165"/>
      <c r="J5" s="165"/>
      <c r="K5" s="165"/>
      <c r="L5" s="164"/>
      <c r="M5" s="164"/>
      <c r="N5" s="164"/>
      <c r="O5" s="167"/>
    </row>
    <row r="6" spans="1:18" ht="40" customHeight="1" x14ac:dyDescent="0.5">
      <c r="B6" s="103" t="s">
        <v>358</v>
      </c>
      <c r="C6" s="104" t="s">
        <v>0</v>
      </c>
      <c r="D6" s="261">
        <v>46100</v>
      </c>
      <c r="E6" s="262"/>
      <c r="F6" s="261">
        <v>46093</v>
      </c>
      <c r="G6" s="263"/>
      <c r="H6" s="264" t="s">
        <v>359</v>
      </c>
      <c r="I6" s="265"/>
      <c r="J6" s="266" t="s">
        <v>99</v>
      </c>
      <c r="K6" s="265"/>
      <c r="L6" s="266" t="s">
        <v>100</v>
      </c>
      <c r="M6" s="265"/>
      <c r="N6" s="266" t="s">
        <v>101</v>
      </c>
      <c r="O6" s="265"/>
    </row>
    <row r="7" spans="1:18" ht="20.149999999999999" customHeight="1" x14ac:dyDescent="0.5">
      <c r="B7" s="82"/>
      <c r="C7" s="84"/>
      <c r="D7" s="267" t="s">
        <v>1</v>
      </c>
      <c r="E7" s="268" t="s">
        <v>2</v>
      </c>
      <c r="F7" s="269" t="s">
        <v>1</v>
      </c>
      <c r="G7" s="270" t="s">
        <v>2</v>
      </c>
      <c r="H7" s="271" t="s">
        <v>1</v>
      </c>
      <c r="I7" s="268" t="s">
        <v>2</v>
      </c>
      <c r="J7" s="267" t="s">
        <v>1</v>
      </c>
      <c r="K7" s="268" t="s">
        <v>2</v>
      </c>
      <c r="L7" s="267" t="s">
        <v>1</v>
      </c>
      <c r="M7" s="268" t="s">
        <v>2</v>
      </c>
      <c r="N7" s="269" t="s">
        <v>1</v>
      </c>
      <c r="O7" s="272" t="s">
        <v>2</v>
      </c>
    </row>
    <row r="8" spans="1:18" ht="20.149999999999999" customHeight="1" thickBot="1" x14ac:dyDescent="0.55000000000000004">
      <c r="B8" s="85">
        <v>1</v>
      </c>
      <c r="C8" s="86">
        <v>2</v>
      </c>
      <c r="D8" s="168">
        <v>3</v>
      </c>
      <c r="E8" s="169">
        <v>4</v>
      </c>
      <c r="F8" s="170">
        <v>5</v>
      </c>
      <c r="G8" s="171">
        <v>6</v>
      </c>
      <c r="H8" s="172">
        <v>7</v>
      </c>
      <c r="I8" s="169">
        <v>8</v>
      </c>
      <c r="J8" s="168">
        <v>9</v>
      </c>
      <c r="K8" s="169">
        <v>10</v>
      </c>
      <c r="L8" s="168">
        <v>11</v>
      </c>
      <c r="M8" s="169">
        <v>12</v>
      </c>
      <c r="N8" s="170">
        <v>13</v>
      </c>
      <c r="O8" s="170">
        <v>14</v>
      </c>
      <c r="P8" s="14" t="s">
        <v>287</v>
      </c>
    </row>
    <row r="9" spans="1:18" ht="20.149999999999999" customHeight="1" x14ac:dyDescent="0.5">
      <c r="B9" s="102" t="s">
        <v>102</v>
      </c>
      <c r="C9" s="94"/>
      <c r="D9" s="87"/>
      <c r="E9" s="87"/>
      <c r="F9" s="87"/>
      <c r="G9" s="95"/>
      <c r="H9" s="88"/>
      <c r="I9" s="88"/>
      <c r="J9" s="88"/>
      <c r="K9" s="88"/>
      <c r="L9" s="88"/>
      <c r="M9" s="88"/>
      <c r="N9" s="88"/>
      <c r="O9" s="88"/>
    </row>
    <row r="10" spans="1:18" ht="20.149999999999999" customHeight="1" x14ac:dyDescent="0.5">
      <c r="B10" s="93" t="s">
        <v>4</v>
      </c>
      <c r="C10" s="89" t="s">
        <v>3</v>
      </c>
      <c r="D10" s="90">
        <v>20.833333333333332</v>
      </c>
      <c r="E10" s="89">
        <v>23.333333333333332</v>
      </c>
      <c r="F10" s="89">
        <v>20.833333333333332</v>
      </c>
      <c r="G10" s="98">
        <v>23.166666666666668</v>
      </c>
      <c r="H10" s="96">
        <v>0</v>
      </c>
      <c r="I10" s="91">
        <v>0.71942446043164443</v>
      </c>
      <c r="J10" s="91">
        <v>0</v>
      </c>
      <c r="K10" s="91">
        <v>0</v>
      </c>
      <c r="L10" s="91">
        <v>0</v>
      </c>
      <c r="M10" s="91">
        <v>0</v>
      </c>
      <c r="N10" s="91">
        <v>5.0420168067226889</v>
      </c>
      <c r="O10" s="92">
        <v>2.9411764705882248</v>
      </c>
    </row>
    <row r="11" spans="1:18" ht="20.149999999999999" customHeight="1" x14ac:dyDescent="0.5">
      <c r="B11" s="79" t="s">
        <v>103</v>
      </c>
      <c r="C11" s="42" t="s">
        <v>3</v>
      </c>
      <c r="D11" s="44">
        <v>1.1499999999999999</v>
      </c>
      <c r="E11" s="42">
        <v>1.7600000000000002</v>
      </c>
      <c r="F11" s="42">
        <v>1.1499999999999999</v>
      </c>
      <c r="G11" s="99">
        <v>1.6800000000000002</v>
      </c>
      <c r="H11" s="97">
        <v>0</v>
      </c>
      <c r="I11" s="43">
        <v>4.7619047619047654</v>
      </c>
      <c r="J11" s="43">
        <v>-4.8275862068965534</v>
      </c>
      <c r="K11" s="43">
        <v>1.5384615384615483</v>
      </c>
      <c r="L11" s="43">
        <v>0</v>
      </c>
      <c r="M11" s="43">
        <v>0</v>
      </c>
      <c r="N11" s="43">
        <v>3.6036036036036072</v>
      </c>
      <c r="O11" s="50">
        <v>4.7619047619047654</v>
      </c>
    </row>
    <row r="12" spans="1:18" ht="20.149999999999999" customHeight="1" x14ac:dyDescent="0.5">
      <c r="B12" s="79" t="s">
        <v>5</v>
      </c>
      <c r="C12" s="42" t="s">
        <v>3</v>
      </c>
      <c r="D12" s="44">
        <v>1.1560000000000001</v>
      </c>
      <c r="E12" s="42">
        <v>1.6539999999999999</v>
      </c>
      <c r="F12" s="42">
        <v>1.1360000000000001</v>
      </c>
      <c r="G12" s="99">
        <v>1.468</v>
      </c>
      <c r="H12" s="97">
        <v>1.7605633802816916</v>
      </c>
      <c r="I12" s="43">
        <v>12.670299727520431</v>
      </c>
      <c r="J12" s="43">
        <v>-3.3983286908077961</v>
      </c>
      <c r="K12" s="43">
        <v>5.1271186440677967</v>
      </c>
      <c r="L12" s="43">
        <v>0</v>
      </c>
      <c r="M12" s="43">
        <v>0</v>
      </c>
      <c r="N12" s="43">
        <v>-3.3444816053511732</v>
      </c>
      <c r="O12" s="50">
        <v>3.7641154328732642</v>
      </c>
    </row>
    <row r="13" spans="1:18" ht="20.149999999999999" customHeight="1" x14ac:dyDescent="0.5">
      <c r="B13" s="79" t="s">
        <v>20</v>
      </c>
      <c r="C13" s="42" t="s">
        <v>16</v>
      </c>
      <c r="D13" s="44">
        <v>7.5</v>
      </c>
      <c r="E13" s="42">
        <v>9.0340000000000007</v>
      </c>
      <c r="F13" s="42">
        <v>7.5</v>
      </c>
      <c r="G13" s="99">
        <v>8.8000000000000007</v>
      </c>
      <c r="H13" s="97">
        <v>0</v>
      </c>
      <c r="I13" s="43">
        <v>2.6590909090909087</v>
      </c>
      <c r="J13" s="43">
        <v>2.2727272727272769</v>
      </c>
      <c r="K13" s="43">
        <v>4.2384615384615536</v>
      </c>
      <c r="L13" s="43">
        <v>0</v>
      </c>
      <c r="M13" s="43">
        <v>0</v>
      </c>
      <c r="N13" s="43">
        <v>7.1428571428571423</v>
      </c>
      <c r="O13" s="50">
        <v>2.2639800769753351</v>
      </c>
    </row>
    <row r="14" spans="1:18" ht="20.149999999999999" customHeight="1" x14ac:dyDescent="0.5">
      <c r="B14" s="79" t="s">
        <v>6</v>
      </c>
      <c r="C14" s="42" t="s">
        <v>3</v>
      </c>
      <c r="D14" s="44">
        <v>0.92000000000000015</v>
      </c>
      <c r="E14" s="42">
        <v>1.39</v>
      </c>
      <c r="F14" s="42">
        <v>0.9</v>
      </c>
      <c r="G14" s="99">
        <v>1.33</v>
      </c>
      <c r="H14" s="97">
        <v>2.2222222222222365</v>
      </c>
      <c r="I14" s="43">
        <v>4.5112781954887087</v>
      </c>
      <c r="J14" s="43">
        <v>-12.380952380952371</v>
      </c>
      <c r="K14" s="43">
        <v>-3.5838150289017401</v>
      </c>
      <c r="L14" s="43">
        <v>0</v>
      </c>
      <c r="M14" s="43">
        <v>0</v>
      </c>
      <c r="N14" s="43">
        <v>9.5238095238095308</v>
      </c>
      <c r="O14" s="50">
        <v>25.225225225225206</v>
      </c>
    </row>
    <row r="15" spans="1:18" ht="20.149999999999999" customHeight="1" x14ac:dyDescent="0.5">
      <c r="B15" s="79" t="s">
        <v>7</v>
      </c>
      <c r="C15" s="42" t="s">
        <v>3</v>
      </c>
      <c r="D15" s="44">
        <v>1.34</v>
      </c>
      <c r="E15" s="42">
        <v>1.8800000000000001</v>
      </c>
      <c r="F15" s="42">
        <v>1.32</v>
      </c>
      <c r="G15" s="99">
        <v>1.8399999999999999</v>
      </c>
      <c r="H15" s="97">
        <v>1.5151515151515165</v>
      </c>
      <c r="I15" s="43">
        <v>2.173913043478275</v>
      </c>
      <c r="J15" s="43">
        <v>-1.9512195121951021</v>
      </c>
      <c r="K15" s="43">
        <v>-1.0526315789473693</v>
      </c>
      <c r="L15" s="43">
        <v>0</v>
      </c>
      <c r="M15" s="43">
        <v>0</v>
      </c>
      <c r="N15" s="43">
        <v>6.3492063492063542</v>
      </c>
      <c r="O15" s="50">
        <v>6.818181818181837</v>
      </c>
    </row>
    <row r="16" spans="1:18" ht="20.149999999999999" customHeight="1" x14ac:dyDescent="0.5">
      <c r="B16" s="79" t="s">
        <v>9</v>
      </c>
      <c r="C16" s="42" t="s">
        <v>3</v>
      </c>
      <c r="D16" s="44">
        <v>17.333333333333332</v>
      </c>
      <c r="E16" s="42">
        <v>21.333333333333332</v>
      </c>
      <c r="F16" s="42">
        <v>15.333333333333334</v>
      </c>
      <c r="G16" s="99">
        <v>18</v>
      </c>
      <c r="H16" s="97">
        <v>13.043478260869554</v>
      </c>
      <c r="I16" s="43">
        <v>18.518518518518512</v>
      </c>
      <c r="J16" s="43">
        <v>8.333333333333325</v>
      </c>
      <c r="K16" s="43">
        <v>14.28571428571427</v>
      </c>
      <c r="L16" s="43">
        <v>0</v>
      </c>
      <c r="M16" s="43">
        <v>0</v>
      </c>
      <c r="N16" s="43">
        <v>-30.666666666666671</v>
      </c>
      <c r="O16" s="50">
        <v>-32.631578947368425</v>
      </c>
    </row>
    <row r="17" spans="2:15" ht="20.149999999999999" customHeight="1" x14ac:dyDescent="0.5">
      <c r="B17" s="79" t="s">
        <v>203</v>
      </c>
      <c r="C17" s="42" t="s">
        <v>3</v>
      </c>
      <c r="D17" s="44">
        <v>11.86125</v>
      </c>
      <c r="E17" s="42">
        <v>14.18</v>
      </c>
      <c r="F17" s="42">
        <v>8.9842857142857149</v>
      </c>
      <c r="G17" s="99">
        <v>10.705714285714285</v>
      </c>
      <c r="H17" s="97">
        <v>32.022181586897752</v>
      </c>
      <c r="I17" s="43">
        <v>32.45262876968242</v>
      </c>
      <c r="J17" s="43">
        <v>18.757648236733786</v>
      </c>
      <c r="K17" s="43">
        <v>24.580242092932451</v>
      </c>
      <c r="L17" s="43">
        <v>0</v>
      </c>
      <c r="M17" s="43">
        <v>0</v>
      </c>
      <c r="N17" s="43">
        <v>-5.8911038381434082</v>
      </c>
      <c r="O17" s="50">
        <v>-3.4059945504087197</v>
      </c>
    </row>
    <row r="18" spans="2:15" ht="20.149999999999999" customHeight="1" x14ac:dyDescent="0.5">
      <c r="B18" s="79" t="s">
        <v>12</v>
      </c>
      <c r="C18" s="42" t="s">
        <v>3</v>
      </c>
      <c r="D18" s="44">
        <v>3.7600000000000002</v>
      </c>
      <c r="E18" s="42">
        <v>4.63</v>
      </c>
      <c r="F18" s="42">
        <v>3.8600000000000003</v>
      </c>
      <c r="G18" s="99">
        <v>4.7299999999999995</v>
      </c>
      <c r="H18" s="97">
        <v>-2.5906735751295358</v>
      </c>
      <c r="I18" s="43">
        <v>-2.1141649048625721</v>
      </c>
      <c r="J18" s="43">
        <v>-3.1759656652360446</v>
      </c>
      <c r="K18" s="43">
        <v>-3.0366492146596773</v>
      </c>
      <c r="L18" s="43">
        <v>0</v>
      </c>
      <c r="M18" s="43">
        <v>0</v>
      </c>
      <c r="N18" s="43">
        <v>10.588235294117657</v>
      </c>
      <c r="O18" s="50">
        <v>9.4562647754137217</v>
      </c>
    </row>
    <row r="19" spans="2:15" ht="20.149999999999999" customHeight="1" x14ac:dyDescent="0.5">
      <c r="B19" s="79" t="s">
        <v>13</v>
      </c>
      <c r="C19" s="42" t="s">
        <v>3</v>
      </c>
      <c r="D19" s="44">
        <v>9.6180000000000003</v>
      </c>
      <c r="E19" s="42">
        <v>12.7</v>
      </c>
      <c r="F19" s="42">
        <v>13.70875</v>
      </c>
      <c r="G19" s="99">
        <v>17.521250000000002</v>
      </c>
      <c r="H19" s="97">
        <v>-29.840430382055256</v>
      </c>
      <c r="I19" s="43">
        <v>-27.516587001498195</v>
      </c>
      <c r="J19" s="43">
        <v>-26.022497836746467</v>
      </c>
      <c r="K19" s="43">
        <v>-22.347905839192915</v>
      </c>
      <c r="L19" s="43">
        <v>0</v>
      </c>
      <c r="M19" s="43">
        <v>0</v>
      </c>
      <c r="N19" s="43">
        <v>8.457374830852503</v>
      </c>
      <c r="O19" s="50">
        <v>-8.8560355963829611</v>
      </c>
    </row>
    <row r="20" spans="2:15" ht="20.149999999999999" customHeight="1" x14ac:dyDescent="0.5">
      <c r="B20" s="79" t="s">
        <v>107</v>
      </c>
      <c r="C20" s="42" t="s">
        <v>3</v>
      </c>
      <c r="D20" s="44">
        <v>15.1875</v>
      </c>
      <c r="E20" s="42">
        <v>18.875</v>
      </c>
      <c r="F20" s="42">
        <v>19.083333333333332</v>
      </c>
      <c r="G20" s="99">
        <v>23.361666666666668</v>
      </c>
      <c r="H20" s="97">
        <v>-20.414847161572048</v>
      </c>
      <c r="I20" s="43">
        <v>-19.205250766925879</v>
      </c>
      <c r="J20" s="43">
        <v>-15.232558139534888</v>
      </c>
      <c r="K20" s="43">
        <v>-15.478767072169566</v>
      </c>
      <c r="L20" s="43">
        <v>0</v>
      </c>
      <c r="M20" s="43">
        <v>0</v>
      </c>
      <c r="N20" s="43">
        <v>3.9972609774886605</v>
      </c>
      <c r="O20" s="50">
        <v>-6.0126976223079778</v>
      </c>
    </row>
    <row r="21" spans="2:15" ht="20.149999999999999" customHeight="1" x14ac:dyDescent="0.5">
      <c r="B21" s="79" t="s">
        <v>24</v>
      </c>
      <c r="C21" s="42" t="s">
        <v>16</v>
      </c>
      <c r="D21" s="44">
        <v>2</v>
      </c>
      <c r="E21" s="42">
        <v>2.6666666666666665</v>
      </c>
      <c r="F21" s="42">
        <v>2</v>
      </c>
      <c r="G21" s="99">
        <v>2.6666666666666665</v>
      </c>
      <c r="H21" s="97">
        <v>0</v>
      </c>
      <c r="I21" s="43">
        <v>0</v>
      </c>
      <c r="J21" s="43">
        <v>-11.111111111111111</v>
      </c>
      <c r="K21" s="43">
        <v>-11.111111111111116</v>
      </c>
      <c r="L21" s="43">
        <v>0</v>
      </c>
      <c r="M21" s="43">
        <v>0</v>
      </c>
      <c r="N21" s="43">
        <v>2.5641025641025665</v>
      </c>
      <c r="O21" s="50">
        <v>1.5873015873015817</v>
      </c>
    </row>
    <row r="22" spans="2:15" ht="20.149999999999999" customHeight="1" x14ac:dyDescent="0.5">
      <c r="B22" s="79" t="s">
        <v>15</v>
      </c>
      <c r="C22" s="42" t="s">
        <v>16</v>
      </c>
      <c r="D22" s="44">
        <v>3.6457142857142855</v>
      </c>
      <c r="E22" s="42">
        <v>4.8571428571428568</v>
      </c>
      <c r="F22" s="42">
        <v>3.4162499999999998</v>
      </c>
      <c r="G22" s="99">
        <v>4.5237499999999997</v>
      </c>
      <c r="H22" s="97">
        <v>6.7168470022476594</v>
      </c>
      <c r="I22" s="43">
        <v>7.369833813602809</v>
      </c>
      <c r="J22" s="43">
        <v>9.080547112462007</v>
      </c>
      <c r="K22" s="43">
        <v>11.973067915690869</v>
      </c>
      <c r="L22" s="43">
        <v>0</v>
      </c>
      <c r="M22" s="43">
        <v>0</v>
      </c>
      <c r="N22" s="43">
        <v>4.9126413155190036</v>
      </c>
      <c r="O22" s="50">
        <v>7.2611598927388314</v>
      </c>
    </row>
    <row r="23" spans="2:15" ht="20.149999999999999" customHeight="1" x14ac:dyDescent="0.5">
      <c r="B23" s="79" t="s">
        <v>38</v>
      </c>
      <c r="C23" s="42" t="s">
        <v>3</v>
      </c>
      <c r="D23" s="44">
        <v>2.3199999999999998</v>
      </c>
      <c r="E23" s="42">
        <v>3.2399999999999998</v>
      </c>
      <c r="F23" s="42">
        <v>2.3199999999999998</v>
      </c>
      <c r="G23" s="99">
        <v>3.2</v>
      </c>
      <c r="H23" s="97">
        <v>0</v>
      </c>
      <c r="I23" s="43">
        <v>1.2499999999999871</v>
      </c>
      <c r="J23" s="43">
        <v>-4.6575342465753407</v>
      </c>
      <c r="K23" s="43">
        <v>-3.7623762376237697</v>
      </c>
      <c r="L23" s="43">
        <v>0</v>
      </c>
      <c r="M23" s="43">
        <v>0</v>
      </c>
      <c r="N23" s="43">
        <v>5.454545454545439</v>
      </c>
      <c r="O23" s="50">
        <v>4.5161290322580534</v>
      </c>
    </row>
    <row r="24" spans="2:15" ht="20.149999999999999" customHeight="1" thickBot="1" x14ac:dyDescent="0.55000000000000004">
      <c r="B24" s="79" t="s">
        <v>17</v>
      </c>
      <c r="C24" s="42" t="s">
        <v>3</v>
      </c>
      <c r="D24" s="44">
        <v>0.82999999999999985</v>
      </c>
      <c r="E24" s="42">
        <v>1.246</v>
      </c>
      <c r="F24" s="42">
        <v>0.82999999999999985</v>
      </c>
      <c r="G24" s="99">
        <v>1.246</v>
      </c>
      <c r="H24" s="97">
        <v>0</v>
      </c>
      <c r="I24" s="43">
        <v>0</v>
      </c>
      <c r="J24" s="43">
        <v>-3.3009708737864192</v>
      </c>
      <c r="K24" s="43">
        <v>0.61911170928667913</v>
      </c>
      <c r="L24" s="43">
        <v>0</v>
      </c>
      <c r="M24" s="43">
        <v>0</v>
      </c>
      <c r="N24" s="43">
        <v>10.666666666666663</v>
      </c>
      <c r="O24" s="50">
        <v>9.490333919156404</v>
      </c>
    </row>
    <row r="25" spans="2:15" ht="20.149999999999999" customHeight="1" x14ac:dyDescent="0.5">
      <c r="B25" s="102" t="s">
        <v>171</v>
      </c>
      <c r="C25" s="94"/>
      <c r="D25" s="87"/>
      <c r="E25" s="87"/>
      <c r="F25" s="87"/>
      <c r="G25" s="95"/>
      <c r="H25" s="88"/>
      <c r="I25" s="88"/>
      <c r="J25" s="88"/>
      <c r="K25" s="88"/>
      <c r="L25" s="88"/>
      <c r="M25" s="88"/>
      <c r="N25" s="88"/>
      <c r="O25" s="88"/>
    </row>
    <row r="26" spans="2:15" ht="20.149999999999999" customHeight="1" x14ac:dyDescent="0.5">
      <c r="B26" s="79" t="s">
        <v>18</v>
      </c>
      <c r="C26" s="42" t="s">
        <v>3</v>
      </c>
      <c r="D26" s="44">
        <v>5.5744444444444445</v>
      </c>
      <c r="E26" s="42">
        <v>6.9444444444444446</v>
      </c>
      <c r="F26" s="42">
        <v>5.63</v>
      </c>
      <c r="G26" s="99">
        <v>6.8888888888888893</v>
      </c>
      <c r="H26" s="97">
        <v>-0.98677718571146289</v>
      </c>
      <c r="I26" s="43">
        <v>0.80645161290322287</v>
      </c>
      <c r="J26" s="43">
        <v>-0.75762071489327865</v>
      </c>
      <c r="K26" s="43">
        <v>-0.79365079365079083</v>
      </c>
      <c r="L26" s="43">
        <v>0</v>
      </c>
      <c r="M26" s="43">
        <v>0</v>
      </c>
      <c r="N26" s="43">
        <v>7.4994643239768486</v>
      </c>
      <c r="O26" s="50">
        <v>4.1666666666666652</v>
      </c>
    </row>
    <row r="27" spans="2:15" ht="20.149999999999999" customHeight="1" x14ac:dyDescent="0.5">
      <c r="B27" s="79" t="s">
        <v>106</v>
      </c>
      <c r="C27" s="42"/>
      <c r="D27" s="44"/>
      <c r="E27" s="42"/>
      <c r="F27" s="42"/>
      <c r="G27" s="99"/>
      <c r="H27" s="97"/>
      <c r="I27" s="43"/>
      <c r="J27" s="43"/>
      <c r="K27" s="43"/>
      <c r="L27" s="43"/>
      <c r="M27" s="43"/>
      <c r="N27" s="43"/>
      <c r="O27" s="50"/>
    </row>
    <row r="28" spans="2:15" ht="20.149999999999999" customHeight="1" x14ac:dyDescent="0.5">
      <c r="B28" s="79" t="s">
        <v>210</v>
      </c>
      <c r="C28" s="42" t="s">
        <v>3</v>
      </c>
      <c r="D28" s="44">
        <v>2.5</v>
      </c>
      <c r="E28" s="42">
        <v>3</v>
      </c>
      <c r="F28" s="42">
        <v>2.5</v>
      </c>
      <c r="G28" s="99">
        <v>3</v>
      </c>
      <c r="H28" s="97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-16.666666666666664</v>
      </c>
      <c r="O28" s="50">
        <v>0</v>
      </c>
    </row>
    <row r="29" spans="2:15" ht="20.149999999999999" customHeight="1" x14ac:dyDescent="0.5">
      <c r="B29" s="495" t="s">
        <v>311</v>
      </c>
      <c r="C29" s="496" t="s">
        <v>3</v>
      </c>
      <c r="D29" s="497">
        <v>2.9375</v>
      </c>
      <c r="E29" s="496">
        <v>4.1500000000000004</v>
      </c>
      <c r="F29" s="496">
        <v>2.9375</v>
      </c>
      <c r="G29" s="496">
        <v>4.1500000000000004</v>
      </c>
      <c r="H29" s="498">
        <v>0</v>
      </c>
      <c r="I29" s="498">
        <v>0</v>
      </c>
      <c r="J29" s="498">
        <v>0</v>
      </c>
      <c r="K29" s="498">
        <v>0</v>
      </c>
      <c r="L29" s="498">
        <v>0</v>
      </c>
      <c r="M29" s="498">
        <v>0</v>
      </c>
      <c r="N29" s="498">
        <v>-2.083333333333333</v>
      </c>
      <c r="O29" s="498">
        <v>-3.112840466926059</v>
      </c>
    </row>
    <row r="30" spans="2:15" ht="20.149999999999999" customHeight="1" x14ac:dyDescent="0.5">
      <c r="B30" s="79" t="s">
        <v>195</v>
      </c>
      <c r="C30" s="42" t="s">
        <v>3</v>
      </c>
      <c r="D30" s="44">
        <v>2.79</v>
      </c>
      <c r="E30" s="42">
        <v>3.665</v>
      </c>
      <c r="F30" s="42">
        <v>2.665</v>
      </c>
      <c r="G30" s="99">
        <v>3.3525</v>
      </c>
      <c r="H30" s="97">
        <v>4.6904315196998123</v>
      </c>
      <c r="I30" s="43">
        <v>9.3214019388516043</v>
      </c>
      <c r="J30" s="43">
        <v>4.6904315196998123</v>
      </c>
      <c r="K30" s="43">
        <v>9.3214019388516043</v>
      </c>
      <c r="L30" s="43">
        <v>0</v>
      </c>
      <c r="M30" s="43">
        <v>0</v>
      </c>
      <c r="N30" s="43">
        <v>0</v>
      </c>
      <c r="O30" s="50">
        <v>11.398176291793312</v>
      </c>
    </row>
    <row r="31" spans="2:15" ht="20.149999999999999" customHeight="1" x14ac:dyDescent="0.5">
      <c r="B31" s="79" t="s">
        <v>280</v>
      </c>
      <c r="C31" s="42" t="s">
        <v>3</v>
      </c>
      <c r="D31" s="44">
        <v>2.9575</v>
      </c>
      <c r="E31" s="42">
        <v>3.52</v>
      </c>
      <c r="F31" s="42">
        <v>2.9575</v>
      </c>
      <c r="G31" s="99">
        <v>3.5825</v>
      </c>
      <c r="H31" s="97">
        <v>0</v>
      </c>
      <c r="I31" s="43">
        <v>-1.7445917655268668</v>
      </c>
      <c r="J31" s="43">
        <v>0</v>
      </c>
      <c r="K31" s="43">
        <v>-1.7445917655268668</v>
      </c>
      <c r="L31" s="43">
        <v>0</v>
      </c>
      <c r="M31" s="43">
        <v>0</v>
      </c>
      <c r="N31" s="43">
        <v>-7.3851774530271408</v>
      </c>
      <c r="O31" s="50">
        <v>-0.18903591682420096</v>
      </c>
    </row>
    <row r="32" spans="2:15" ht="20.149999999999999" customHeight="1" x14ac:dyDescent="0.5">
      <c r="B32" s="495" t="s">
        <v>318</v>
      </c>
      <c r="C32" s="496" t="s">
        <v>3</v>
      </c>
      <c r="D32" s="497">
        <v>2.54</v>
      </c>
      <c r="E32" s="496">
        <v>3.04</v>
      </c>
      <c r="F32" s="496">
        <v>2.54</v>
      </c>
      <c r="G32" s="496">
        <v>3.04</v>
      </c>
      <c r="H32" s="498">
        <v>0</v>
      </c>
      <c r="I32" s="498">
        <v>0</v>
      </c>
      <c r="J32" s="498">
        <v>0</v>
      </c>
      <c r="K32" s="498">
        <v>0</v>
      </c>
      <c r="L32" s="498">
        <v>0</v>
      </c>
      <c r="M32" s="498">
        <v>0</v>
      </c>
      <c r="N32" s="498">
        <v>0</v>
      </c>
      <c r="O32" s="498">
        <v>0</v>
      </c>
    </row>
    <row r="33" spans="1:16" ht="20.149999999999999" customHeight="1" x14ac:dyDescent="0.5">
      <c r="B33" s="79" t="s">
        <v>278</v>
      </c>
      <c r="C33" s="42" t="s">
        <v>3</v>
      </c>
      <c r="D33" s="44">
        <v>3.33</v>
      </c>
      <c r="E33" s="42">
        <v>4</v>
      </c>
      <c r="F33" s="42">
        <v>3.33</v>
      </c>
      <c r="G33" s="99">
        <v>4</v>
      </c>
      <c r="H33" s="97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50">
        <v>0</v>
      </c>
    </row>
    <row r="34" spans="1:16" ht="20.149999999999999" customHeight="1" x14ac:dyDescent="0.5">
      <c r="B34" s="79" t="s">
        <v>173</v>
      </c>
      <c r="C34" s="42" t="s">
        <v>3</v>
      </c>
      <c r="D34" s="44">
        <v>2.4820000000000002</v>
      </c>
      <c r="E34" s="42">
        <v>3.3820000000000001</v>
      </c>
      <c r="F34" s="42">
        <v>2.4820000000000002</v>
      </c>
      <c r="G34" s="99">
        <v>3.3820000000000001</v>
      </c>
      <c r="H34" s="97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-4.6301633045148831</v>
      </c>
      <c r="O34" s="50">
        <v>0.87994034302759372</v>
      </c>
    </row>
    <row r="35" spans="1:16" ht="20.149999999999999" customHeight="1" x14ac:dyDescent="0.5">
      <c r="B35" s="79" t="s">
        <v>209</v>
      </c>
      <c r="C35" s="42" t="s">
        <v>3</v>
      </c>
      <c r="D35" s="44">
        <v>2.8519999999999999</v>
      </c>
      <c r="E35" s="42">
        <v>3.786</v>
      </c>
      <c r="F35" s="42">
        <v>2.8519999999999999</v>
      </c>
      <c r="G35" s="99">
        <v>3.786</v>
      </c>
      <c r="H35" s="97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1.3143872113676704</v>
      </c>
      <c r="O35" s="50">
        <v>-0.23715415019762576</v>
      </c>
    </row>
    <row r="36" spans="1:16" ht="20.149999999999999" customHeight="1" x14ac:dyDescent="0.5">
      <c r="B36" s="79" t="s">
        <v>310</v>
      </c>
      <c r="C36" s="42" t="s">
        <v>3</v>
      </c>
      <c r="D36" s="44">
        <v>2.7766666666666668</v>
      </c>
      <c r="E36" s="42">
        <v>3.7266666666666666</v>
      </c>
      <c r="F36" s="42">
        <v>2.7766666666666668</v>
      </c>
      <c r="G36" s="99">
        <v>3.7266666666666666</v>
      </c>
      <c r="H36" s="97">
        <v>0</v>
      </c>
      <c r="I36" s="43">
        <v>0</v>
      </c>
      <c r="J36" s="43">
        <v>-9.921600432549333</v>
      </c>
      <c r="K36" s="43">
        <v>-7.8697981046559544</v>
      </c>
      <c r="L36" s="43">
        <v>0</v>
      </c>
      <c r="M36" s="43">
        <v>0</v>
      </c>
      <c r="N36" s="43">
        <v>0</v>
      </c>
      <c r="O36" s="50">
        <v>0</v>
      </c>
    </row>
    <row r="37" spans="1:16" ht="20.149999999999999" customHeight="1" thickBot="1" x14ac:dyDescent="0.55000000000000004">
      <c r="B37" s="79" t="s">
        <v>174</v>
      </c>
      <c r="C37" s="42" t="s">
        <v>3</v>
      </c>
      <c r="D37" s="44">
        <v>2.4159999999999999</v>
      </c>
      <c r="E37" s="42">
        <v>3.4159999999999995</v>
      </c>
      <c r="F37" s="42">
        <v>2.4159999999999999</v>
      </c>
      <c r="G37" s="99">
        <v>3.4159999999999995</v>
      </c>
      <c r="H37" s="97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-13.816884661117717</v>
      </c>
      <c r="O37" s="50">
        <v>-3.1379962192816828</v>
      </c>
    </row>
    <row r="38" spans="1:16" ht="20.149999999999999" customHeight="1" x14ac:dyDescent="0.5">
      <c r="B38" s="102" t="s">
        <v>317</v>
      </c>
      <c r="C38" s="94"/>
      <c r="D38" s="87"/>
      <c r="E38" s="87"/>
      <c r="F38" s="87"/>
      <c r="G38" s="95"/>
      <c r="H38" s="88"/>
      <c r="I38" s="88"/>
      <c r="J38" s="88"/>
      <c r="K38" s="88"/>
      <c r="L38" s="88"/>
      <c r="M38" s="88"/>
      <c r="N38" s="88"/>
      <c r="O38" s="88"/>
    </row>
    <row r="39" spans="1:16" ht="20.149999999999999" customHeight="1" x14ac:dyDescent="0.5">
      <c r="B39" s="79" t="s">
        <v>19</v>
      </c>
      <c r="C39" s="42" t="s">
        <v>3</v>
      </c>
      <c r="D39" s="44">
        <v>14</v>
      </c>
      <c r="E39" s="42">
        <v>15</v>
      </c>
      <c r="F39" s="42">
        <v>14</v>
      </c>
      <c r="G39" s="99">
        <v>15</v>
      </c>
      <c r="H39" s="97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50">
        <v>0</v>
      </c>
    </row>
    <row r="40" spans="1:16" ht="20.149999999999999" customHeight="1" x14ac:dyDescent="0.5">
      <c r="B40" s="79" t="s">
        <v>20</v>
      </c>
      <c r="C40" s="42" t="s">
        <v>16</v>
      </c>
      <c r="D40" s="44">
        <v>0</v>
      </c>
      <c r="E40" s="42">
        <v>0</v>
      </c>
      <c r="F40" s="42">
        <v>0</v>
      </c>
      <c r="G40" s="99">
        <v>0</v>
      </c>
      <c r="H40" s="97">
        <v>0</v>
      </c>
      <c r="I40" s="43">
        <v>2.6590909090909087</v>
      </c>
      <c r="J40" s="43">
        <v>2.2727272727272769</v>
      </c>
      <c r="K40" s="43">
        <v>4.2384615384615536</v>
      </c>
      <c r="L40" s="43">
        <v>0</v>
      </c>
      <c r="M40" s="43">
        <v>0</v>
      </c>
      <c r="N40" s="43">
        <v>7.1428571428571423</v>
      </c>
      <c r="O40" s="50">
        <v>2.2639800769753351</v>
      </c>
    </row>
    <row r="41" spans="1:16" ht="20.149999999999999" customHeight="1" x14ac:dyDescent="0.5">
      <c r="B41" s="79" t="s">
        <v>423</v>
      </c>
      <c r="C41" s="42" t="s">
        <v>16</v>
      </c>
      <c r="D41" s="44">
        <v>7.7133333333333338</v>
      </c>
      <c r="E41" s="42">
        <v>8.8566666666666674</v>
      </c>
      <c r="F41" s="42">
        <v>6.916666666666667</v>
      </c>
      <c r="G41" s="99">
        <v>8.8333333333333339</v>
      </c>
      <c r="H41" s="97">
        <v>11.518072289156629</v>
      </c>
      <c r="I41" s="43">
        <v>0.26415094339622747</v>
      </c>
      <c r="J41" s="43">
        <v>3.7086834733893626</v>
      </c>
      <c r="K41" s="43">
        <v>-5.5288888888888819</v>
      </c>
      <c r="L41" s="43">
        <v>0</v>
      </c>
      <c r="M41" s="43">
        <v>0</v>
      </c>
      <c r="N41" s="43"/>
      <c r="O41" s="50"/>
    </row>
    <row r="42" spans="1:16" ht="20.149999999999999" customHeight="1" x14ac:dyDescent="0.5">
      <c r="A42"/>
      <c r="B42" s="79" t="s">
        <v>21</v>
      </c>
      <c r="C42" s="42" t="s">
        <v>3</v>
      </c>
      <c r="D42" s="44">
        <v>14.2</v>
      </c>
      <c r="E42" s="42">
        <v>19</v>
      </c>
      <c r="F42" s="42">
        <v>14.8</v>
      </c>
      <c r="G42" s="99">
        <v>20</v>
      </c>
      <c r="H42" s="97">
        <v>-20</v>
      </c>
      <c r="I42" s="43">
        <v>-8.3333333333333233</v>
      </c>
      <c r="J42" s="43">
        <v>-19.207920792079207</v>
      </c>
      <c r="K42" s="43">
        <v>-9.7435897435897374</v>
      </c>
      <c r="L42" s="43">
        <v>0</v>
      </c>
      <c r="M42" s="43">
        <v>0</v>
      </c>
      <c r="N42" s="43">
        <v>1.4925373134328304</v>
      </c>
      <c r="O42" s="50">
        <v>-1.1235955056179736</v>
      </c>
      <c r="P42"/>
    </row>
    <row r="43" spans="1:16" ht="20.149999999999999" customHeight="1" x14ac:dyDescent="0.5">
      <c r="A43"/>
      <c r="B43" s="79" t="s">
        <v>22</v>
      </c>
      <c r="C43" s="42" t="s">
        <v>3</v>
      </c>
      <c r="D43" s="44">
        <v>14</v>
      </c>
      <c r="E43" s="42">
        <v>14</v>
      </c>
      <c r="F43" s="42">
        <v>14.2</v>
      </c>
      <c r="G43" s="99">
        <v>17</v>
      </c>
      <c r="H43" s="97">
        <v>-5.2631578947368354</v>
      </c>
      <c r="I43" s="43">
        <v>-1.1764705882352899</v>
      </c>
      <c r="J43" s="43">
        <v>-6.4935064935064926</v>
      </c>
      <c r="K43" s="43">
        <v>0</v>
      </c>
      <c r="L43" s="43">
        <v>0</v>
      </c>
      <c r="M43" s="43">
        <v>0</v>
      </c>
      <c r="N43" s="43">
        <v>10.769230769230772</v>
      </c>
      <c r="O43" s="50">
        <v>7.6923076923076996</v>
      </c>
      <c r="P43"/>
    </row>
    <row r="44" spans="1:16" ht="20.149999999999999" customHeight="1" x14ac:dyDescent="0.5">
      <c r="A44"/>
      <c r="B44" s="79" t="s">
        <v>23</v>
      </c>
      <c r="C44" s="42" t="s">
        <v>3</v>
      </c>
      <c r="D44" s="44">
        <v>21.2</v>
      </c>
      <c r="E44" s="42">
        <v>21.2</v>
      </c>
      <c r="F44" s="42">
        <v>17.399999999999999</v>
      </c>
      <c r="G44" s="99">
        <v>22.4</v>
      </c>
      <c r="H44" s="97">
        <v>-10.344827586206891</v>
      </c>
      <c r="I44" s="43">
        <v>-1.9607843137254832</v>
      </c>
      <c r="J44" s="43">
        <v>-12.359550561797757</v>
      </c>
      <c r="K44" s="43">
        <v>0</v>
      </c>
      <c r="L44" s="43">
        <v>0</v>
      </c>
      <c r="M44" s="43">
        <v>0</v>
      </c>
      <c r="N44" s="43">
        <v>1.298701298701294</v>
      </c>
      <c r="O44" s="50">
        <v>2.0408163265306047</v>
      </c>
      <c r="P44"/>
    </row>
    <row r="45" spans="1:16" ht="20.149999999999999" customHeight="1" x14ac:dyDescent="0.5">
      <c r="A45"/>
      <c r="B45" s="79" t="s">
        <v>13</v>
      </c>
      <c r="C45" s="42" t="s">
        <v>3</v>
      </c>
      <c r="D45" s="44">
        <v>9.6180000000000003</v>
      </c>
      <c r="E45" s="42">
        <v>13.666666666666666</v>
      </c>
      <c r="F45" s="42">
        <v>8.5555555555555571</v>
      </c>
      <c r="G45" s="99">
        <v>14.333333333333334</v>
      </c>
      <c r="H45" s="97">
        <v>-29.840430382055256</v>
      </c>
      <c r="I45" s="43">
        <v>-27.516587001498195</v>
      </c>
      <c r="J45" s="43">
        <v>-26.022497836746467</v>
      </c>
      <c r="K45" s="43">
        <v>-22.347905839192915</v>
      </c>
      <c r="L45" s="43">
        <v>0</v>
      </c>
      <c r="M45" s="43">
        <v>0</v>
      </c>
      <c r="N45" s="43">
        <v>8.457374830852503</v>
      </c>
      <c r="O45" s="50">
        <v>-8.8560355963829611</v>
      </c>
      <c r="P45"/>
    </row>
    <row r="46" spans="1:16" ht="20.149999999999999" customHeight="1" x14ac:dyDescent="0.5">
      <c r="A46"/>
      <c r="B46" s="79" t="s">
        <v>14</v>
      </c>
      <c r="C46" s="42" t="s">
        <v>175</v>
      </c>
      <c r="D46" s="44">
        <v>1.9100000000000001</v>
      </c>
      <c r="E46" s="42">
        <v>2.4</v>
      </c>
      <c r="F46" s="42">
        <v>1.7625</v>
      </c>
      <c r="G46" s="99">
        <v>2.2000000000000002</v>
      </c>
      <c r="H46" s="97">
        <v>-14.732142857142842</v>
      </c>
      <c r="I46" s="43">
        <v>-15.175097276264578</v>
      </c>
      <c r="J46" s="43">
        <v>-3.6974789915966344</v>
      </c>
      <c r="K46" s="43">
        <v>-7.8873239436619667</v>
      </c>
      <c r="L46" s="43">
        <v>0</v>
      </c>
      <c r="M46" s="43">
        <v>0</v>
      </c>
      <c r="N46" s="43">
        <v>9.7701149425287586</v>
      </c>
      <c r="O46" s="50">
        <v>1.3953488372093139</v>
      </c>
      <c r="P46"/>
    </row>
    <row r="47" spans="1:16" ht="20.149999999999999" customHeight="1" x14ac:dyDescent="0.5">
      <c r="B47" s="79" t="s">
        <v>15</v>
      </c>
      <c r="C47" s="42" t="s">
        <v>16</v>
      </c>
      <c r="D47" s="44">
        <v>3.6457142857142855</v>
      </c>
      <c r="E47" s="42">
        <v>4.833333333333333</v>
      </c>
      <c r="F47" s="42">
        <v>3.3125</v>
      </c>
      <c r="G47" s="99">
        <v>4.75</v>
      </c>
      <c r="H47" s="97">
        <v>6.7168470022476594</v>
      </c>
      <c r="I47" s="43">
        <v>7.369833813602809</v>
      </c>
      <c r="J47" s="43">
        <v>9.080547112462007</v>
      </c>
      <c r="K47" s="43">
        <v>11.973067915690869</v>
      </c>
      <c r="L47" s="43">
        <v>0</v>
      </c>
      <c r="M47" s="43">
        <v>0</v>
      </c>
      <c r="N47" s="43">
        <v>4.9126413155190036</v>
      </c>
      <c r="O47" s="50">
        <v>7.2611598927388314</v>
      </c>
    </row>
    <row r="48" spans="1:16" ht="20.149999999999999" customHeight="1" thickBot="1" x14ac:dyDescent="0.55000000000000004">
      <c r="B48" s="79" t="s">
        <v>433</v>
      </c>
      <c r="C48" s="42" t="s">
        <v>3</v>
      </c>
      <c r="D48" s="44">
        <v>2.9649999999999999</v>
      </c>
      <c r="E48" s="42">
        <v>4.085</v>
      </c>
      <c r="F48" s="42">
        <v>2.7650000000000001</v>
      </c>
      <c r="G48" s="99">
        <v>4.085</v>
      </c>
      <c r="H48" s="97">
        <v>7.2332730560578566</v>
      </c>
      <c r="I48" s="43">
        <v>0</v>
      </c>
      <c r="J48" s="43">
        <v>3.490401396160546</v>
      </c>
      <c r="K48" s="43">
        <v>0</v>
      </c>
      <c r="L48" s="43">
        <v>0</v>
      </c>
      <c r="M48" s="43">
        <v>0</v>
      </c>
      <c r="N48" s="43">
        <v>7.818181818181813</v>
      </c>
      <c r="O48" s="50">
        <v>-9.2222222222222232</v>
      </c>
    </row>
    <row r="49" spans="2:15" ht="20.149999999999999" customHeight="1" x14ac:dyDescent="0.5">
      <c r="B49" s="102" t="s">
        <v>176</v>
      </c>
      <c r="C49" s="94"/>
      <c r="D49" s="87"/>
      <c r="E49" s="87"/>
      <c r="F49" s="87"/>
      <c r="G49" s="95"/>
      <c r="H49" s="88"/>
      <c r="I49" s="88"/>
      <c r="J49" s="88"/>
      <c r="K49" s="88"/>
      <c r="L49" s="88"/>
      <c r="M49" s="88"/>
      <c r="N49" s="88"/>
      <c r="O49" s="88"/>
    </row>
    <row r="50" spans="2:15" ht="20.149999999999999" customHeight="1" x14ac:dyDescent="0.5">
      <c r="B50" s="79" t="s">
        <v>25</v>
      </c>
      <c r="C50" s="42" t="s">
        <v>16</v>
      </c>
      <c r="D50" s="44">
        <v>6.5</v>
      </c>
      <c r="E50" s="42">
        <v>14.25</v>
      </c>
      <c r="F50" s="42">
        <v>5.75</v>
      </c>
      <c r="G50" s="99">
        <v>14.25</v>
      </c>
      <c r="H50" s="97">
        <v>13.043478260869565</v>
      </c>
      <c r="I50" s="43">
        <v>-9.8039215686274517</v>
      </c>
      <c r="J50" s="43">
        <v>10.169491525423723</v>
      </c>
      <c r="K50" s="43">
        <v>-0.86206896551723844</v>
      </c>
      <c r="L50" s="43">
        <v>0</v>
      </c>
      <c r="M50" s="43">
        <v>0</v>
      </c>
      <c r="N50" s="43">
        <v>13.043478260869565</v>
      </c>
      <c r="O50" s="50">
        <v>-11.538461538461538</v>
      </c>
    </row>
    <row r="51" spans="2:15" ht="20.149999999999999" customHeight="1" x14ac:dyDescent="0.5">
      <c r="B51" s="79" t="s">
        <v>27</v>
      </c>
      <c r="C51" s="42" t="s">
        <v>3</v>
      </c>
      <c r="D51" s="44">
        <v>4.7440000000000007</v>
      </c>
      <c r="E51" s="42">
        <v>6.5411111111111095</v>
      </c>
      <c r="F51" s="42">
        <v>4.6388888888888884</v>
      </c>
      <c r="G51" s="99">
        <v>6.3999999999999977</v>
      </c>
      <c r="H51" s="97">
        <v>0</v>
      </c>
      <c r="I51" s="43">
        <v>0</v>
      </c>
      <c r="J51" s="43">
        <v>4.9209138840092988E-2</v>
      </c>
      <c r="K51" s="43">
        <v>0.5504587155963363</v>
      </c>
      <c r="L51" s="43">
        <v>0</v>
      </c>
      <c r="M51" s="43">
        <v>0</v>
      </c>
      <c r="N51" s="43">
        <v>4.7240618101545548</v>
      </c>
      <c r="O51" s="50">
        <v>-6.2227753578095752</v>
      </c>
    </row>
    <row r="52" spans="2:15" ht="20.149999999999999" customHeight="1" x14ac:dyDescent="0.5">
      <c r="B52" s="79" t="s">
        <v>302</v>
      </c>
      <c r="C52" s="42" t="s">
        <v>3</v>
      </c>
      <c r="D52" s="44">
        <v>46</v>
      </c>
      <c r="E52" s="42">
        <v>68.8</v>
      </c>
      <c r="F52" s="42">
        <v>50.25</v>
      </c>
      <c r="G52" s="99">
        <v>69.25</v>
      </c>
      <c r="H52" s="97">
        <v>-8.4577114427860707</v>
      </c>
      <c r="I52" s="43">
        <v>-0.64981949458484167</v>
      </c>
      <c r="J52" s="43">
        <v>-4.6632124352331603</v>
      </c>
      <c r="K52" s="43">
        <v>-5.7534246575342509</v>
      </c>
      <c r="L52" s="43">
        <v>0</v>
      </c>
      <c r="M52" s="43">
        <v>0</v>
      </c>
      <c r="N52" s="43">
        <v>-3.1578947368421053</v>
      </c>
      <c r="O52" s="50">
        <v>1.1764705882352899</v>
      </c>
    </row>
    <row r="53" spans="2:15" ht="20.149999999999999" customHeight="1" x14ac:dyDescent="0.5">
      <c r="B53" s="79" t="s">
        <v>29</v>
      </c>
      <c r="C53" s="42" t="s">
        <v>3</v>
      </c>
      <c r="D53" s="44">
        <v>7.4</v>
      </c>
      <c r="E53" s="42">
        <v>9.3000000000000007</v>
      </c>
      <c r="F53" s="42">
        <v>7.4</v>
      </c>
      <c r="G53" s="99">
        <v>9.1999999999999993</v>
      </c>
      <c r="H53" s="97">
        <v>0</v>
      </c>
      <c r="I53" s="43">
        <v>0</v>
      </c>
      <c r="J53" s="43">
        <v>-2.417582417582409</v>
      </c>
      <c r="K53" s="43">
        <v>-0.17699115044246783</v>
      </c>
      <c r="L53" s="43">
        <v>0</v>
      </c>
      <c r="M53" s="43">
        <v>0</v>
      </c>
      <c r="N53" s="43">
        <v>-1.3333333333333286</v>
      </c>
      <c r="O53" s="50">
        <v>0</v>
      </c>
    </row>
    <row r="54" spans="2:15" ht="20.149999999999999" customHeight="1" x14ac:dyDescent="0.5">
      <c r="B54" s="79" t="s">
        <v>30</v>
      </c>
      <c r="C54" s="42" t="s">
        <v>3</v>
      </c>
      <c r="D54" s="44">
        <v>6.0140000000000002</v>
      </c>
      <c r="E54" s="42">
        <v>11.557142857142859</v>
      </c>
      <c r="F54" s="42">
        <v>5.9142857142857137</v>
      </c>
      <c r="G54" s="99">
        <v>11.557142857142859</v>
      </c>
      <c r="H54" s="97">
        <v>-3.4360950545921565</v>
      </c>
      <c r="I54" s="43">
        <v>-3.4294234592445307</v>
      </c>
      <c r="J54" s="43">
        <v>-7.807869187531935</v>
      </c>
      <c r="K54" s="43">
        <v>-0.58555997725981035</v>
      </c>
      <c r="L54" s="43">
        <v>0</v>
      </c>
      <c r="M54" s="43">
        <v>0</v>
      </c>
      <c r="N54" s="43">
        <v>1.6909029421711286</v>
      </c>
      <c r="O54" s="50">
        <v>0.86520159197092605</v>
      </c>
    </row>
    <row r="55" spans="2:15" ht="20.149999999999999" customHeight="1" x14ac:dyDescent="0.5">
      <c r="B55" s="79" t="s">
        <v>18</v>
      </c>
      <c r="C55" s="42" t="s">
        <v>3</v>
      </c>
      <c r="D55" s="44">
        <v>5.5744444444444445</v>
      </c>
      <c r="E55" s="42">
        <v>7.875</v>
      </c>
      <c r="F55" s="42">
        <v>6.4166666666666679</v>
      </c>
      <c r="G55" s="99">
        <v>7.75</v>
      </c>
      <c r="H55" s="97">
        <v>-0.98677718571146289</v>
      </c>
      <c r="I55" s="43">
        <v>0.80645161290322287</v>
      </c>
      <c r="J55" s="43">
        <v>-0.75762071489327865</v>
      </c>
      <c r="K55" s="43">
        <v>-0.79365079365079083</v>
      </c>
      <c r="L55" s="43">
        <v>0</v>
      </c>
      <c r="M55" s="43">
        <v>0</v>
      </c>
      <c r="N55" s="43">
        <v>7.4994643239768486</v>
      </c>
      <c r="O55" s="50">
        <v>4.1666666666666652</v>
      </c>
    </row>
    <row r="56" spans="2:15" ht="20.149999999999999" customHeight="1" x14ac:dyDescent="0.5">
      <c r="B56" s="79" t="s">
        <v>32</v>
      </c>
      <c r="C56" s="42" t="s">
        <v>3</v>
      </c>
      <c r="D56" s="44">
        <v>5.4399999999999995</v>
      </c>
      <c r="E56" s="42">
        <v>9.9599999999999991</v>
      </c>
      <c r="F56" s="42">
        <v>5.54</v>
      </c>
      <c r="G56" s="99">
        <v>9.5599999999999987</v>
      </c>
      <c r="H56" s="97">
        <v>-6.8493150684931576</v>
      </c>
      <c r="I56" s="43">
        <v>0</v>
      </c>
      <c r="J56" s="43">
        <v>4.6153846153846025</v>
      </c>
      <c r="K56" s="43">
        <v>5.6353591160220979</v>
      </c>
      <c r="L56" s="43">
        <v>0</v>
      </c>
      <c r="M56" s="43">
        <v>0</v>
      </c>
      <c r="N56" s="43">
        <v>0</v>
      </c>
      <c r="O56" s="50">
        <v>0</v>
      </c>
    </row>
    <row r="57" spans="2:15" ht="20.149999999999999" customHeight="1" x14ac:dyDescent="0.5">
      <c r="B57" s="79" t="s">
        <v>410</v>
      </c>
      <c r="C57" s="42" t="s">
        <v>3</v>
      </c>
      <c r="D57" s="44">
        <v>16</v>
      </c>
      <c r="E57" s="42">
        <v>16</v>
      </c>
      <c r="F57" s="42">
        <v>16</v>
      </c>
      <c r="G57" s="99">
        <v>16</v>
      </c>
      <c r="H57" s="97">
        <v>0</v>
      </c>
      <c r="I57" s="43">
        <v>0</v>
      </c>
      <c r="J57" s="43">
        <v>10.344827586206897</v>
      </c>
      <c r="K57" s="43">
        <v>3.225806451612903</v>
      </c>
      <c r="L57" s="43">
        <v>0</v>
      </c>
      <c r="M57" s="43">
        <v>0</v>
      </c>
      <c r="N57" s="43">
        <v>128.57142857142858</v>
      </c>
      <c r="O57" s="50">
        <v>45.454545454545453</v>
      </c>
    </row>
    <row r="58" spans="2:15" ht="20.149999999999999" customHeight="1" x14ac:dyDescent="0.5">
      <c r="B58" s="79" t="s">
        <v>40</v>
      </c>
      <c r="C58" s="42" t="s">
        <v>3</v>
      </c>
      <c r="D58" s="44">
        <v>10.916666666666666</v>
      </c>
      <c r="E58" s="42">
        <v>13.333333333333334</v>
      </c>
      <c r="F58" s="42">
        <v>12.5</v>
      </c>
      <c r="G58" s="99">
        <v>14.5</v>
      </c>
      <c r="H58" s="97">
        <v>-12.666666666666671</v>
      </c>
      <c r="I58" s="43">
        <v>-8.0459770114942479</v>
      </c>
      <c r="J58" s="43">
        <v>4.5908183632734474</v>
      </c>
      <c r="K58" s="43">
        <v>6.6666666666666705</v>
      </c>
      <c r="L58" s="43">
        <v>0</v>
      </c>
      <c r="M58" s="43">
        <v>0</v>
      </c>
      <c r="N58" s="43">
        <v>29.702970297029708</v>
      </c>
      <c r="O58" s="50">
        <v>29.032258064516125</v>
      </c>
    </row>
    <row r="59" spans="2:15" ht="20.149999999999999" customHeight="1" x14ac:dyDescent="0.5">
      <c r="B59" s="79" t="s">
        <v>39</v>
      </c>
      <c r="C59" s="42" t="s">
        <v>3</v>
      </c>
      <c r="D59" s="44">
        <v>26.5</v>
      </c>
      <c r="E59" s="42">
        <v>30.25</v>
      </c>
      <c r="F59" s="42">
        <v>20.6</v>
      </c>
      <c r="G59" s="99">
        <v>23.2</v>
      </c>
      <c r="H59" s="97">
        <v>28.640776699029118</v>
      </c>
      <c r="I59" s="43">
        <v>30.387931034482762</v>
      </c>
      <c r="J59" s="43">
        <v>-4.7904191616766427</v>
      </c>
      <c r="K59" s="43">
        <v>-5.46875</v>
      </c>
      <c r="L59" s="43">
        <v>0</v>
      </c>
      <c r="M59" s="43">
        <v>0</v>
      </c>
      <c r="N59" s="43">
        <v>-1.1194029850746294</v>
      </c>
      <c r="O59" s="50">
        <v>-2.4193548387096775</v>
      </c>
    </row>
    <row r="60" spans="2:15" ht="20.149999999999999" customHeight="1" x14ac:dyDescent="0.5">
      <c r="B60" s="79" t="s">
        <v>34</v>
      </c>
      <c r="C60" s="42" t="s">
        <v>3</v>
      </c>
      <c r="D60" s="44">
        <v>18.399999999999999</v>
      </c>
      <c r="E60" s="42">
        <v>21</v>
      </c>
      <c r="F60" s="42">
        <v>17.8</v>
      </c>
      <c r="G60" s="99">
        <v>21</v>
      </c>
      <c r="H60" s="97">
        <v>5.7471264367816097</v>
      </c>
      <c r="I60" s="43">
        <v>0</v>
      </c>
      <c r="J60" s="43">
        <v>4.1509433962264</v>
      </c>
      <c r="K60" s="43">
        <v>3.9999999999999938</v>
      </c>
      <c r="L60" s="43">
        <v>0</v>
      </c>
      <c r="M60" s="43">
        <v>0</v>
      </c>
      <c r="N60" s="43">
        <v>5.7471264367816097</v>
      </c>
      <c r="O60" s="50">
        <v>11.428571428571422</v>
      </c>
    </row>
    <row r="61" spans="2:15" ht="20.149999999999999" customHeight="1" x14ac:dyDescent="0.5"/>
    <row r="62" spans="2:15" ht="20.149999999999999" customHeight="1" x14ac:dyDescent="0.5"/>
    <row r="63" spans="2:15" ht="20.149999999999999" customHeight="1" x14ac:dyDescent="0.5"/>
    <row r="64" spans="2:15" ht="20.149999999999999" customHeight="1" x14ac:dyDescent="0.5"/>
    <row r="65" ht="20.149999999999999" customHeight="1" x14ac:dyDescent="0.5"/>
    <row r="66" ht="20.149999999999999" customHeight="1" x14ac:dyDescent="0.5"/>
    <row r="67" ht="20.149999999999999" customHeight="1" x14ac:dyDescent="0.5"/>
    <row r="68" ht="20.149999999999999" customHeight="1" x14ac:dyDescent="0.5"/>
    <row r="69" ht="20.149999999999999" customHeight="1" x14ac:dyDescent="0.5"/>
    <row r="70" ht="20.149999999999999" customHeight="1" x14ac:dyDescent="0.5"/>
    <row r="71" ht="20.149999999999999" customHeight="1" x14ac:dyDescent="0.5"/>
    <row r="72" ht="20.149999999999999" customHeight="1" x14ac:dyDescent="0.5"/>
    <row r="73" ht="20.149999999999999" customHeight="1" x14ac:dyDescent="0.5"/>
    <row r="74" ht="20.149999999999999" customHeight="1" x14ac:dyDescent="0.5"/>
    <row r="75" ht="20.149999999999999" customHeight="1" x14ac:dyDescent="0.5"/>
    <row r="76" ht="20.149999999999999" customHeight="1" x14ac:dyDescent="0.5"/>
    <row r="77" ht="20.149999999999999" customHeight="1" x14ac:dyDescent="0.5"/>
    <row r="78" ht="20.149999999999999" customHeight="1" x14ac:dyDescent="0.5"/>
  </sheetData>
  <phoneticPr fontId="19" type="noConversion"/>
  <conditionalFormatting sqref="H9:I9">
    <cfRule type="cellIs" dxfId="103" priority="713" operator="lessThan">
      <formula>0</formula>
    </cfRule>
    <cfRule type="cellIs" dxfId="102" priority="714" operator="greaterThan">
      <formula>0</formula>
    </cfRule>
  </conditionalFormatting>
  <conditionalFormatting sqref="H10:O18 H31:O33">
    <cfRule type="cellIs" dxfId="101" priority="89" stopIfTrue="1" operator="equal">
      <formula>"-"</formula>
    </cfRule>
    <cfRule type="cellIs" dxfId="100" priority="90" operator="greaterThan">
      <formula>0</formula>
    </cfRule>
    <cfRule type="cellIs" dxfId="99" priority="91" operator="lessThan">
      <formula>0</formula>
    </cfRule>
  </conditionalFormatting>
  <conditionalFormatting sqref="H19:O24 H34:O37 H45:O45 H55:O60 H26:O27 H39:O39">
    <cfRule type="cellIs" dxfId="98" priority="51" stopIfTrue="1" operator="equal">
      <formula>"-"</formula>
    </cfRule>
    <cfRule type="cellIs" dxfId="97" priority="52" operator="greaterThan">
      <formula>0</formula>
    </cfRule>
    <cfRule type="cellIs" dxfId="96" priority="53" operator="lessThan">
      <formula>0</formula>
    </cfRule>
  </conditionalFormatting>
  <conditionalFormatting sqref="H40:O41">
    <cfRule type="cellIs" dxfId="95" priority="35" stopIfTrue="1" operator="equal">
      <formula>"-"</formula>
    </cfRule>
    <cfRule type="cellIs" dxfId="94" priority="36" operator="greaterThan">
      <formula>0</formula>
    </cfRule>
    <cfRule type="cellIs" dxfId="93" priority="37" operator="lessThan">
      <formula>0</formula>
    </cfRule>
  </conditionalFormatting>
  <conditionalFormatting sqref="H25:I25">
    <cfRule type="cellIs" dxfId="92" priority="25" operator="lessThan">
      <formula>0</formula>
    </cfRule>
    <cfRule type="cellIs" dxfId="91" priority="26" operator="greaterThan">
      <formula>0</formula>
    </cfRule>
  </conditionalFormatting>
  <conditionalFormatting sqref="H28:O30">
    <cfRule type="cellIs" dxfId="90" priority="22" stopIfTrue="1" operator="equal">
      <formula>"-"</formula>
    </cfRule>
    <cfRule type="cellIs" dxfId="89" priority="23" operator="greaterThan">
      <formula>0</formula>
    </cfRule>
    <cfRule type="cellIs" dxfId="88" priority="24" operator="lessThan">
      <formula>0</formula>
    </cfRule>
  </conditionalFormatting>
  <conditionalFormatting sqref="H38:I38">
    <cfRule type="cellIs" dxfId="87" priority="20" operator="lessThan">
      <formula>0</formula>
    </cfRule>
    <cfRule type="cellIs" dxfId="86" priority="21" operator="greaterThan">
      <formula>0</formula>
    </cfRule>
  </conditionalFormatting>
  <conditionalFormatting sqref="H42:O44">
    <cfRule type="cellIs" dxfId="85" priority="17" stopIfTrue="1" operator="equal">
      <formula>"-"</formula>
    </cfRule>
    <cfRule type="cellIs" dxfId="84" priority="18" operator="greaterThan">
      <formula>0</formula>
    </cfRule>
    <cfRule type="cellIs" dxfId="83" priority="19" operator="lessThan">
      <formula>0</formula>
    </cfRule>
  </conditionalFormatting>
  <conditionalFormatting sqref="H51:O51 H53:O53">
    <cfRule type="cellIs" dxfId="82" priority="12" stopIfTrue="1" operator="equal">
      <formula>"-"</formula>
    </cfRule>
    <cfRule type="cellIs" dxfId="81" priority="13" operator="greaterThan">
      <formula>0</formula>
    </cfRule>
    <cfRule type="cellIs" dxfId="80" priority="14" operator="lessThan">
      <formula>0</formula>
    </cfRule>
  </conditionalFormatting>
  <conditionalFormatting sqref="H50:O50 H52:O52 H54:O54">
    <cfRule type="cellIs" dxfId="79" priority="9" stopIfTrue="1" operator="equal">
      <formula>"-"</formula>
    </cfRule>
    <cfRule type="cellIs" dxfId="78" priority="10" operator="greaterThan">
      <formula>0</formula>
    </cfRule>
    <cfRule type="cellIs" dxfId="77" priority="11" operator="lessThan">
      <formula>0</formula>
    </cfRule>
  </conditionalFormatting>
  <conditionalFormatting sqref="H49:I49">
    <cfRule type="cellIs" dxfId="76" priority="7" operator="lessThan">
      <formula>0</formula>
    </cfRule>
    <cfRule type="cellIs" dxfId="75" priority="8" operator="greaterThan">
      <formula>0</formula>
    </cfRule>
  </conditionalFormatting>
  <conditionalFormatting sqref="H47:O47">
    <cfRule type="cellIs" dxfId="74" priority="4" stopIfTrue="1" operator="equal">
      <formula>"-"</formula>
    </cfRule>
    <cfRule type="cellIs" dxfId="73" priority="5" operator="greaterThan">
      <formula>0</formula>
    </cfRule>
    <cfRule type="cellIs" dxfId="72" priority="6" operator="lessThan">
      <formula>0</formula>
    </cfRule>
  </conditionalFormatting>
  <conditionalFormatting sqref="H46:O46 H48:O48">
    <cfRule type="cellIs" dxfId="71" priority="1" stopIfTrue="1" operator="equal">
      <formula>"-"</formula>
    </cfRule>
    <cfRule type="cellIs" dxfId="70" priority="2" operator="greaterThan">
      <formula>0</formula>
    </cfRule>
    <cfRule type="cellIs" dxfId="69" priority="3" operator="lessThan">
      <formula>0</formula>
    </cfRule>
  </conditionalFormatting>
  <pageMargins left="0.79" right="0.79" top="0.98" bottom="0.98" header="0.51" footer="0.51"/>
  <pageSetup paperSize="9" scale="56" orientation="portrait" r:id="rId1"/>
  <headerFooter alignWithMargins="0">
    <oddHeader>&amp;A</oddHeader>
    <oddFooter>Strona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theme="9" tint="0.59999389629810485"/>
    <pageSetUpPr fitToPage="1"/>
  </sheetPr>
  <dimension ref="A1:P36"/>
  <sheetViews>
    <sheetView showGridLines="0" showZero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P37" sqref="P37"/>
    </sheetView>
  </sheetViews>
  <sheetFormatPr defaultColWidth="9.1796875" defaultRowHeight="18.5" x14ac:dyDescent="0.45"/>
  <cols>
    <col min="1" max="1" width="10.7265625" style="13" customWidth="1"/>
    <col min="2" max="2" width="20.7265625" style="13" customWidth="1"/>
    <col min="3" max="3" width="15.7265625" style="13" customWidth="1"/>
    <col min="4" max="19" width="10.7265625" style="13" customWidth="1"/>
    <col min="20" max="16384" width="9.1796875" style="13"/>
  </cols>
  <sheetData>
    <row r="1" spans="1:16" s="53" customFormat="1" ht="25" customHeight="1" x14ac:dyDescent="0.35">
      <c r="B1" s="77"/>
      <c r="E1" s="54"/>
      <c r="J1" s="55"/>
      <c r="K1" s="56"/>
      <c r="N1" s="55"/>
    </row>
    <row r="2" spans="1:16" customFormat="1" ht="25" customHeight="1" x14ac:dyDescent="0.25">
      <c r="A2" s="57"/>
      <c r="B2" s="58" t="s">
        <v>402</v>
      </c>
      <c r="C2" s="59"/>
      <c r="D2" s="59"/>
      <c r="E2" s="59"/>
      <c r="F2" s="59"/>
      <c r="G2" s="59"/>
      <c r="H2" s="59"/>
      <c r="I2" s="59"/>
      <c r="J2" s="60"/>
      <c r="K2" s="60"/>
      <c r="L2" s="60"/>
      <c r="M2" s="59"/>
      <c r="N2" s="60"/>
    </row>
    <row r="3" spans="1:16" customFormat="1" ht="25" customHeight="1" thickBot="1" x14ac:dyDescent="0.3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P3" s="53"/>
    </row>
    <row r="4" spans="1:16" customFormat="1" ht="25" customHeight="1" thickTop="1" x14ac:dyDescent="0.3">
      <c r="B4" s="362"/>
      <c r="C4" s="71"/>
      <c r="D4" s="72"/>
      <c r="E4" s="72"/>
      <c r="F4" s="73"/>
      <c r="G4" s="74"/>
      <c r="H4" s="74"/>
      <c r="I4" s="74"/>
      <c r="J4" s="74"/>
      <c r="K4" s="75"/>
      <c r="L4" s="53"/>
      <c r="M4" s="74"/>
      <c r="N4" s="74" t="str">
        <f>POMOC!B5</f>
        <v>Notowania 09.03 - 18.03.2026 / Tydzień 10</v>
      </c>
      <c r="O4" s="53"/>
    </row>
    <row r="5" spans="1:16" s="1" customFormat="1" ht="20.149999999999999" customHeight="1" x14ac:dyDescent="0.35">
      <c r="B5" s="107" t="s">
        <v>287</v>
      </c>
      <c r="C5" s="108"/>
      <c r="D5" s="112"/>
      <c r="E5" s="113" t="s">
        <v>202</v>
      </c>
      <c r="F5" s="106"/>
      <c r="G5" s="113" t="s">
        <v>274</v>
      </c>
      <c r="H5" s="106"/>
      <c r="I5" s="113" t="s">
        <v>422</v>
      </c>
      <c r="J5" s="106"/>
      <c r="K5" s="113" t="s">
        <v>206</v>
      </c>
      <c r="L5" s="106"/>
      <c r="M5" s="113" t="s">
        <v>205</v>
      </c>
      <c r="N5" s="106"/>
    </row>
    <row r="6" spans="1:16" s="1" customFormat="1" ht="20.149999999999999" customHeight="1" x14ac:dyDescent="0.35">
      <c r="B6" s="119" t="s">
        <v>36</v>
      </c>
      <c r="C6" s="120"/>
      <c r="D6" s="119"/>
      <c r="E6" s="105">
        <v>46099</v>
      </c>
      <c r="F6" s="121"/>
      <c r="G6" s="105">
        <v>46098</v>
      </c>
      <c r="H6" s="121"/>
      <c r="I6" s="105">
        <v>46098</v>
      </c>
      <c r="J6" s="121"/>
      <c r="K6" s="105">
        <v>46098</v>
      </c>
      <c r="L6" s="121"/>
      <c r="M6" s="105">
        <v>46098</v>
      </c>
      <c r="N6" s="121"/>
    </row>
    <row r="7" spans="1:16" ht="20.149999999999999" customHeight="1" thickBot="1" x14ac:dyDescent="0.5">
      <c r="B7" s="273" t="s">
        <v>360</v>
      </c>
      <c r="C7" s="274"/>
      <c r="D7" s="275"/>
      <c r="E7" s="276" t="s">
        <v>1</v>
      </c>
      <c r="F7" s="277" t="s">
        <v>2</v>
      </c>
      <c r="G7" s="276" t="s">
        <v>1</v>
      </c>
      <c r="H7" s="277" t="s">
        <v>2</v>
      </c>
      <c r="I7" s="276" t="s">
        <v>1</v>
      </c>
      <c r="J7" s="277" t="s">
        <v>2</v>
      </c>
      <c r="K7" s="276" t="s">
        <v>1</v>
      </c>
      <c r="L7" s="277" t="s">
        <v>2</v>
      </c>
      <c r="M7" s="276" t="s">
        <v>1</v>
      </c>
      <c r="N7" s="277" t="s">
        <v>2</v>
      </c>
    </row>
    <row r="8" spans="1:16" ht="20.149999999999999" customHeight="1" x14ac:dyDescent="0.45">
      <c r="B8" s="215" t="s">
        <v>37</v>
      </c>
      <c r="C8" s="122"/>
      <c r="D8" s="109"/>
      <c r="E8" s="123"/>
      <c r="F8" s="123"/>
      <c r="G8" s="123"/>
      <c r="H8" s="123"/>
      <c r="I8" s="123"/>
      <c r="J8" s="123"/>
      <c r="K8" s="123"/>
      <c r="L8" s="123"/>
      <c r="M8" s="123"/>
      <c r="N8" s="123"/>
    </row>
    <row r="9" spans="1:16" ht="20.149999999999999" customHeight="1" x14ac:dyDescent="0.45">
      <c r="B9" s="213" t="s">
        <v>103</v>
      </c>
      <c r="C9" s="111"/>
      <c r="D9" s="116" t="s">
        <v>3</v>
      </c>
      <c r="E9" s="114">
        <v>0.75</v>
      </c>
      <c r="F9" s="90">
        <v>1.5</v>
      </c>
      <c r="G9" s="90">
        <v>0.8</v>
      </c>
      <c r="H9" s="90">
        <v>1</v>
      </c>
      <c r="I9" s="90">
        <v>1.2</v>
      </c>
      <c r="J9" s="90">
        <v>1.5</v>
      </c>
      <c r="K9" s="90">
        <v>1</v>
      </c>
      <c r="L9" s="90">
        <v>1.6</v>
      </c>
      <c r="M9" s="90">
        <v>2</v>
      </c>
      <c r="N9" s="90">
        <v>2.8</v>
      </c>
    </row>
    <row r="10" spans="1:16" ht="20.149999999999999" customHeight="1" x14ac:dyDescent="0.45">
      <c r="B10" s="214" t="s">
        <v>5</v>
      </c>
      <c r="C10" s="28"/>
      <c r="D10" s="117" t="s">
        <v>3</v>
      </c>
      <c r="E10" s="115">
        <v>0.65</v>
      </c>
      <c r="F10" s="44">
        <v>1</v>
      </c>
      <c r="G10" s="44">
        <v>0.8</v>
      </c>
      <c r="H10" s="44">
        <v>1</v>
      </c>
      <c r="I10" s="44">
        <v>1.5</v>
      </c>
      <c r="J10" s="44">
        <v>1.67</v>
      </c>
      <c r="K10" s="44">
        <v>0.93</v>
      </c>
      <c r="L10" s="44">
        <v>1.67</v>
      </c>
      <c r="M10" s="44">
        <v>1.8</v>
      </c>
      <c r="N10" s="44">
        <v>2</v>
      </c>
    </row>
    <row r="11" spans="1:16" ht="20.149999999999999" customHeight="1" x14ac:dyDescent="0.45">
      <c r="B11" s="214" t="s">
        <v>6</v>
      </c>
      <c r="C11" s="28"/>
      <c r="D11" s="117" t="s">
        <v>3</v>
      </c>
      <c r="E11" s="115">
        <v>0.6</v>
      </c>
      <c r="F11" s="44">
        <v>0.85</v>
      </c>
      <c r="G11" s="44">
        <v>0.5</v>
      </c>
      <c r="H11" s="44">
        <v>0.5</v>
      </c>
      <c r="I11" s="44">
        <v>1.2</v>
      </c>
      <c r="J11" s="44">
        <v>2.2000000000000002</v>
      </c>
      <c r="K11" s="44">
        <v>0.5</v>
      </c>
      <c r="L11" s="44">
        <v>0.9</v>
      </c>
      <c r="M11" s="44">
        <v>1.7</v>
      </c>
      <c r="N11" s="44">
        <v>2.2000000000000002</v>
      </c>
    </row>
    <row r="12" spans="1:16" ht="20.149999999999999" customHeight="1" x14ac:dyDescent="0.45">
      <c r="B12" s="214" t="s">
        <v>7</v>
      </c>
      <c r="C12" s="28"/>
      <c r="D12" s="117" t="s">
        <v>3</v>
      </c>
      <c r="E12" s="115">
        <v>1.2</v>
      </c>
      <c r="F12" s="44">
        <v>1.6</v>
      </c>
      <c r="G12" s="44">
        <v>1</v>
      </c>
      <c r="H12" s="44">
        <v>1.4</v>
      </c>
      <c r="I12" s="44">
        <v>1.4</v>
      </c>
      <c r="J12" s="44">
        <v>2</v>
      </c>
      <c r="K12" s="44">
        <v>1</v>
      </c>
      <c r="L12" s="44">
        <v>1.8</v>
      </c>
      <c r="M12" s="44">
        <v>2</v>
      </c>
      <c r="N12" s="44">
        <v>2.4</v>
      </c>
    </row>
    <row r="13" spans="1:16" ht="20.149999999999999" customHeight="1" x14ac:dyDescent="0.45">
      <c r="B13" s="214" t="s">
        <v>9</v>
      </c>
      <c r="C13" s="28"/>
      <c r="D13" s="117" t="s">
        <v>3</v>
      </c>
      <c r="E13" s="115">
        <v>15</v>
      </c>
      <c r="F13" s="44">
        <v>20</v>
      </c>
      <c r="G13" s="44">
        <v>14</v>
      </c>
      <c r="H13" s="44">
        <v>15</v>
      </c>
      <c r="I13" s="44"/>
      <c r="J13" s="44"/>
      <c r="K13" s="44"/>
      <c r="L13" s="44"/>
      <c r="M13" s="44">
        <v>17</v>
      </c>
      <c r="N13" s="44">
        <v>19</v>
      </c>
    </row>
    <row r="14" spans="1:16" ht="20.149999999999999" customHeight="1" x14ac:dyDescent="0.45">
      <c r="B14" s="214" t="s">
        <v>203</v>
      </c>
      <c r="C14" s="28"/>
      <c r="D14" s="117" t="s">
        <v>3</v>
      </c>
      <c r="E14" s="115">
        <v>7</v>
      </c>
      <c r="F14" s="44">
        <v>9</v>
      </c>
      <c r="G14" s="44">
        <v>6</v>
      </c>
      <c r="H14" s="44">
        <v>7</v>
      </c>
      <c r="I14" s="44"/>
      <c r="J14" s="44"/>
      <c r="K14" s="44"/>
      <c r="L14" s="44"/>
      <c r="M14" s="44">
        <v>11</v>
      </c>
      <c r="N14" s="44">
        <v>12</v>
      </c>
    </row>
    <row r="15" spans="1:16" ht="20.149999999999999" customHeight="1" x14ac:dyDescent="0.45">
      <c r="B15" s="214" t="s">
        <v>12</v>
      </c>
      <c r="C15" s="28"/>
      <c r="D15" s="117" t="s">
        <v>3</v>
      </c>
      <c r="E15" s="115">
        <v>3</v>
      </c>
      <c r="F15" s="44">
        <v>3.65</v>
      </c>
      <c r="G15" s="44">
        <v>2.5</v>
      </c>
      <c r="H15" s="44">
        <v>3</v>
      </c>
      <c r="I15" s="44">
        <v>4.8</v>
      </c>
      <c r="J15" s="44">
        <v>6</v>
      </c>
      <c r="K15" s="44">
        <v>3</v>
      </c>
      <c r="L15" s="44">
        <v>5</v>
      </c>
      <c r="M15" s="44">
        <v>6</v>
      </c>
      <c r="N15" s="44">
        <v>6</v>
      </c>
    </row>
    <row r="16" spans="1:16" ht="20.149999999999999" customHeight="1" x14ac:dyDescent="0.45">
      <c r="B16" s="214" t="s">
        <v>13</v>
      </c>
      <c r="C16" s="28"/>
      <c r="D16" s="117" t="s">
        <v>3</v>
      </c>
      <c r="E16" s="115">
        <v>22</v>
      </c>
      <c r="F16" s="44">
        <v>25</v>
      </c>
      <c r="G16" s="44">
        <v>20</v>
      </c>
      <c r="H16" s="44">
        <v>20</v>
      </c>
      <c r="I16" s="44">
        <v>12</v>
      </c>
      <c r="J16" s="44">
        <v>14.5</v>
      </c>
      <c r="K16" s="44">
        <v>11.67</v>
      </c>
      <c r="L16" s="44">
        <v>16.670000000000002</v>
      </c>
      <c r="M16" s="44"/>
      <c r="N16" s="44"/>
    </row>
    <row r="17" spans="2:14" ht="20.149999999999999" customHeight="1" x14ac:dyDescent="0.45">
      <c r="B17" s="214" t="s">
        <v>107</v>
      </c>
      <c r="C17" s="28"/>
      <c r="D17" s="117" t="s">
        <v>3</v>
      </c>
      <c r="E17" s="115">
        <v>22</v>
      </c>
      <c r="F17" s="44">
        <v>30</v>
      </c>
      <c r="G17" s="44">
        <v>23.33</v>
      </c>
      <c r="H17" s="44">
        <v>26.67</v>
      </c>
      <c r="I17" s="44"/>
      <c r="J17" s="44"/>
      <c r="K17" s="44">
        <v>16.670000000000002</v>
      </c>
      <c r="L17" s="44">
        <v>26.67</v>
      </c>
      <c r="M17" s="44">
        <v>24.17</v>
      </c>
      <c r="N17" s="44">
        <v>25.83</v>
      </c>
    </row>
    <row r="18" spans="2:14" ht="20.149999999999999" customHeight="1" x14ac:dyDescent="0.45">
      <c r="B18" s="214" t="s">
        <v>24</v>
      </c>
      <c r="C18" s="28"/>
      <c r="D18" s="117" t="s">
        <v>16</v>
      </c>
      <c r="E18" s="115"/>
      <c r="F18" s="44"/>
      <c r="G18" s="44">
        <v>2</v>
      </c>
      <c r="H18" s="44">
        <v>2</v>
      </c>
      <c r="I18" s="44"/>
      <c r="J18" s="44"/>
      <c r="K18" s="44">
        <v>1.5</v>
      </c>
      <c r="L18" s="44">
        <v>2.5</v>
      </c>
      <c r="M18" s="44">
        <v>2.5</v>
      </c>
      <c r="N18" s="44">
        <v>3.5</v>
      </c>
    </row>
    <row r="19" spans="2:14" ht="20.149999999999999" customHeight="1" x14ac:dyDescent="0.45">
      <c r="B19" s="214" t="s">
        <v>15</v>
      </c>
      <c r="C19" s="28"/>
      <c r="D19" s="117" t="s">
        <v>16</v>
      </c>
      <c r="E19" s="115">
        <v>5</v>
      </c>
      <c r="F19" s="44">
        <v>6.5</v>
      </c>
      <c r="G19" s="44">
        <v>3</v>
      </c>
      <c r="H19" s="44">
        <v>3</v>
      </c>
      <c r="I19" s="44">
        <v>3.5</v>
      </c>
      <c r="J19" s="44">
        <v>6</v>
      </c>
      <c r="K19" s="44"/>
      <c r="L19" s="44"/>
      <c r="M19" s="44">
        <v>3.33</v>
      </c>
      <c r="N19" s="44">
        <v>3.5</v>
      </c>
    </row>
    <row r="20" spans="2:14" ht="20.149999999999999" customHeight="1" x14ac:dyDescent="0.45">
      <c r="B20" s="214" t="s">
        <v>38</v>
      </c>
      <c r="C20" s="28"/>
      <c r="D20" s="117" t="s">
        <v>3</v>
      </c>
      <c r="E20" s="115">
        <v>1.6</v>
      </c>
      <c r="F20" s="44">
        <v>2</v>
      </c>
      <c r="G20" s="44">
        <v>1</v>
      </c>
      <c r="H20" s="44">
        <v>1</v>
      </c>
      <c r="I20" s="44">
        <v>2.6</v>
      </c>
      <c r="J20" s="44">
        <v>4</v>
      </c>
      <c r="K20" s="44">
        <v>2</v>
      </c>
      <c r="L20" s="44">
        <v>4</v>
      </c>
      <c r="M20" s="44">
        <v>4.4000000000000004</v>
      </c>
      <c r="N20" s="44">
        <v>5</v>
      </c>
    </row>
    <row r="21" spans="2:14" ht="20.149999999999999" customHeight="1" x14ac:dyDescent="0.45">
      <c r="B21" s="214" t="s">
        <v>17</v>
      </c>
      <c r="C21" s="28"/>
      <c r="D21" s="117" t="s">
        <v>3</v>
      </c>
      <c r="E21" s="115">
        <v>0.55000000000000004</v>
      </c>
      <c r="F21" s="44">
        <v>1.35</v>
      </c>
      <c r="G21" s="44">
        <v>1</v>
      </c>
      <c r="H21" s="44">
        <v>1</v>
      </c>
      <c r="I21" s="44">
        <v>1</v>
      </c>
      <c r="J21" s="44">
        <v>1.34</v>
      </c>
      <c r="K21" s="44">
        <v>0.47</v>
      </c>
      <c r="L21" s="44">
        <v>1.07</v>
      </c>
      <c r="M21" s="44">
        <v>1.1299999999999999</v>
      </c>
      <c r="N21" s="44">
        <v>1.47</v>
      </c>
    </row>
    <row r="22" spans="2:14" ht="20.149999999999999" customHeight="1" x14ac:dyDescent="0.45">
      <c r="B22" s="214" t="s">
        <v>4</v>
      </c>
      <c r="C22" s="28"/>
      <c r="D22" s="117" t="s">
        <v>3</v>
      </c>
      <c r="E22" s="115">
        <v>13.5</v>
      </c>
      <c r="F22" s="44">
        <v>20</v>
      </c>
      <c r="G22" s="44"/>
      <c r="H22" s="44"/>
      <c r="I22" s="44">
        <v>19</v>
      </c>
      <c r="J22" s="44">
        <v>19.5</v>
      </c>
      <c r="K22" s="44"/>
      <c r="L22" s="44"/>
      <c r="M22" s="44">
        <v>30</v>
      </c>
      <c r="N22" s="44">
        <v>30</v>
      </c>
    </row>
    <row r="23" spans="2:14" ht="20.149999999999999" customHeight="1" x14ac:dyDescent="0.45">
      <c r="B23" s="215" t="s">
        <v>11</v>
      </c>
      <c r="C23" s="109"/>
      <c r="D23" s="118" t="s">
        <v>3</v>
      </c>
      <c r="E23" s="110">
        <v>9</v>
      </c>
      <c r="F23" s="110">
        <v>12</v>
      </c>
      <c r="G23" s="110">
        <v>10</v>
      </c>
      <c r="H23" s="110">
        <v>10</v>
      </c>
      <c r="I23" s="110">
        <v>11.67</v>
      </c>
      <c r="J23" s="110">
        <v>11.84</v>
      </c>
      <c r="K23" s="110">
        <v>6.67</v>
      </c>
      <c r="L23" s="110">
        <v>13.33</v>
      </c>
      <c r="M23" s="110">
        <v>11</v>
      </c>
      <c r="N23" s="110">
        <v>13</v>
      </c>
    </row>
    <row r="24" spans="2:14" ht="20.149999999999999" customHeight="1" x14ac:dyDescent="0.45">
      <c r="B24" s="213" t="s">
        <v>104</v>
      </c>
      <c r="C24" s="111"/>
      <c r="D24" s="116"/>
      <c r="E24" s="114"/>
      <c r="F24" s="90"/>
      <c r="G24" s="90"/>
      <c r="H24" s="90"/>
      <c r="I24" s="90"/>
      <c r="J24" s="90"/>
      <c r="K24" s="90"/>
      <c r="L24" s="90"/>
      <c r="M24" s="90"/>
      <c r="N24" s="90"/>
    </row>
    <row r="25" spans="2:14" ht="20.149999999999999" customHeight="1" x14ac:dyDescent="0.45">
      <c r="B25" s="214" t="s">
        <v>19</v>
      </c>
      <c r="C25" s="28"/>
      <c r="D25" s="117" t="s">
        <v>3</v>
      </c>
      <c r="E25" s="115">
        <v>14</v>
      </c>
      <c r="F25" s="44">
        <v>16</v>
      </c>
      <c r="G25" s="44">
        <v>14</v>
      </c>
      <c r="H25" s="44">
        <v>14</v>
      </c>
      <c r="I25" s="44"/>
      <c r="J25" s="44"/>
      <c r="K25" s="44"/>
      <c r="L25" s="44"/>
      <c r="M25" s="44"/>
      <c r="N25" s="44"/>
    </row>
    <row r="26" spans="2:14" ht="20.149999999999999" customHeight="1" x14ac:dyDescent="0.45">
      <c r="B26" s="214" t="s">
        <v>20</v>
      </c>
      <c r="C26" s="28"/>
      <c r="D26" s="117" t="s">
        <v>16</v>
      </c>
      <c r="E26" s="115">
        <v>7</v>
      </c>
      <c r="F26" s="44">
        <v>9</v>
      </c>
      <c r="G26" s="44">
        <v>6</v>
      </c>
      <c r="H26" s="44">
        <v>8</v>
      </c>
      <c r="I26" s="44">
        <v>10</v>
      </c>
      <c r="J26" s="44">
        <v>11</v>
      </c>
      <c r="K26" s="44">
        <v>7</v>
      </c>
      <c r="L26" s="44">
        <v>8</v>
      </c>
      <c r="M26" s="44">
        <v>7.5</v>
      </c>
      <c r="N26" s="44">
        <v>8</v>
      </c>
    </row>
    <row r="27" spans="2:14" ht="20.149999999999999" customHeight="1" x14ac:dyDescent="0.45">
      <c r="B27" s="214" t="s">
        <v>423</v>
      </c>
      <c r="C27" s="28"/>
      <c r="D27" s="117" t="s">
        <v>16</v>
      </c>
      <c r="E27" s="115">
        <v>7</v>
      </c>
      <c r="F27" s="44">
        <v>10</v>
      </c>
      <c r="G27" s="44">
        <v>7</v>
      </c>
      <c r="H27" s="44">
        <v>9</v>
      </c>
      <c r="I27" s="44"/>
      <c r="J27" s="44"/>
      <c r="K27" s="44"/>
      <c r="L27" s="44"/>
      <c r="M27" s="44">
        <v>6.75</v>
      </c>
      <c r="N27" s="44">
        <v>7.5</v>
      </c>
    </row>
    <row r="28" spans="2:14" ht="20.149999999999999" customHeight="1" x14ac:dyDescent="0.45">
      <c r="B28" s="214" t="s">
        <v>203</v>
      </c>
      <c r="C28" s="28"/>
      <c r="D28" s="117" t="s">
        <v>3</v>
      </c>
      <c r="E28" s="115">
        <v>5</v>
      </c>
      <c r="F28" s="44">
        <v>6.5</v>
      </c>
      <c r="G28" s="44"/>
      <c r="H28" s="44"/>
      <c r="I28" s="44">
        <v>14</v>
      </c>
      <c r="J28" s="44">
        <v>16</v>
      </c>
      <c r="K28" s="44">
        <v>7</v>
      </c>
      <c r="L28" s="44">
        <v>10</v>
      </c>
      <c r="M28" s="44">
        <v>12.89</v>
      </c>
      <c r="N28" s="44">
        <v>14.44</v>
      </c>
    </row>
    <row r="29" spans="2:14" ht="20.149999999999999" customHeight="1" x14ac:dyDescent="0.45">
      <c r="B29" s="214" t="s">
        <v>21</v>
      </c>
      <c r="C29" s="28"/>
      <c r="D29" s="117" t="s">
        <v>3</v>
      </c>
      <c r="E29" s="115">
        <v>16</v>
      </c>
      <c r="F29" s="44">
        <v>19</v>
      </c>
      <c r="G29" s="44">
        <v>14</v>
      </c>
      <c r="H29" s="44">
        <v>14</v>
      </c>
      <c r="I29" s="44">
        <v>17</v>
      </c>
      <c r="J29" s="44">
        <v>21</v>
      </c>
      <c r="K29" s="44">
        <v>20</v>
      </c>
      <c r="L29" s="44">
        <v>22</v>
      </c>
      <c r="M29" s="44">
        <v>18</v>
      </c>
      <c r="N29" s="44">
        <v>20</v>
      </c>
    </row>
    <row r="30" spans="2:14" ht="20.149999999999999" customHeight="1" x14ac:dyDescent="0.45">
      <c r="B30" s="214" t="s">
        <v>22</v>
      </c>
      <c r="C30" s="28"/>
      <c r="D30" s="117" t="s">
        <v>3</v>
      </c>
      <c r="E30" s="115">
        <v>15</v>
      </c>
      <c r="F30" s="44">
        <v>18</v>
      </c>
      <c r="G30" s="44">
        <v>12</v>
      </c>
      <c r="H30" s="44">
        <v>14</v>
      </c>
      <c r="I30" s="44">
        <v>17</v>
      </c>
      <c r="J30" s="44">
        <v>20</v>
      </c>
      <c r="K30" s="44">
        <v>18</v>
      </c>
      <c r="L30" s="44">
        <v>18</v>
      </c>
      <c r="M30" s="44">
        <v>14</v>
      </c>
      <c r="N30" s="44">
        <v>15</v>
      </c>
    </row>
    <row r="31" spans="2:14" ht="20.149999999999999" customHeight="1" x14ac:dyDescent="0.45">
      <c r="B31" s="214" t="s">
        <v>23</v>
      </c>
      <c r="C31" s="28"/>
      <c r="D31" s="117" t="s">
        <v>3</v>
      </c>
      <c r="E31" s="115">
        <v>16</v>
      </c>
      <c r="F31" s="44">
        <v>19</v>
      </c>
      <c r="G31" s="44">
        <v>14</v>
      </c>
      <c r="H31" s="44">
        <v>16</v>
      </c>
      <c r="I31" s="44">
        <v>19</v>
      </c>
      <c r="J31" s="44">
        <v>26</v>
      </c>
      <c r="K31" s="44">
        <v>20</v>
      </c>
      <c r="L31" s="44">
        <v>22</v>
      </c>
      <c r="M31" s="44">
        <v>18</v>
      </c>
      <c r="N31" s="44">
        <v>19</v>
      </c>
    </row>
    <row r="32" spans="2:14" ht="20.149999999999999" customHeight="1" x14ac:dyDescent="0.45">
      <c r="B32" s="214" t="s">
        <v>13</v>
      </c>
      <c r="C32" s="28"/>
      <c r="D32" s="117" t="s">
        <v>3</v>
      </c>
      <c r="E32" s="115">
        <v>13</v>
      </c>
      <c r="F32" s="44">
        <v>26</v>
      </c>
      <c r="G32" s="44">
        <v>6.67</v>
      </c>
      <c r="H32" s="44">
        <v>10</v>
      </c>
      <c r="I32" s="44"/>
      <c r="J32" s="44"/>
      <c r="K32" s="44">
        <v>11</v>
      </c>
      <c r="L32" s="44">
        <v>13</v>
      </c>
      <c r="M32" s="44">
        <v>13.33</v>
      </c>
      <c r="N32" s="44">
        <v>15</v>
      </c>
    </row>
    <row r="33" spans="2:14" ht="20.149999999999999" customHeight="1" x14ac:dyDescent="0.45">
      <c r="B33" s="214" t="s">
        <v>107</v>
      </c>
      <c r="C33" s="28"/>
      <c r="D33" s="117" t="s">
        <v>3</v>
      </c>
      <c r="E33" s="115"/>
      <c r="F33" s="44"/>
      <c r="G33" s="44">
        <v>13.33</v>
      </c>
      <c r="H33" s="44">
        <v>15</v>
      </c>
      <c r="I33" s="44"/>
      <c r="J33" s="44"/>
      <c r="K33" s="44">
        <v>15</v>
      </c>
      <c r="L33" s="44">
        <v>16</v>
      </c>
      <c r="M33" s="44"/>
      <c r="N33" s="44"/>
    </row>
    <row r="34" spans="2:14" ht="20.149999999999999" customHeight="1" x14ac:dyDescent="0.45">
      <c r="B34" s="214" t="s">
        <v>14</v>
      </c>
      <c r="C34" s="28"/>
      <c r="D34" s="117" t="s">
        <v>175</v>
      </c>
      <c r="E34" s="115">
        <v>2.5</v>
      </c>
      <c r="F34" s="44">
        <v>3</v>
      </c>
      <c r="G34" s="44">
        <v>1.8</v>
      </c>
      <c r="H34" s="44">
        <v>2</v>
      </c>
      <c r="I34" s="44">
        <v>2.5</v>
      </c>
      <c r="J34" s="44">
        <v>2.6</v>
      </c>
      <c r="K34" s="44">
        <v>2</v>
      </c>
      <c r="L34" s="44">
        <v>2.5</v>
      </c>
      <c r="M34" s="44">
        <v>2.4</v>
      </c>
      <c r="N34" s="44">
        <v>2.75</v>
      </c>
    </row>
    <row r="35" spans="2:14" x14ac:dyDescent="0.45">
      <c r="B35" s="214" t="s">
        <v>15</v>
      </c>
      <c r="C35" s="28"/>
      <c r="D35" s="117" t="s">
        <v>16</v>
      </c>
      <c r="E35" s="115">
        <v>3.5</v>
      </c>
      <c r="F35" s="44">
        <v>5.5</v>
      </c>
      <c r="G35" s="44">
        <v>2.5</v>
      </c>
      <c r="H35" s="44">
        <v>2.81</v>
      </c>
      <c r="I35" s="44"/>
      <c r="J35" s="44"/>
      <c r="K35" s="44">
        <v>3</v>
      </c>
      <c r="L35" s="44">
        <v>5</v>
      </c>
      <c r="M35" s="44">
        <v>3.5</v>
      </c>
      <c r="N35" s="44">
        <v>3.88</v>
      </c>
    </row>
    <row r="36" spans="2:14" x14ac:dyDescent="0.45">
      <c r="B36" s="214" t="s">
        <v>433</v>
      </c>
      <c r="C36" s="28"/>
      <c r="D36" s="117" t="s">
        <v>3</v>
      </c>
      <c r="E36" s="115">
        <v>2.2000000000000002</v>
      </c>
      <c r="F36" s="44">
        <v>4.5</v>
      </c>
      <c r="G36" s="44"/>
      <c r="H36" s="44"/>
      <c r="I36" s="44"/>
      <c r="J36" s="44"/>
      <c r="K36" s="44"/>
      <c r="L36" s="44"/>
      <c r="M36" s="44">
        <v>3.33</v>
      </c>
      <c r="N36" s="44">
        <v>3.67</v>
      </c>
    </row>
  </sheetData>
  <phoneticPr fontId="19" type="noConversion"/>
  <pageMargins left="0.79" right="0.79" top="0.98" bottom="0.98" header="0.51" footer="0.51"/>
  <pageSetup paperSize="9" scale="73" orientation="landscape" horizontalDpi="300" verticalDpi="300" r:id="rId1"/>
  <headerFooter alignWithMargins="0">
    <oddHeader>&amp;A</oddHeader>
    <oddFooter>Strona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theme="9" tint="0.59999389629810485"/>
    <pageSetUpPr fitToPage="1"/>
  </sheetPr>
  <dimension ref="A1:R78"/>
  <sheetViews>
    <sheetView showGridLines="0" showZeros="0" zoomScaleNormal="100" workbookViewId="0">
      <pane xSplit="1" ySplit="7" topLeftCell="D8" activePane="bottomRight" state="frozen"/>
      <selection pane="topRight" activeCell="B1" sqref="B1"/>
      <selection pane="bottomLeft" activeCell="A8" sqref="A8"/>
      <selection pane="bottomRight" activeCell="A21" sqref="A21"/>
    </sheetView>
  </sheetViews>
  <sheetFormatPr defaultColWidth="9.1796875" defaultRowHeight="15.5" x14ac:dyDescent="0.35"/>
  <cols>
    <col min="1" max="1" width="10.7265625" style="1" customWidth="1"/>
    <col min="2" max="2" width="20.7265625" style="8" customWidth="1"/>
    <col min="3" max="3" width="15.7265625" style="9" customWidth="1"/>
    <col min="4" max="4" width="19.7265625" style="8" bestFit="1" customWidth="1"/>
    <col min="5" max="5" width="11.54296875" style="8" bestFit="1" customWidth="1"/>
    <col min="6" max="16" width="10.7265625" style="8" customWidth="1"/>
    <col min="17" max="19" width="10.7265625" style="1" customWidth="1"/>
    <col min="20" max="16384" width="9.1796875" style="1"/>
  </cols>
  <sheetData>
    <row r="1" spans="1:18" s="53" customFormat="1" ht="25" customHeight="1" x14ac:dyDescent="0.35">
      <c r="B1" s="77"/>
      <c r="E1" s="54"/>
      <c r="J1" s="55"/>
      <c r="K1" s="56"/>
      <c r="N1" s="55"/>
      <c r="O1" s="56"/>
    </row>
    <row r="2" spans="1:18" customFormat="1" ht="25" customHeight="1" x14ac:dyDescent="0.25">
      <c r="A2" s="57"/>
      <c r="B2" s="58" t="s">
        <v>401</v>
      </c>
      <c r="C2" s="59"/>
      <c r="D2" s="59"/>
      <c r="E2" s="59"/>
      <c r="F2" s="59"/>
      <c r="G2" s="59"/>
      <c r="H2" s="59"/>
      <c r="I2" s="59"/>
      <c r="J2" s="60"/>
      <c r="K2" s="60"/>
      <c r="L2" s="60"/>
      <c r="M2" s="59"/>
      <c r="N2" s="60"/>
      <c r="O2" s="60"/>
      <c r="P2" s="60"/>
    </row>
    <row r="3" spans="1:18" customFormat="1" ht="24.75" customHeight="1" thickBot="1" x14ac:dyDescent="0.3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R3" s="53"/>
    </row>
    <row r="4" spans="1:18" customFormat="1" ht="25" customHeight="1" thickTop="1" x14ac:dyDescent="0.3">
      <c r="B4" s="362"/>
      <c r="C4" s="71"/>
      <c r="D4" s="72"/>
      <c r="E4" s="72"/>
      <c r="F4" s="73"/>
      <c r="G4" s="74"/>
      <c r="H4" s="74"/>
      <c r="I4" s="74"/>
      <c r="J4" s="74"/>
      <c r="K4" s="75"/>
      <c r="L4" s="53"/>
      <c r="M4" s="74"/>
      <c r="N4" s="74" t="str">
        <f>POMOC!B5</f>
        <v>Notowania 09.03 - 18.03.2026 / Tydzień 10</v>
      </c>
      <c r="O4" s="75"/>
      <c r="P4" s="53"/>
      <c r="Q4" s="53"/>
    </row>
    <row r="5" spans="1:18" ht="20.149999999999999" customHeight="1" x14ac:dyDescent="0.35">
      <c r="B5" s="107" t="s">
        <v>35</v>
      </c>
      <c r="C5" s="108"/>
      <c r="D5" s="112" t="s">
        <v>35</v>
      </c>
      <c r="E5" s="113"/>
      <c r="F5" s="106"/>
      <c r="G5" s="113" t="s">
        <v>202</v>
      </c>
      <c r="H5" s="106"/>
      <c r="I5" s="113" t="s">
        <v>274</v>
      </c>
      <c r="J5" s="106"/>
      <c r="K5" s="113" t="s">
        <v>422</v>
      </c>
      <c r="L5" s="106"/>
      <c r="M5" s="113" t="s">
        <v>206</v>
      </c>
      <c r="N5" s="106"/>
      <c r="O5" s="113" t="s">
        <v>205</v>
      </c>
      <c r="P5" s="106"/>
    </row>
    <row r="6" spans="1:18" ht="20.149999999999999" customHeight="1" x14ac:dyDescent="0.35">
      <c r="B6" s="119" t="s">
        <v>36</v>
      </c>
      <c r="C6" s="120"/>
      <c r="D6" s="119" t="s">
        <v>36</v>
      </c>
      <c r="E6" s="105"/>
      <c r="F6" s="121"/>
      <c r="G6" s="105">
        <v>46099</v>
      </c>
      <c r="H6" s="121"/>
      <c r="I6" s="105">
        <v>46098</v>
      </c>
      <c r="J6" s="121"/>
      <c r="K6" s="105">
        <v>46098</v>
      </c>
      <c r="L6" s="121"/>
      <c r="M6" s="105">
        <v>46098</v>
      </c>
      <c r="N6" s="121"/>
      <c r="O6" s="105">
        <v>46098</v>
      </c>
      <c r="P6" s="121"/>
    </row>
    <row r="7" spans="1:18" s="13" customFormat="1" ht="20.149999999999999" customHeight="1" thickBot="1" x14ac:dyDescent="0.5">
      <c r="B7" s="273" t="s">
        <v>360</v>
      </c>
      <c r="C7" s="274"/>
      <c r="D7" s="275" t="s">
        <v>360</v>
      </c>
      <c r="E7" s="276"/>
      <c r="F7" s="277" t="s">
        <v>0</v>
      </c>
      <c r="G7" s="276" t="s">
        <v>1</v>
      </c>
      <c r="H7" s="277" t="s">
        <v>2</v>
      </c>
      <c r="I7" s="276" t="s">
        <v>1</v>
      </c>
      <c r="J7" s="277" t="s">
        <v>2</v>
      </c>
      <c r="K7" s="276" t="s">
        <v>1</v>
      </c>
      <c r="L7" s="277" t="s">
        <v>2</v>
      </c>
      <c r="M7" s="276" t="s">
        <v>1</v>
      </c>
      <c r="N7" s="277" t="s">
        <v>2</v>
      </c>
      <c r="O7" s="276" t="s">
        <v>1</v>
      </c>
      <c r="P7" s="277" t="s">
        <v>2</v>
      </c>
    </row>
    <row r="8" spans="1:18" ht="20.149999999999999" customHeight="1" x14ac:dyDescent="0.35">
      <c r="B8" s="215" t="s">
        <v>37</v>
      </c>
      <c r="C8" s="216"/>
      <c r="D8" s="109" t="s">
        <v>37</v>
      </c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</row>
    <row r="9" spans="1:18" ht="20.149999999999999" customHeight="1" x14ac:dyDescent="0.35">
      <c r="B9" s="217" t="s">
        <v>18</v>
      </c>
      <c r="C9" s="218"/>
      <c r="D9" s="124" t="s">
        <v>18</v>
      </c>
      <c r="E9" s="125"/>
      <c r="F9" s="126" t="s">
        <v>3</v>
      </c>
      <c r="G9" s="126">
        <v>4.5</v>
      </c>
      <c r="H9" s="126">
        <v>6.5</v>
      </c>
      <c r="I9" s="126">
        <v>4</v>
      </c>
      <c r="J9" s="126">
        <v>4</v>
      </c>
      <c r="K9" s="126">
        <v>5</v>
      </c>
      <c r="L9" s="126">
        <v>7</v>
      </c>
      <c r="M9" s="126">
        <v>4</v>
      </c>
      <c r="N9" s="126">
        <v>5.5</v>
      </c>
      <c r="O9" s="126">
        <v>6</v>
      </c>
      <c r="P9" s="126">
        <v>6.5</v>
      </c>
    </row>
    <row r="10" spans="1:18" ht="20.149999999999999" customHeight="1" x14ac:dyDescent="0.35">
      <c r="B10" s="217" t="s">
        <v>31</v>
      </c>
      <c r="C10" s="219"/>
      <c r="D10" s="127" t="s">
        <v>31</v>
      </c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</row>
    <row r="11" spans="1:18" ht="20.149999999999999" customHeight="1" x14ac:dyDescent="0.35">
      <c r="B11" s="213"/>
      <c r="C11" s="220" t="s">
        <v>210</v>
      </c>
      <c r="D11" s="116"/>
      <c r="E11" s="114" t="s">
        <v>210</v>
      </c>
      <c r="F11" s="90" t="s">
        <v>3</v>
      </c>
      <c r="G11" s="90"/>
      <c r="H11" s="90"/>
      <c r="I11" s="90"/>
      <c r="J11" s="90"/>
      <c r="K11" s="90">
        <v>2</v>
      </c>
      <c r="L11" s="90">
        <v>3</v>
      </c>
      <c r="M11" s="90"/>
      <c r="N11" s="90"/>
      <c r="O11" s="90">
        <v>3</v>
      </c>
      <c r="P11" s="90">
        <v>3</v>
      </c>
    </row>
    <row r="12" spans="1:18" ht="20.149999999999999" customHeight="1" x14ac:dyDescent="0.35">
      <c r="B12" s="214"/>
      <c r="C12" s="221" t="s">
        <v>311</v>
      </c>
      <c r="D12" s="117"/>
      <c r="E12" s="115" t="s">
        <v>311</v>
      </c>
      <c r="F12" s="44" t="s">
        <v>3</v>
      </c>
      <c r="G12" s="44">
        <v>3</v>
      </c>
      <c r="H12" s="44">
        <v>5</v>
      </c>
      <c r="I12" s="44">
        <v>3.08</v>
      </c>
      <c r="J12" s="44">
        <v>3.85</v>
      </c>
      <c r="K12" s="44">
        <v>3</v>
      </c>
      <c r="L12" s="44">
        <v>3.75</v>
      </c>
      <c r="M12" s="44">
        <v>2.67</v>
      </c>
      <c r="N12" s="44">
        <v>4</v>
      </c>
      <c r="O12" s="44"/>
      <c r="P12" s="44"/>
    </row>
    <row r="13" spans="1:18" ht="20.149999999999999" customHeight="1" x14ac:dyDescent="0.35">
      <c r="B13" s="214"/>
      <c r="C13" s="221" t="s">
        <v>195</v>
      </c>
      <c r="D13" s="117"/>
      <c r="E13" s="115" t="s">
        <v>195</v>
      </c>
      <c r="F13" s="44" t="s">
        <v>3</v>
      </c>
      <c r="G13" s="44">
        <v>2.5</v>
      </c>
      <c r="H13" s="44">
        <v>3.75</v>
      </c>
      <c r="I13" s="44">
        <v>3.08</v>
      </c>
      <c r="J13" s="44">
        <v>3.08</v>
      </c>
      <c r="K13" s="44">
        <v>2</v>
      </c>
      <c r="L13" s="44">
        <v>3.5</v>
      </c>
      <c r="M13" s="44"/>
      <c r="N13" s="44"/>
      <c r="O13" s="44"/>
      <c r="P13" s="44"/>
    </row>
    <row r="14" spans="1:18" ht="20.149999999999999" customHeight="1" x14ac:dyDescent="0.35">
      <c r="B14" s="214"/>
      <c r="C14" s="221" t="s">
        <v>280</v>
      </c>
      <c r="D14" s="117"/>
      <c r="E14" s="115" t="s">
        <v>280</v>
      </c>
      <c r="F14" s="44" t="s">
        <v>3</v>
      </c>
      <c r="G14" s="44">
        <v>2.75</v>
      </c>
      <c r="H14" s="44">
        <v>3.75</v>
      </c>
      <c r="I14" s="44">
        <v>3.08</v>
      </c>
      <c r="J14" s="44">
        <v>3.08</v>
      </c>
      <c r="K14" s="44">
        <v>2</v>
      </c>
      <c r="L14" s="44">
        <v>3.5</v>
      </c>
      <c r="M14" s="44"/>
      <c r="N14" s="44"/>
      <c r="O14" s="44">
        <v>4</v>
      </c>
      <c r="P14" s="44">
        <v>4</v>
      </c>
    </row>
    <row r="15" spans="1:18" ht="20.149999999999999" customHeight="1" x14ac:dyDescent="0.35">
      <c r="B15" s="214"/>
      <c r="C15" s="221" t="s">
        <v>318</v>
      </c>
      <c r="D15" s="117"/>
      <c r="E15" s="115" t="s">
        <v>318</v>
      </c>
      <c r="F15" s="44" t="s">
        <v>3</v>
      </c>
      <c r="G15" s="44">
        <v>2</v>
      </c>
      <c r="H15" s="44">
        <v>3</v>
      </c>
      <c r="I15" s="44">
        <v>3.08</v>
      </c>
      <c r="J15" s="44">
        <v>3.08</v>
      </c>
      <c r="K15" s="44"/>
      <c r="L15" s="44"/>
      <c r="M15" s="44"/>
      <c r="N15" s="44"/>
      <c r="O15" s="44"/>
      <c r="P15" s="44"/>
    </row>
    <row r="16" spans="1:18" ht="20.149999999999999" customHeight="1" x14ac:dyDescent="0.35">
      <c r="B16" s="214"/>
      <c r="C16" s="221" t="s">
        <v>278</v>
      </c>
      <c r="D16" s="117"/>
      <c r="E16" s="115" t="s">
        <v>278</v>
      </c>
      <c r="F16" s="44" t="s">
        <v>3</v>
      </c>
      <c r="G16" s="44"/>
      <c r="H16" s="44"/>
      <c r="I16" s="44"/>
      <c r="J16" s="44"/>
      <c r="K16" s="44"/>
      <c r="L16" s="44"/>
      <c r="M16" s="44"/>
      <c r="N16" s="44"/>
      <c r="O16" s="44">
        <v>3.33</v>
      </c>
      <c r="P16" s="44">
        <v>4</v>
      </c>
    </row>
    <row r="17" spans="2:16" ht="20.149999999999999" customHeight="1" x14ac:dyDescent="0.35">
      <c r="B17" s="214"/>
      <c r="C17" s="221" t="s">
        <v>173</v>
      </c>
      <c r="D17" s="117"/>
      <c r="E17" s="115" t="s">
        <v>173</v>
      </c>
      <c r="F17" s="44" t="s">
        <v>3</v>
      </c>
      <c r="G17" s="44">
        <v>2</v>
      </c>
      <c r="H17" s="44">
        <v>3</v>
      </c>
      <c r="I17" s="44">
        <v>3.08</v>
      </c>
      <c r="J17" s="44">
        <v>3.08</v>
      </c>
      <c r="K17" s="44">
        <v>2</v>
      </c>
      <c r="L17" s="44">
        <v>3.5</v>
      </c>
      <c r="M17" s="44">
        <v>2</v>
      </c>
      <c r="N17" s="44">
        <v>3.33</v>
      </c>
      <c r="O17" s="44">
        <v>3.33</v>
      </c>
      <c r="P17" s="44">
        <v>4</v>
      </c>
    </row>
    <row r="18" spans="2:16" ht="20.149999999999999" customHeight="1" x14ac:dyDescent="0.35">
      <c r="B18" s="214"/>
      <c r="C18" s="221" t="s">
        <v>209</v>
      </c>
      <c r="D18" s="117"/>
      <c r="E18" s="115" t="s">
        <v>209</v>
      </c>
      <c r="F18" s="44" t="s">
        <v>3</v>
      </c>
      <c r="G18" s="44">
        <v>2.85</v>
      </c>
      <c r="H18" s="44">
        <v>4</v>
      </c>
      <c r="I18" s="44">
        <v>3.08</v>
      </c>
      <c r="J18" s="44">
        <v>3.85</v>
      </c>
      <c r="K18" s="44">
        <v>3</v>
      </c>
      <c r="L18" s="44">
        <v>3.75</v>
      </c>
      <c r="M18" s="44">
        <v>2</v>
      </c>
      <c r="N18" s="44">
        <v>3.33</v>
      </c>
      <c r="O18" s="44">
        <v>3.33</v>
      </c>
      <c r="P18" s="44">
        <v>4</v>
      </c>
    </row>
    <row r="19" spans="2:16" ht="20.149999999999999" customHeight="1" x14ac:dyDescent="0.35">
      <c r="B19" s="214"/>
      <c r="C19" s="221" t="s">
        <v>174</v>
      </c>
      <c r="D19" s="117"/>
      <c r="E19" s="115" t="s">
        <v>174</v>
      </c>
      <c r="F19" s="44" t="s">
        <v>3</v>
      </c>
      <c r="G19" s="44">
        <v>2</v>
      </c>
      <c r="H19" s="44">
        <v>3.5</v>
      </c>
      <c r="I19" s="44">
        <v>3.08</v>
      </c>
      <c r="J19" s="44">
        <v>3.08</v>
      </c>
      <c r="K19" s="44">
        <v>2</v>
      </c>
      <c r="L19" s="44">
        <v>3.5</v>
      </c>
      <c r="M19" s="44">
        <v>1.67</v>
      </c>
      <c r="N19" s="44">
        <v>3</v>
      </c>
      <c r="O19" s="44">
        <v>3.33</v>
      </c>
      <c r="P19" s="44">
        <v>4</v>
      </c>
    </row>
    <row r="20" spans="2:16" s="13" customFormat="1" ht="18.5" x14ac:dyDescent="0.45">
      <c r="B20" s="215"/>
      <c r="C20" s="216" t="s">
        <v>310</v>
      </c>
      <c r="D20" s="117"/>
      <c r="E20" s="115" t="s">
        <v>310</v>
      </c>
      <c r="F20" s="44" t="s">
        <v>3</v>
      </c>
      <c r="G20" s="44">
        <v>3.25</v>
      </c>
      <c r="H20" s="44">
        <v>4</v>
      </c>
      <c r="I20" s="44">
        <v>3.08</v>
      </c>
      <c r="J20" s="44">
        <v>3.85</v>
      </c>
      <c r="K20" s="44"/>
      <c r="L20" s="44"/>
      <c r="M20" s="44">
        <v>2</v>
      </c>
      <c r="N20" s="44">
        <v>3.33</v>
      </c>
      <c r="O20" s="44"/>
      <c r="P20" s="44"/>
    </row>
    <row r="21" spans="2:16" ht="20.149999999999999" customHeight="1" x14ac:dyDescent="0.35">
      <c r="B21" s="217" t="s">
        <v>104</v>
      </c>
      <c r="C21" s="218"/>
      <c r="D21" s="109" t="s">
        <v>104</v>
      </c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</row>
    <row r="22" spans="2:16" ht="20.149999999999999" customHeight="1" x14ac:dyDescent="0.35">
      <c r="B22" s="213" t="s">
        <v>25</v>
      </c>
      <c r="C22" s="222"/>
      <c r="D22" s="116" t="s">
        <v>25</v>
      </c>
      <c r="E22" s="114"/>
      <c r="F22" s="90" t="s">
        <v>16</v>
      </c>
      <c r="G22" s="90">
        <v>6</v>
      </c>
      <c r="H22" s="90">
        <v>9</v>
      </c>
      <c r="I22" s="90">
        <v>5</v>
      </c>
      <c r="J22" s="90">
        <v>15</v>
      </c>
      <c r="K22" s="90">
        <v>7</v>
      </c>
      <c r="L22" s="90">
        <v>10</v>
      </c>
      <c r="M22" s="90">
        <v>5</v>
      </c>
      <c r="N22" s="90">
        <v>17</v>
      </c>
      <c r="O22" s="90"/>
      <c r="P22" s="90"/>
    </row>
    <row r="23" spans="2:16" ht="20.149999999999999" customHeight="1" x14ac:dyDescent="0.35">
      <c r="B23" s="214" t="s">
        <v>27</v>
      </c>
      <c r="C23" s="223"/>
      <c r="D23" s="117" t="s">
        <v>26</v>
      </c>
      <c r="E23" s="115"/>
      <c r="F23" s="44" t="s">
        <v>3</v>
      </c>
      <c r="G23" s="44">
        <v>6</v>
      </c>
      <c r="H23" s="44">
        <v>8</v>
      </c>
      <c r="I23" s="44">
        <v>8</v>
      </c>
      <c r="J23" s="44">
        <v>10</v>
      </c>
      <c r="K23" s="44"/>
      <c r="L23" s="44"/>
      <c r="M23" s="44"/>
      <c r="N23" s="44"/>
      <c r="O23" s="44"/>
      <c r="P23" s="44"/>
    </row>
    <row r="24" spans="2:16" ht="20.149999999999999" customHeight="1" x14ac:dyDescent="0.35">
      <c r="B24" s="214" t="s">
        <v>302</v>
      </c>
      <c r="C24" s="223"/>
      <c r="D24" s="117" t="s">
        <v>27</v>
      </c>
      <c r="E24" s="115"/>
      <c r="F24" s="44" t="s">
        <v>3</v>
      </c>
      <c r="G24" s="44">
        <v>4.2</v>
      </c>
      <c r="H24" s="44">
        <v>6.15</v>
      </c>
      <c r="I24" s="44">
        <v>4.4400000000000004</v>
      </c>
      <c r="J24" s="44">
        <v>4.4400000000000004</v>
      </c>
      <c r="K24" s="44">
        <v>4.8</v>
      </c>
      <c r="L24" s="44">
        <v>6.5</v>
      </c>
      <c r="M24" s="44">
        <v>5.28</v>
      </c>
      <c r="N24" s="44">
        <v>6.11</v>
      </c>
      <c r="O24" s="44">
        <v>5</v>
      </c>
      <c r="P24" s="44">
        <v>6.94</v>
      </c>
    </row>
    <row r="25" spans="2:16" ht="20.149999999999999" customHeight="1" x14ac:dyDescent="0.35">
      <c r="B25" s="214" t="s">
        <v>29</v>
      </c>
      <c r="C25" s="223"/>
      <c r="D25" s="117" t="s">
        <v>302</v>
      </c>
      <c r="E25" s="115"/>
      <c r="F25" s="44" t="s">
        <v>3</v>
      </c>
      <c r="G25" s="44">
        <v>45</v>
      </c>
      <c r="H25" s="44">
        <v>75</v>
      </c>
      <c r="I25" s="44">
        <v>48</v>
      </c>
      <c r="J25" s="44">
        <v>80</v>
      </c>
      <c r="K25" s="44"/>
      <c r="L25" s="44"/>
      <c r="M25" s="44">
        <v>40</v>
      </c>
      <c r="N25" s="44">
        <v>50</v>
      </c>
      <c r="O25" s="44">
        <v>68</v>
      </c>
      <c r="P25" s="44">
        <v>72</v>
      </c>
    </row>
    <row r="26" spans="2:16" ht="20.149999999999999" customHeight="1" x14ac:dyDescent="0.35">
      <c r="B26" s="214" t="s">
        <v>30</v>
      </c>
      <c r="C26" s="223"/>
      <c r="D26" s="117" t="s">
        <v>29</v>
      </c>
      <c r="E26" s="115"/>
      <c r="F26" s="44" t="s">
        <v>3</v>
      </c>
      <c r="G26" s="44">
        <v>7</v>
      </c>
      <c r="H26" s="44">
        <v>11</v>
      </c>
      <c r="I26" s="44">
        <v>6.5</v>
      </c>
      <c r="J26" s="44">
        <v>7.5</v>
      </c>
      <c r="K26" s="44">
        <v>7</v>
      </c>
      <c r="L26" s="44">
        <v>10</v>
      </c>
      <c r="M26" s="44">
        <v>8</v>
      </c>
      <c r="N26" s="44">
        <v>9</v>
      </c>
      <c r="O26" s="44">
        <v>8.5</v>
      </c>
      <c r="P26" s="44">
        <v>9.5</v>
      </c>
    </row>
    <row r="27" spans="2:16" ht="20.149999999999999" customHeight="1" x14ac:dyDescent="0.35">
      <c r="B27" s="214" t="s">
        <v>18</v>
      </c>
      <c r="C27" s="223"/>
      <c r="D27" s="117" t="s">
        <v>30</v>
      </c>
      <c r="E27" s="115"/>
      <c r="F27" s="44" t="s">
        <v>3</v>
      </c>
      <c r="G27" s="44">
        <v>5</v>
      </c>
      <c r="H27" s="44">
        <v>26</v>
      </c>
      <c r="I27" s="44">
        <v>5</v>
      </c>
      <c r="J27" s="44">
        <v>7</v>
      </c>
      <c r="K27" s="44">
        <v>7</v>
      </c>
      <c r="L27" s="44">
        <v>10.5</v>
      </c>
      <c r="M27" s="44">
        <v>7</v>
      </c>
      <c r="N27" s="44">
        <v>9</v>
      </c>
      <c r="O27" s="44">
        <v>7.14</v>
      </c>
      <c r="P27" s="44">
        <v>7.86</v>
      </c>
    </row>
    <row r="28" spans="2:16" ht="20.149999999999999" customHeight="1" x14ac:dyDescent="0.35">
      <c r="B28" s="214" t="s">
        <v>403</v>
      </c>
      <c r="C28" s="223"/>
      <c r="D28" s="117" t="s">
        <v>18</v>
      </c>
      <c r="E28" s="115"/>
      <c r="F28" s="44" t="s">
        <v>3</v>
      </c>
      <c r="G28" s="44">
        <v>6</v>
      </c>
      <c r="H28" s="44">
        <v>7</v>
      </c>
      <c r="I28" s="44">
        <v>6</v>
      </c>
      <c r="J28" s="44">
        <v>8</v>
      </c>
      <c r="K28" s="44"/>
      <c r="L28" s="44"/>
      <c r="M28" s="44">
        <v>6.67</v>
      </c>
      <c r="N28" s="44">
        <v>7.5</v>
      </c>
      <c r="O28" s="44">
        <v>8.5</v>
      </c>
      <c r="P28" s="44">
        <v>10</v>
      </c>
    </row>
    <row r="29" spans="2:16" ht="20.149999999999999" customHeight="1" x14ac:dyDescent="0.35">
      <c r="B29" s="214" t="s">
        <v>32</v>
      </c>
      <c r="C29" s="223"/>
      <c r="D29" s="117" t="s">
        <v>32</v>
      </c>
      <c r="E29" s="115"/>
      <c r="F29" s="44" t="s">
        <v>3</v>
      </c>
      <c r="G29" s="44">
        <v>5</v>
      </c>
      <c r="H29" s="44">
        <v>15</v>
      </c>
      <c r="I29" s="44">
        <v>8</v>
      </c>
      <c r="J29" s="44">
        <v>8</v>
      </c>
      <c r="K29" s="44">
        <v>6.5</v>
      </c>
      <c r="L29" s="44">
        <v>10</v>
      </c>
      <c r="M29" s="44">
        <v>0.7</v>
      </c>
      <c r="N29" s="44">
        <v>0.8</v>
      </c>
      <c r="O29" s="44">
        <v>9</v>
      </c>
      <c r="P29" s="44">
        <v>14</v>
      </c>
    </row>
    <row r="30" spans="2:16" ht="20.149999999999999" customHeight="1" x14ac:dyDescent="0.35">
      <c r="B30" s="214" t="s">
        <v>410</v>
      </c>
      <c r="C30" s="223"/>
      <c r="D30" s="117" t="s">
        <v>410</v>
      </c>
      <c r="E30" s="115"/>
      <c r="F30" s="44" t="s">
        <v>3</v>
      </c>
      <c r="G30" s="44"/>
      <c r="H30" s="44"/>
      <c r="I30" s="44"/>
      <c r="J30" s="44"/>
      <c r="K30" s="44">
        <v>16</v>
      </c>
      <c r="L30" s="44">
        <v>16</v>
      </c>
      <c r="M30" s="44"/>
      <c r="N30" s="44"/>
      <c r="O30" s="44"/>
      <c r="P30" s="44"/>
    </row>
    <row r="31" spans="2:16" ht="20.149999999999999" customHeight="1" x14ac:dyDescent="0.35">
      <c r="B31" s="214" t="s">
        <v>33</v>
      </c>
      <c r="C31" s="223"/>
      <c r="D31" s="117" t="s">
        <v>33</v>
      </c>
      <c r="E31" s="115"/>
      <c r="F31" s="44" t="s">
        <v>3</v>
      </c>
      <c r="G31" s="44">
        <v>3</v>
      </c>
      <c r="H31" s="44">
        <v>15</v>
      </c>
      <c r="I31" s="44"/>
      <c r="J31" s="44"/>
      <c r="K31" s="44">
        <v>7</v>
      </c>
      <c r="L31" s="44">
        <v>10</v>
      </c>
      <c r="M31" s="44">
        <v>7</v>
      </c>
      <c r="N31" s="44">
        <v>9</v>
      </c>
      <c r="O31" s="44">
        <v>7.5</v>
      </c>
      <c r="P31" s="44">
        <v>9</v>
      </c>
    </row>
    <row r="32" spans="2:16" ht="20.149999999999999" customHeight="1" x14ac:dyDescent="0.35">
      <c r="B32" s="214" t="s">
        <v>40</v>
      </c>
      <c r="C32" s="223"/>
      <c r="D32" s="117" t="s">
        <v>40</v>
      </c>
      <c r="E32" s="115"/>
      <c r="F32" s="44" t="s">
        <v>3</v>
      </c>
      <c r="G32" s="44"/>
      <c r="H32" s="44"/>
      <c r="I32" s="44"/>
      <c r="J32" s="44"/>
      <c r="K32" s="44">
        <v>14</v>
      </c>
      <c r="L32" s="44">
        <v>17</v>
      </c>
      <c r="M32" s="44"/>
      <c r="N32" s="44"/>
      <c r="O32" s="44">
        <v>11</v>
      </c>
      <c r="P32" s="44">
        <v>12</v>
      </c>
    </row>
    <row r="33" spans="2:16" ht="20.149999999999999" customHeight="1" x14ac:dyDescent="0.35">
      <c r="B33" s="214" t="s">
        <v>39</v>
      </c>
      <c r="C33" s="223"/>
      <c r="D33" s="117" t="s">
        <v>39</v>
      </c>
      <c r="E33" s="115"/>
      <c r="F33" s="44" t="s">
        <v>3</v>
      </c>
      <c r="G33" s="44">
        <v>11</v>
      </c>
      <c r="H33" s="44">
        <v>14</v>
      </c>
      <c r="I33" s="44">
        <v>15</v>
      </c>
      <c r="J33" s="44">
        <v>16</v>
      </c>
      <c r="K33" s="44">
        <v>30</v>
      </c>
      <c r="L33" s="44">
        <v>36</v>
      </c>
      <c r="M33" s="44">
        <v>22</v>
      </c>
      <c r="N33" s="44">
        <v>24</v>
      </c>
      <c r="O33" s="44">
        <v>25</v>
      </c>
      <c r="P33" s="44">
        <v>26</v>
      </c>
    </row>
    <row r="34" spans="2:16" ht="20.149999999999999" customHeight="1" x14ac:dyDescent="0.35">
      <c r="B34" s="214" t="s">
        <v>34</v>
      </c>
      <c r="C34" s="223"/>
      <c r="D34" s="117" t="s">
        <v>34</v>
      </c>
      <c r="E34" s="115"/>
      <c r="F34" s="44" t="s">
        <v>3</v>
      </c>
      <c r="G34" s="44">
        <v>16</v>
      </c>
      <c r="H34" s="44">
        <v>20</v>
      </c>
      <c r="I34" s="44">
        <v>10</v>
      </c>
      <c r="J34" s="44">
        <v>20</v>
      </c>
      <c r="K34" s="44">
        <v>20</v>
      </c>
      <c r="L34" s="44">
        <v>26</v>
      </c>
      <c r="M34" s="44">
        <v>22</v>
      </c>
      <c r="N34" s="44">
        <v>23</v>
      </c>
      <c r="O34" s="44">
        <v>19</v>
      </c>
      <c r="P34" s="44">
        <v>28</v>
      </c>
    </row>
    <row r="35" spans="2:16" ht="20.149999999999999" customHeight="1" x14ac:dyDescent="0.35"/>
    <row r="36" spans="2:16" ht="20.149999999999999" customHeight="1" x14ac:dyDescent="0.35"/>
    <row r="37" spans="2:16" ht="20.149999999999999" customHeight="1" x14ac:dyDescent="0.35"/>
    <row r="38" spans="2:16" ht="20.149999999999999" customHeight="1" x14ac:dyDescent="0.35"/>
    <row r="39" spans="2:16" ht="20.149999999999999" customHeight="1" x14ac:dyDescent="0.35"/>
    <row r="40" spans="2:16" ht="20.149999999999999" customHeight="1" x14ac:dyDescent="0.35"/>
    <row r="41" spans="2:16" ht="20.149999999999999" customHeight="1" x14ac:dyDescent="0.35"/>
    <row r="42" spans="2:16" ht="20.149999999999999" customHeight="1" x14ac:dyDescent="0.35"/>
    <row r="43" spans="2:16" ht="20.149999999999999" customHeight="1" x14ac:dyDescent="0.35"/>
    <row r="44" spans="2:16" ht="20.149999999999999" customHeight="1" x14ac:dyDescent="0.35"/>
    <row r="45" spans="2:16" ht="20.149999999999999" customHeight="1" x14ac:dyDescent="0.35"/>
    <row r="46" spans="2:16" ht="20.149999999999999" customHeight="1" x14ac:dyDescent="0.35"/>
    <row r="47" spans="2:16" ht="20.149999999999999" customHeight="1" x14ac:dyDescent="0.35"/>
    <row r="48" spans="2:16" ht="20.149999999999999" customHeight="1" x14ac:dyDescent="0.35"/>
    <row r="49" ht="20.149999999999999" customHeight="1" x14ac:dyDescent="0.35"/>
    <row r="50" ht="20.149999999999999" customHeight="1" x14ac:dyDescent="0.35"/>
    <row r="51" ht="20.149999999999999" customHeight="1" x14ac:dyDescent="0.35"/>
    <row r="52" ht="20.149999999999999" customHeight="1" x14ac:dyDescent="0.35"/>
    <row r="53" ht="20.149999999999999" customHeight="1" x14ac:dyDescent="0.35"/>
    <row r="54" ht="20.149999999999999" customHeight="1" x14ac:dyDescent="0.35"/>
    <row r="55" ht="20.149999999999999" customHeight="1" x14ac:dyDescent="0.35"/>
    <row r="56" ht="20.149999999999999" customHeight="1" x14ac:dyDescent="0.35"/>
    <row r="57" ht="20.149999999999999" customHeight="1" x14ac:dyDescent="0.35"/>
    <row r="58" ht="20.149999999999999" customHeight="1" x14ac:dyDescent="0.35"/>
    <row r="59" ht="20.149999999999999" customHeight="1" x14ac:dyDescent="0.35"/>
    <row r="60" ht="20.149999999999999" customHeight="1" x14ac:dyDescent="0.35"/>
    <row r="61" ht="20.149999999999999" customHeight="1" x14ac:dyDescent="0.35"/>
    <row r="62" ht="20.149999999999999" customHeight="1" x14ac:dyDescent="0.35"/>
    <row r="63" ht="20.149999999999999" customHeight="1" x14ac:dyDescent="0.35"/>
    <row r="64" ht="20.149999999999999" customHeight="1" x14ac:dyDescent="0.35"/>
    <row r="65" ht="20.149999999999999" customHeight="1" x14ac:dyDescent="0.35"/>
    <row r="66" ht="20.149999999999999" customHeight="1" x14ac:dyDescent="0.35"/>
    <row r="67" ht="20.149999999999999" customHeight="1" x14ac:dyDescent="0.35"/>
    <row r="68" ht="20.149999999999999" customHeight="1" x14ac:dyDescent="0.35"/>
    <row r="69" ht="20.149999999999999" customHeight="1" x14ac:dyDescent="0.35"/>
    <row r="70" ht="20.149999999999999" customHeight="1" x14ac:dyDescent="0.35"/>
    <row r="71" ht="20.149999999999999" customHeight="1" x14ac:dyDescent="0.35"/>
    <row r="72" ht="20.149999999999999" customHeight="1" x14ac:dyDescent="0.35"/>
    <row r="73" ht="20.149999999999999" customHeight="1" x14ac:dyDescent="0.35"/>
    <row r="74" ht="20.149999999999999" customHeight="1" x14ac:dyDescent="0.35"/>
    <row r="75" ht="20.149999999999999" customHeight="1" x14ac:dyDescent="0.35"/>
    <row r="76" ht="20.149999999999999" customHeight="1" x14ac:dyDescent="0.35"/>
    <row r="77" ht="20.149999999999999" customHeight="1" x14ac:dyDescent="0.35"/>
    <row r="78" ht="20.149999999999999" customHeight="1" x14ac:dyDescent="0.35"/>
  </sheetData>
  <sortState ref="B23:P36">
    <sortCondition ref="B23"/>
  </sortState>
  <phoneticPr fontId="19" type="noConversion"/>
  <pageMargins left="0.79" right="0.71" top="0.98" bottom="0.98" header="0.5" footer="0.5"/>
  <pageSetup paperSize="9" scale="72" orientation="landscape" r:id="rId1"/>
  <headerFooter alignWithMargins="0">
    <oddHeader>&amp;A</oddHeader>
    <oddFooter>Strona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theme="6" tint="0.39997558519241921"/>
  </sheetPr>
  <dimension ref="A1:S43"/>
  <sheetViews>
    <sheetView showGridLines="0" zoomScaleNormal="100" workbookViewId="0">
      <selection activeCell="G9" sqref="G9"/>
    </sheetView>
  </sheetViews>
  <sheetFormatPr defaultColWidth="9.1796875" defaultRowHeight="15.5" x14ac:dyDescent="0.35"/>
  <cols>
    <col min="1" max="1" width="10.7265625" style="12" customWidth="1"/>
    <col min="2" max="2" width="20.7265625" style="12" customWidth="1"/>
    <col min="3" max="3" width="10.7265625" style="12" customWidth="1"/>
    <col min="4" max="4" width="12.54296875" style="12" hidden="1" customWidth="1"/>
    <col min="5" max="6" width="10.7265625" style="12" customWidth="1"/>
    <col min="7" max="8" width="20.7265625" style="12" customWidth="1"/>
    <col min="9" max="26" width="10.7265625" style="12" customWidth="1"/>
    <col min="27" max="16384" width="9.1796875" style="12"/>
  </cols>
  <sheetData>
    <row r="1" spans="1:19" s="53" customFormat="1" ht="25" customHeight="1" x14ac:dyDescent="0.35">
      <c r="B1" s="77"/>
      <c r="E1" s="54"/>
      <c r="J1" s="55"/>
      <c r="K1" s="55"/>
      <c r="L1" s="56"/>
    </row>
    <row r="2" spans="1:19" customFormat="1" ht="25" customHeight="1" x14ac:dyDescent="0.25">
      <c r="A2" s="57"/>
      <c r="B2" s="58" t="s">
        <v>381</v>
      </c>
      <c r="C2" s="59"/>
      <c r="D2" s="59"/>
      <c r="E2" s="59"/>
      <c r="F2" s="59"/>
      <c r="G2" s="59"/>
      <c r="H2" s="59"/>
      <c r="I2" s="59"/>
      <c r="J2" s="60"/>
      <c r="K2" s="60"/>
      <c r="L2" s="60"/>
      <c r="M2" s="60"/>
      <c r="N2" s="53"/>
      <c r="O2" s="60"/>
    </row>
    <row r="3" spans="1:19" customFormat="1" ht="25" customHeight="1" thickBot="1" x14ac:dyDescent="0.3">
      <c r="B3" s="61" t="s">
        <v>334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0"/>
      <c r="P3" s="60"/>
      <c r="S3" s="53"/>
    </row>
    <row r="4" spans="1:19" customFormat="1" ht="25" customHeight="1" thickTop="1" x14ac:dyDescent="0.3">
      <c r="B4" s="70"/>
      <c r="C4" s="71"/>
      <c r="D4" s="72"/>
      <c r="E4" s="72"/>
      <c r="F4" s="145"/>
      <c r="G4" s="146"/>
      <c r="H4" s="146"/>
      <c r="I4" s="74"/>
      <c r="J4" s="74"/>
      <c r="K4" s="74"/>
      <c r="L4" s="75"/>
      <c r="M4" s="53"/>
      <c r="N4" s="240" t="str">
        <f>POMOC!B5</f>
        <v>Notowania 09.03 - 18.03.2026 / Tydzień 10</v>
      </c>
      <c r="O4" s="60"/>
      <c r="R4" s="53"/>
    </row>
    <row r="5" spans="1:19" ht="40" customHeight="1" thickBot="1" x14ac:dyDescent="0.4">
      <c r="B5" s="157" t="s">
        <v>333</v>
      </c>
      <c r="C5" s="129" t="s">
        <v>482</v>
      </c>
      <c r="D5" s="129"/>
      <c r="E5" s="129" t="s">
        <v>478</v>
      </c>
      <c r="F5" s="144" t="s">
        <v>479</v>
      </c>
      <c r="G5" s="152" t="s">
        <v>335</v>
      </c>
      <c r="H5" s="152" t="s">
        <v>336</v>
      </c>
    </row>
    <row r="6" spans="1:19" ht="20.149999999999999" customHeight="1" x14ac:dyDescent="0.35">
      <c r="B6" s="147" t="s">
        <v>292</v>
      </c>
      <c r="C6" s="140">
        <v>148.16999999999999</v>
      </c>
      <c r="D6" s="141"/>
      <c r="E6" s="142">
        <v>148.56</v>
      </c>
      <c r="F6" s="138">
        <v>179.69</v>
      </c>
      <c r="G6" s="453">
        <v>-0.26</v>
      </c>
      <c r="H6" s="453">
        <v>-17.54</v>
      </c>
    </row>
    <row r="7" spans="1:19" ht="20.149999999999999" customHeight="1" x14ac:dyDescent="0.35">
      <c r="B7" s="148" t="s">
        <v>210</v>
      </c>
      <c r="C7" s="130" t="s">
        <v>285</v>
      </c>
      <c r="D7" s="131"/>
      <c r="E7" s="132" t="s">
        <v>275</v>
      </c>
      <c r="F7" s="133" t="s">
        <v>285</v>
      </c>
      <c r="G7" s="454" t="s">
        <v>211</v>
      </c>
      <c r="H7" s="454" t="s">
        <v>211</v>
      </c>
    </row>
    <row r="8" spans="1:19" ht="20.149999999999999" customHeight="1" x14ac:dyDescent="0.35">
      <c r="B8" s="148" t="s">
        <v>195</v>
      </c>
      <c r="C8" s="130" t="s">
        <v>275</v>
      </c>
      <c r="D8" s="131"/>
      <c r="E8" s="132" t="s">
        <v>275</v>
      </c>
      <c r="F8" s="133">
        <v>197.61</v>
      </c>
      <c r="G8" s="454" t="s">
        <v>211</v>
      </c>
      <c r="H8" s="454" t="s">
        <v>211</v>
      </c>
    </row>
    <row r="9" spans="1:19" ht="20.149999999999999" customHeight="1" x14ac:dyDescent="0.35">
      <c r="B9" s="148" t="s">
        <v>290</v>
      </c>
      <c r="C9" s="130" t="s">
        <v>275</v>
      </c>
      <c r="D9" s="131"/>
      <c r="E9" s="132" t="s">
        <v>275</v>
      </c>
      <c r="F9" s="133" t="s">
        <v>275</v>
      </c>
      <c r="G9" s="454" t="s">
        <v>211</v>
      </c>
      <c r="H9" s="454" t="s">
        <v>211</v>
      </c>
    </row>
    <row r="10" spans="1:19" ht="20.149999999999999" customHeight="1" x14ac:dyDescent="0.35">
      <c r="B10" s="148" t="s">
        <v>196</v>
      </c>
      <c r="C10" s="130">
        <v>148.15</v>
      </c>
      <c r="D10" s="131"/>
      <c r="E10" s="132" t="s">
        <v>275</v>
      </c>
      <c r="F10" s="133">
        <v>166.02</v>
      </c>
      <c r="G10" s="454" t="s">
        <v>211</v>
      </c>
      <c r="H10" s="454">
        <v>-10.76</v>
      </c>
    </row>
    <row r="11" spans="1:19" ht="20.149999999999999" customHeight="1" x14ac:dyDescent="0.35">
      <c r="B11" s="148" t="s">
        <v>197</v>
      </c>
      <c r="C11" s="130">
        <v>121.12</v>
      </c>
      <c r="D11" s="131"/>
      <c r="E11" s="132">
        <v>121.58</v>
      </c>
      <c r="F11" s="133">
        <v>158.96</v>
      </c>
      <c r="G11" s="454">
        <v>-0.38</v>
      </c>
      <c r="H11" s="453">
        <v>-23.8</v>
      </c>
    </row>
    <row r="12" spans="1:19" ht="20.149999999999999" customHeight="1" x14ac:dyDescent="0.35">
      <c r="B12" s="148" t="s">
        <v>204</v>
      </c>
      <c r="C12" s="130">
        <v>130.22</v>
      </c>
      <c r="D12" s="131"/>
      <c r="E12" s="132" t="s">
        <v>275</v>
      </c>
      <c r="F12" s="133">
        <v>190.65</v>
      </c>
      <c r="G12" s="454" t="s">
        <v>211</v>
      </c>
      <c r="H12" s="453">
        <v>-31.7</v>
      </c>
    </row>
    <row r="13" spans="1:19" ht="20.149999999999999" customHeight="1" x14ac:dyDescent="0.35">
      <c r="B13" s="148" t="s">
        <v>173</v>
      </c>
      <c r="C13" s="130" t="s">
        <v>275</v>
      </c>
      <c r="D13" s="131"/>
      <c r="E13" s="132" t="s">
        <v>275</v>
      </c>
      <c r="F13" s="133">
        <v>166.52</v>
      </c>
      <c r="G13" s="454" t="s">
        <v>211</v>
      </c>
      <c r="H13" s="453" t="s">
        <v>211</v>
      </c>
    </row>
    <row r="14" spans="1:19" x14ac:dyDescent="0.35">
      <c r="B14" s="148" t="s">
        <v>174</v>
      </c>
      <c r="C14" s="130">
        <v>124.56</v>
      </c>
      <c r="D14" s="131"/>
      <c r="E14" s="132">
        <v>132.41</v>
      </c>
      <c r="F14" s="133">
        <v>170.34</v>
      </c>
      <c r="G14" s="454">
        <v>-5.93</v>
      </c>
      <c r="H14" s="453">
        <v>-26.88</v>
      </c>
    </row>
    <row r="15" spans="1:19" ht="20.149999999999999" customHeight="1" x14ac:dyDescent="0.35">
      <c r="B15" s="149" t="s">
        <v>293</v>
      </c>
      <c r="C15" s="134" t="s">
        <v>275</v>
      </c>
      <c r="D15" s="135"/>
      <c r="E15" s="136" t="s">
        <v>275</v>
      </c>
      <c r="F15" s="137" t="s">
        <v>275</v>
      </c>
      <c r="G15" s="454" t="s">
        <v>211</v>
      </c>
      <c r="H15" s="454" t="s">
        <v>211</v>
      </c>
    </row>
    <row r="16" spans="1:19" s="53" customFormat="1" ht="25" customHeight="1" x14ac:dyDescent="0.35">
      <c r="B16" s="77"/>
      <c r="E16" s="54"/>
      <c r="J16" s="55"/>
      <c r="K16" s="55"/>
      <c r="L16" s="56"/>
    </row>
    <row r="17" spans="1:19" customFormat="1" ht="25" customHeight="1" x14ac:dyDescent="0.25">
      <c r="A17" s="57"/>
      <c r="B17" s="143" t="s">
        <v>382</v>
      </c>
      <c r="C17" s="59"/>
      <c r="D17" s="59"/>
      <c r="E17" s="59"/>
      <c r="F17" s="59"/>
      <c r="G17" s="59"/>
      <c r="H17" s="59"/>
      <c r="I17" s="59"/>
      <c r="J17" s="60"/>
      <c r="K17" s="60"/>
      <c r="L17" s="60"/>
      <c r="M17" s="60"/>
      <c r="N17" s="53"/>
      <c r="O17" s="60"/>
    </row>
    <row r="18" spans="1:19" customFormat="1" ht="25" customHeight="1" thickBot="1" x14ac:dyDescent="0.3">
      <c r="B18" s="61" t="s">
        <v>334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0"/>
      <c r="P18" s="60"/>
      <c r="S18" s="53"/>
    </row>
    <row r="19" spans="1:19" customFormat="1" ht="25" customHeight="1" thickTop="1" x14ac:dyDescent="0.3">
      <c r="B19" s="70"/>
      <c r="C19" s="71"/>
      <c r="D19" s="72"/>
      <c r="E19" s="72"/>
      <c r="F19" s="145"/>
      <c r="G19" s="146"/>
      <c r="H19" s="146"/>
      <c r="I19" s="74"/>
      <c r="J19" s="74"/>
      <c r="K19" s="74"/>
      <c r="L19" s="75"/>
      <c r="M19" s="53"/>
      <c r="N19" s="76"/>
      <c r="O19" s="60"/>
      <c r="R19" s="53"/>
    </row>
    <row r="20" spans="1:19" ht="40" customHeight="1" thickBot="1" x14ac:dyDescent="0.4">
      <c r="B20" s="157" t="s">
        <v>333</v>
      </c>
      <c r="C20" s="129" t="s">
        <v>482</v>
      </c>
      <c r="D20" s="129"/>
      <c r="E20" s="129" t="s">
        <v>478</v>
      </c>
      <c r="F20" s="144" t="s">
        <v>479</v>
      </c>
      <c r="G20" s="152" t="s">
        <v>335</v>
      </c>
      <c r="H20" s="152" t="s">
        <v>336</v>
      </c>
    </row>
    <row r="21" spans="1:19" ht="20.149999999999999" customHeight="1" x14ac:dyDescent="0.35">
      <c r="B21" s="147" t="s">
        <v>292</v>
      </c>
      <c r="C21" s="130">
        <v>278.38</v>
      </c>
      <c r="D21" s="131"/>
      <c r="E21" s="132">
        <v>280.64999999999998</v>
      </c>
      <c r="F21" s="133">
        <v>300.47000000000003</v>
      </c>
      <c r="G21" s="50">
        <v>-0.81</v>
      </c>
      <c r="H21" s="50">
        <v>-7.35</v>
      </c>
    </row>
    <row r="22" spans="1:19" ht="20.149999999999999" customHeight="1" x14ac:dyDescent="0.35">
      <c r="B22" s="148" t="s">
        <v>210</v>
      </c>
      <c r="C22" s="130" t="s">
        <v>275</v>
      </c>
      <c r="D22" s="131"/>
      <c r="E22" s="132" t="s">
        <v>275</v>
      </c>
      <c r="F22" s="133" t="s">
        <v>285</v>
      </c>
      <c r="G22" s="43" t="s">
        <v>211</v>
      </c>
      <c r="H22" s="50" t="s">
        <v>211</v>
      </c>
    </row>
    <row r="23" spans="1:19" ht="20.149999999999999" customHeight="1" x14ac:dyDescent="0.35">
      <c r="B23" s="148" t="s">
        <v>195</v>
      </c>
      <c r="C23" s="130">
        <v>381.01</v>
      </c>
      <c r="D23" s="131"/>
      <c r="E23" s="132">
        <v>335.34</v>
      </c>
      <c r="F23" s="133">
        <v>343.92</v>
      </c>
      <c r="G23" s="43">
        <v>13.62</v>
      </c>
      <c r="H23" s="50">
        <v>10.78</v>
      </c>
    </row>
    <row r="24" spans="1:19" ht="20.149999999999999" customHeight="1" x14ac:dyDescent="0.35">
      <c r="B24" s="148" t="s">
        <v>290</v>
      </c>
      <c r="C24" s="130" t="s">
        <v>275</v>
      </c>
      <c r="D24" s="131"/>
      <c r="E24" s="132" t="s">
        <v>285</v>
      </c>
      <c r="F24" s="133" t="s">
        <v>275</v>
      </c>
      <c r="G24" s="43" t="s">
        <v>211</v>
      </c>
      <c r="H24" s="50" t="s">
        <v>211</v>
      </c>
    </row>
    <row r="25" spans="1:19" ht="20.149999999999999" customHeight="1" x14ac:dyDescent="0.35">
      <c r="B25" s="148" t="s">
        <v>196</v>
      </c>
      <c r="C25" s="130">
        <v>252.39</v>
      </c>
      <c r="D25" s="131"/>
      <c r="E25" s="132">
        <v>246.75</v>
      </c>
      <c r="F25" s="133">
        <v>269.39999999999998</v>
      </c>
      <c r="G25" s="50">
        <v>2.29</v>
      </c>
      <c r="H25" s="50">
        <v>-6.31</v>
      </c>
    </row>
    <row r="26" spans="1:19" ht="20.149999999999999" customHeight="1" x14ac:dyDescent="0.35">
      <c r="B26" s="148" t="s">
        <v>197</v>
      </c>
      <c r="C26" s="130">
        <v>216.41</v>
      </c>
      <c r="D26" s="131"/>
      <c r="E26" s="132" t="s">
        <v>275</v>
      </c>
      <c r="F26" s="133">
        <v>257.99</v>
      </c>
      <c r="G26" s="43" t="s">
        <v>211</v>
      </c>
      <c r="H26" s="50">
        <v>-16.12</v>
      </c>
    </row>
    <row r="27" spans="1:19" ht="20.149999999999999" customHeight="1" x14ac:dyDescent="0.35">
      <c r="B27" s="148" t="s">
        <v>204</v>
      </c>
      <c r="C27" s="130">
        <v>264.43</v>
      </c>
      <c r="D27" s="131"/>
      <c r="E27" s="132">
        <v>256.52999999999997</v>
      </c>
      <c r="F27" s="133">
        <v>294.04000000000002</v>
      </c>
      <c r="G27" s="50">
        <v>3.08</v>
      </c>
      <c r="H27" s="50">
        <v>-10.07</v>
      </c>
    </row>
    <row r="28" spans="1:19" ht="20.149999999999999" customHeight="1" x14ac:dyDescent="0.35">
      <c r="B28" s="148" t="s">
        <v>173</v>
      </c>
      <c r="C28" s="130">
        <v>286.91000000000003</v>
      </c>
      <c r="D28" s="131"/>
      <c r="E28" s="132">
        <v>270.42</v>
      </c>
      <c r="F28" s="133">
        <v>326.57</v>
      </c>
      <c r="G28" s="43">
        <v>6.1</v>
      </c>
      <c r="H28" s="50">
        <v>-12.14</v>
      </c>
    </row>
    <row r="29" spans="1:19" ht="20.149999999999999" customHeight="1" x14ac:dyDescent="0.35">
      <c r="B29" s="148" t="s">
        <v>174</v>
      </c>
      <c r="C29" s="130">
        <v>242.72</v>
      </c>
      <c r="D29" s="131"/>
      <c r="E29" s="132">
        <v>270.72000000000003</v>
      </c>
      <c r="F29" s="133">
        <v>299.5</v>
      </c>
      <c r="G29" s="50">
        <v>-10.34</v>
      </c>
      <c r="H29" s="50">
        <v>-18.96</v>
      </c>
    </row>
    <row r="30" spans="1:19" ht="20.149999999999999" customHeight="1" x14ac:dyDescent="0.35">
      <c r="B30" s="149" t="s">
        <v>293</v>
      </c>
      <c r="C30" s="134">
        <v>369.75</v>
      </c>
      <c r="D30" s="135"/>
      <c r="E30" s="136">
        <v>494.54</v>
      </c>
      <c r="F30" s="137" t="s">
        <v>275</v>
      </c>
      <c r="G30" s="80">
        <v>-25.23</v>
      </c>
      <c r="H30" s="52" t="s">
        <v>211</v>
      </c>
    </row>
    <row r="31" spans="1:19" ht="20.149999999999999" customHeight="1" x14ac:dyDescent="0.35">
      <c r="B31"/>
      <c r="C31"/>
      <c r="D31"/>
      <c r="E31"/>
      <c r="F31"/>
      <c r="G31"/>
      <c r="H31"/>
    </row>
    <row r="32" spans="1:19" ht="20.149999999999999" customHeight="1" x14ac:dyDescent="0.35">
      <c r="B32" s="45" t="s">
        <v>277</v>
      </c>
      <c r="C32" s="46"/>
      <c r="D32" s="46"/>
      <c r="E32" s="46"/>
      <c r="F32" s="47"/>
      <c r="G32" s="47"/>
      <c r="H32" s="45"/>
    </row>
    <row r="33" spans="2:2" ht="20.149999999999999" customHeight="1" x14ac:dyDescent="0.35">
      <c r="B33" s="27" t="s">
        <v>316</v>
      </c>
    </row>
    <row r="34" spans="2:2" ht="20.149999999999999" customHeight="1" x14ac:dyDescent="0.35"/>
    <row r="35" spans="2:2" ht="20.149999999999999" customHeight="1" x14ac:dyDescent="0.35"/>
    <row r="36" spans="2:2" ht="20.149999999999999" customHeight="1" x14ac:dyDescent="0.35"/>
    <row r="37" spans="2:2" ht="20.149999999999999" customHeight="1" x14ac:dyDescent="0.35"/>
    <row r="38" spans="2:2" ht="20.149999999999999" customHeight="1" x14ac:dyDescent="0.35"/>
    <row r="39" spans="2:2" ht="20.149999999999999" customHeight="1" x14ac:dyDescent="0.35"/>
    <row r="40" spans="2:2" ht="20.149999999999999" customHeight="1" x14ac:dyDescent="0.35"/>
    <row r="41" spans="2:2" ht="20.149999999999999" customHeight="1" x14ac:dyDescent="0.35"/>
    <row r="42" spans="2:2" ht="20.149999999999999" customHeight="1" x14ac:dyDescent="0.35"/>
    <row r="43" spans="2:2" ht="20.149999999999999" customHeight="1" x14ac:dyDescent="0.35"/>
  </sheetData>
  <conditionalFormatting sqref="F32:G32">
    <cfRule type="cellIs" dxfId="68" priority="55" stopIfTrue="1" operator="equal">
      <formula>"-"</formula>
    </cfRule>
    <cfRule type="cellIs" dxfId="67" priority="56" operator="greaterThan">
      <formula>0</formula>
    </cfRule>
    <cfRule type="cellIs" dxfId="66" priority="57" operator="lessThan">
      <formula>0</formula>
    </cfRule>
  </conditionalFormatting>
  <conditionalFormatting sqref="G6:H15">
    <cfRule type="cellIs" dxfId="65" priority="4" stopIfTrue="1" operator="equal">
      <formula>"-"</formula>
    </cfRule>
    <cfRule type="cellIs" dxfId="64" priority="5" operator="greaterThan">
      <formula>0</formula>
    </cfRule>
    <cfRule type="cellIs" dxfId="63" priority="6" operator="lessThan">
      <formula>0</formula>
    </cfRule>
  </conditionalFormatting>
  <conditionalFormatting sqref="G21:H30">
    <cfRule type="cellIs" dxfId="62" priority="1" stopIfTrue="1" operator="equal">
      <formula>"-"</formula>
    </cfRule>
    <cfRule type="cellIs" dxfId="61" priority="2" operator="greaterThan">
      <formula>0</formula>
    </cfRule>
    <cfRule type="cellIs" dxfId="60" priority="3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R72"/>
  <sheetViews>
    <sheetView showGridLines="0" zoomScaleNormal="100" workbookViewId="0">
      <selection activeCell="D8" sqref="D8:E8"/>
    </sheetView>
  </sheetViews>
  <sheetFormatPr defaultColWidth="9.1796875" defaultRowHeight="15.5" x14ac:dyDescent="0.35"/>
  <cols>
    <col min="1" max="1" width="10.7265625" style="12" customWidth="1"/>
    <col min="2" max="2" width="40.7265625" style="12" customWidth="1"/>
    <col min="3" max="4" width="10.7265625" style="12" customWidth="1"/>
    <col min="5" max="5" width="20.7265625" style="12" customWidth="1"/>
    <col min="6" max="23" width="10.7265625" style="12" customWidth="1"/>
    <col min="24" max="16384" width="9.1796875" style="12"/>
  </cols>
  <sheetData>
    <row r="1" spans="1:18" s="53" customFormat="1" ht="25" customHeight="1" x14ac:dyDescent="0.35">
      <c r="B1" s="77"/>
      <c r="E1" s="54"/>
      <c r="J1" s="55"/>
      <c r="K1" s="56"/>
    </row>
    <row r="2" spans="1:18" customFormat="1" ht="25" customHeight="1" x14ac:dyDescent="0.25">
      <c r="A2" s="57"/>
      <c r="B2" s="58" t="s">
        <v>383</v>
      </c>
      <c r="C2" s="59"/>
      <c r="D2" s="59"/>
      <c r="E2" s="59"/>
      <c r="F2" s="59"/>
      <c r="G2" s="59"/>
      <c r="H2" s="59"/>
      <c r="I2" s="59"/>
      <c r="J2" s="60"/>
      <c r="K2" s="60"/>
      <c r="L2" s="60"/>
      <c r="M2" s="53"/>
      <c r="N2" s="60"/>
    </row>
    <row r="3" spans="1:18" customFormat="1" ht="25" customHeight="1" thickBot="1" x14ac:dyDescent="0.3">
      <c r="B3" s="61" t="s">
        <v>334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0"/>
      <c r="N3" s="60"/>
      <c r="O3" s="60"/>
      <c r="R3" s="53"/>
    </row>
    <row r="4" spans="1:18" customFormat="1" ht="25" customHeight="1" thickTop="1" x14ac:dyDescent="0.3">
      <c r="B4" s="70"/>
      <c r="C4" s="71"/>
      <c r="D4" s="72"/>
      <c r="E4" s="72"/>
      <c r="F4" s="73"/>
      <c r="G4" s="146"/>
      <c r="H4" s="146"/>
      <c r="I4" s="74"/>
      <c r="J4" s="74"/>
      <c r="K4" s="75"/>
      <c r="L4" s="240" t="str">
        <f>POMOC!B5</f>
        <v>Notowania 09.03 - 18.03.2026 / Tydzień 10</v>
      </c>
      <c r="M4" s="76"/>
      <c r="N4" s="60"/>
      <c r="Q4" s="53"/>
    </row>
    <row r="5" spans="1:18" ht="40" customHeight="1" thickBot="1" x14ac:dyDescent="0.4">
      <c r="B5" s="157" t="s">
        <v>333</v>
      </c>
      <c r="C5" s="158">
        <v>46096</v>
      </c>
      <c r="D5" s="144">
        <v>46089</v>
      </c>
      <c r="E5" s="152" t="s">
        <v>336</v>
      </c>
      <c r="F5"/>
    </row>
    <row r="6" spans="1:18" ht="20.149999999999999" customHeight="1" x14ac:dyDescent="0.35">
      <c r="B6" s="139" t="s">
        <v>308</v>
      </c>
      <c r="C6" s="140">
        <v>67.599999999999994</v>
      </c>
      <c r="D6" s="155">
        <v>69</v>
      </c>
      <c r="E6" s="156">
        <f>(C6-D6)/D6*100</f>
        <v>-2.0289855072463849</v>
      </c>
      <c r="F6"/>
    </row>
    <row r="7" spans="1:18" ht="20.149999999999999" customHeight="1" x14ac:dyDescent="0.35">
      <c r="B7" s="49" t="s">
        <v>328</v>
      </c>
      <c r="C7" s="130">
        <v>67.680000000000007</v>
      </c>
      <c r="D7" s="150">
        <v>68.12</v>
      </c>
      <c r="E7" s="156">
        <f t="shared" ref="E7" si="0">(C7-D7)/D7*100</f>
        <v>-0.6459189665296502</v>
      </c>
      <c r="F7"/>
    </row>
    <row r="8" spans="1:18" s="502" customFormat="1" ht="20.149999999999999" customHeight="1" x14ac:dyDescent="0.35">
      <c r="B8" t="s">
        <v>483</v>
      </c>
      <c r="C8" s="134">
        <v>64.61</v>
      </c>
      <c r="D8" s="151" t="s">
        <v>275</v>
      </c>
      <c r="E8" s="454" t="s">
        <v>211</v>
      </c>
      <c r="F8"/>
    </row>
    <row r="9" spans="1:18" ht="20.149999999999999" customHeight="1" x14ac:dyDescent="0.35">
      <c r="B9"/>
      <c r="C9"/>
      <c r="D9"/>
      <c r="E9"/>
      <c r="F9"/>
      <c r="G9"/>
    </row>
    <row r="10" spans="1:18" ht="20.149999999999999" customHeight="1" x14ac:dyDescent="0.35">
      <c r="B10"/>
      <c r="C10"/>
      <c r="D10"/>
      <c r="E10"/>
      <c r="F10"/>
      <c r="G10"/>
    </row>
    <row r="11" spans="1:18" ht="20.149999999999999" customHeight="1" x14ac:dyDescent="0.35">
      <c r="B11"/>
      <c r="C11"/>
      <c r="D11"/>
      <c r="E11"/>
      <c r="F11"/>
      <c r="G11"/>
    </row>
    <row r="12" spans="1:18" ht="20.149999999999999" customHeight="1" x14ac:dyDescent="0.35">
      <c r="B12"/>
      <c r="C12"/>
      <c r="D12"/>
      <c r="E12"/>
      <c r="F12"/>
      <c r="G12"/>
    </row>
    <row r="13" spans="1:18" ht="20.149999999999999" customHeight="1" x14ac:dyDescent="0.35">
      <c r="B13"/>
      <c r="C13"/>
      <c r="D13"/>
      <c r="E13"/>
      <c r="F13"/>
      <c r="G13"/>
    </row>
    <row r="14" spans="1:18" ht="20.149999999999999" customHeight="1" x14ac:dyDescent="0.35">
      <c r="B14"/>
      <c r="C14"/>
      <c r="D14"/>
      <c r="E14"/>
      <c r="F14"/>
      <c r="G14"/>
    </row>
    <row r="15" spans="1:18" ht="20.149999999999999" customHeight="1" x14ac:dyDescent="0.35">
      <c r="B15"/>
      <c r="C15"/>
      <c r="D15"/>
      <c r="E15"/>
      <c r="F15"/>
      <c r="G15"/>
    </row>
    <row r="16" spans="1:18" ht="20.149999999999999" customHeight="1" x14ac:dyDescent="0.35">
      <c r="B16"/>
      <c r="C16"/>
      <c r="D16"/>
      <c r="E16"/>
      <c r="F16"/>
      <c r="G16"/>
    </row>
    <row r="17" spans="2:7" ht="20.149999999999999" customHeight="1" x14ac:dyDescent="0.35">
      <c r="B17"/>
      <c r="C17"/>
      <c r="D17"/>
      <c r="E17"/>
      <c r="F17"/>
      <c r="G17"/>
    </row>
    <row r="18" spans="2:7" ht="20.149999999999999" customHeight="1" x14ac:dyDescent="0.35">
      <c r="B18"/>
      <c r="C18"/>
      <c r="D18"/>
      <c r="E18"/>
      <c r="F18"/>
      <c r="G18"/>
    </row>
    <row r="19" spans="2:7" ht="20.149999999999999" customHeight="1" x14ac:dyDescent="0.35">
      <c r="B19"/>
      <c r="C19"/>
      <c r="D19"/>
      <c r="E19"/>
      <c r="F19"/>
      <c r="G19"/>
    </row>
    <row r="20" spans="2:7" ht="20.149999999999999" customHeight="1" x14ac:dyDescent="0.35"/>
    <row r="21" spans="2:7" ht="20.149999999999999" customHeight="1" x14ac:dyDescent="0.35"/>
    <row r="22" spans="2:7" ht="20.149999999999999" customHeight="1" x14ac:dyDescent="0.35"/>
    <row r="23" spans="2:7" ht="20.149999999999999" customHeight="1" x14ac:dyDescent="0.35"/>
    <row r="24" spans="2:7" ht="20.149999999999999" customHeight="1" x14ac:dyDescent="0.35"/>
    <row r="25" spans="2:7" ht="20.149999999999999" customHeight="1" x14ac:dyDescent="0.35"/>
    <row r="26" spans="2:7" ht="20.149999999999999" customHeight="1" x14ac:dyDescent="0.35"/>
    <row r="27" spans="2:7" ht="20.149999999999999" customHeight="1" x14ac:dyDescent="0.35"/>
    <row r="28" spans="2:7" ht="20.149999999999999" customHeight="1" x14ac:dyDescent="0.35"/>
    <row r="29" spans="2:7" ht="20.149999999999999" customHeight="1" x14ac:dyDescent="0.35"/>
    <row r="30" spans="2:7" ht="20.149999999999999" customHeight="1" x14ac:dyDescent="0.35"/>
    <row r="31" spans="2:7" ht="20.149999999999999" customHeight="1" x14ac:dyDescent="0.35"/>
    <row r="32" spans="2:7" ht="20.149999999999999" customHeight="1" x14ac:dyDescent="0.35"/>
    <row r="33" ht="20.149999999999999" customHeight="1" x14ac:dyDescent="0.35"/>
    <row r="34" ht="20.149999999999999" customHeight="1" x14ac:dyDescent="0.35"/>
    <row r="35" ht="20.149999999999999" customHeight="1" x14ac:dyDescent="0.35"/>
    <row r="36" ht="20.149999999999999" customHeight="1" x14ac:dyDescent="0.35"/>
    <row r="37" ht="20.149999999999999" customHeight="1" x14ac:dyDescent="0.35"/>
    <row r="38" ht="20.149999999999999" customHeight="1" x14ac:dyDescent="0.35"/>
    <row r="39" ht="20.149999999999999" customHeight="1" x14ac:dyDescent="0.35"/>
    <row r="40" ht="20.149999999999999" customHeight="1" x14ac:dyDescent="0.35"/>
    <row r="41" ht="20.149999999999999" customHeight="1" x14ac:dyDescent="0.35"/>
    <row r="42" ht="20.149999999999999" customHeight="1" x14ac:dyDescent="0.35"/>
    <row r="43" ht="20.149999999999999" customHeight="1" x14ac:dyDescent="0.35"/>
    <row r="44" ht="20.149999999999999" customHeight="1" x14ac:dyDescent="0.35"/>
    <row r="45" ht="20.149999999999999" customHeight="1" x14ac:dyDescent="0.35"/>
    <row r="46" ht="20.149999999999999" customHeight="1" x14ac:dyDescent="0.35"/>
    <row r="47" ht="20.149999999999999" customHeight="1" x14ac:dyDescent="0.35"/>
    <row r="48" ht="20.149999999999999" customHeight="1" x14ac:dyDescent="0.35"/>
    <row r="49" ht="20.149999999999999" customHeight="1" x14ac:dyDescent="0.35"/>
    <row r="50" ht="20.149999999999999" customHeight="1" x14ac:dyDescent="0.35"/>
    <row r="51" ht="20.149999999999999" customHeight="1" x14ac:dyDescent="0.35"/>
    <row r="52" ht="20.149999999999999" customHeight="1" x14ac:dyDescent="0.35"/>
    <row r="53" ht="20.149999999999999" customHeight="1" x14ac:dyDescent="0.35"/>
    <row r="54" ht="20.149999999999999" customHeight="1" x14ac:dyDescent="0.35"/>
    <row r="55" ht="20.149999999999999" customHeight="1" x14ac:dyDescent="0.35"/>
    <row r="56" ht="20.149999999999999" customHeight="1" x14ac:dyDescent="0.35"/>
    <row r="57" ht="20.149999999999999" customHeight="1" x14ac:dyDescent="0.35"/>
    <row r="58" ht="20.149999999999999" customHeight="1" x14ac:dyDescent="0.35"/>
    <row r="59" ht="20.149999999999999" customHeight="1" x14ac:dyDescent="0.35"/>
    <row r="60" ht="20.149999999999999" customHeight="1" x14ac:dyDescent="0.35"/>
    <row r="61" ht="20.149999999999999" customHeight="1" x14ac:dyDescent="0.35"/>
    <row r="62" ht="20.149999999999999" customHeight="1" x14ac:dyDescent="0.35"/>
    <row r="63" ht="20.149999999999999" customHeight="1" x14ac:dyDescent="0.35"/>
    <row r="64" ht="20.149999999999999" customHeight="1" x14ac:dyDescent="0.35"/>
    <row r="65" ht="20.149999999999999" customHeight="1" x14ac:dyDescent="0.35"/>
    <row r="66" ht="20.149999999999999" customHeight="1" x14ac:dyDescent="0.35"/>
    <row r="67" ht="20.149999999999999" customHeight="1" x14ac:dyDescent="0.35"/>
    <row r="68" ht="20.149999999999999" customHeight="1" x14ac:dyDescent="0.35"/>
    <row r="69" ht="20.149999999999999" customHeight="1" x14ac:dyDescent="0.35"/>
    <row r="70" ht="20.149999999999999" customHeight="1" x14ac:dyDescent="0.35"/>
    <row r="71" ht="20.149999999999999" customHeight="1" x14ac:dyDescent="0.35"/>
    <row r="72" ht="20.149999999999999" customHeight="1" x14ac:dyDescent="0.35"/>
  </sheetData>
  <conditionalFormatting sqref="E6:E7">
    <cfRule type="cellIs" dxfId="59" priority="4" stopIfTrue="1" operator="equal">
      <formula>"-"</formula>
    </cfRule>
    <cfRule type="cellIs" dxfId="58" priority="5" operator="greaterThan">
      <formula>0</formula>
    </cfRule>
    <cfRule type="cellIs" dxfId="57" priority="6" operator="lessThan">
      <formula>0</formula>
    </cfRule>
  </conditionalFormatting>
  <conditionalFormatting sqref="E8">
    <cfRule type="cellIs" dxfId="56" priority="1" stopIfTrue="1" operator="equal">
      <formula>"-"</formula>
    </cfRule>
    <cfRule type="cellIs" dxfId="55" priority="2" operator="greaterThan">
      <formula>0</formula>
    </cfRule>
    <cfRule type="cellIs" dxfId="54" priority="3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R251"/>
  <sheetViews>
    <sheetView showGridLines="0" zoomScaleNormal="100" workbookViewId="0">
      <selection activeCell="E6" sqref="E6"/>
    </sheetView>
  </sheetViews>
  <sheetFormatPr defaultColWidth="9.1796875" defaultRowHeight="15.5" x14ac:dyDescent="0.35"/>
  <cols>
    <col min="1" max="1" width="10.7265625" style="12" customWidth="1"/>
    <col min="2" max="2" width="40.7265625" style="12" customWidth="1"/>
    <col min="3" max="4" width="10.7265625" style="12" customWidth="1"/>
    <col min="5" max="5" width="20.7265625" style="12" customWidth="1"/>
    <col min="6" max="6" width="24.26953125" style="12" customWidth="1"/>
    <col min="7" max="7" width="21.81640625" style="12" customWidth="1"/>
    <col min="8" max="16384" width="9.1796875" style="12"/>
  </cols>
  <sheetData>
    <row r="1" spans="1:18" s="53" customFormat="1" ht="25" customHeight="1" x14ac:dyDescent="0.35">
      <c r="B1" s="77"/>
      <c r="E1" s="54"/>
      <c r="J1" s="55"/>
      <c r="K1" s="56"/>
    </row>
    <row r="2" spans="1:18" customFormat="1" ht="25" customHeight="1" x14ac:dyDescent="0.25">
      <c r="A2" s="57"/>
      <c r="B2" s="58" t="s">
        <v>384</v>
      </c>
      <c r="C2" s="59"/>
      <c r="D2" s="59"/>
      <c r="E2" s="59"/>
      <c r="F2" s="59"/>
      <c r="G2" s="59"/>
      <c r="H2" s="59"/>
      <c r="I2" s="59"/>
      <c r="J2" s="60"/>
      <c r="K2" s="60"/>
      <c r="L2" s="60"/>
      <c r="M2" s="53"/>
      <c r="N2" s="60"/>
    </row>
    <row r="3" spans="1:18" customFormat="1" ht="25" customHeight="1" thickBot="1" x14ac:dyDescent="0.3">
      <c r="B3" s="61" t="s">
        <v>334</v>
      </c>
      <c r="C3" s="69"/>
      <c r="D3" s="69"/>
      <c r="E3" s="69"/>
      <c r="F3" s="69"/>
      <c r="G3" s="69"/>
      <c r="H3" s="69"/>
      <c r="I3" s="69"/>
      <c r="J3" s="69"/>
      <c r="K3" s="60"/>
      <c r="L3" s="60"/>
      <c r="M3" s="60"/>
      <c r="N3" s="60"/>
      <c r="O3" s="60"/>
      <c r="R3" s="53"/>
    </row>
    <row r="4" spans="1:18" customFormat="1" ht="25" customHeight="1" thickTop="1" x14ac:dyDescent="0.3">
      <c r="B4" s="70"/>
      <c r="C4" s="71"/>
      <c r="D4" s="72"/>
      <c r="E4" s="72"/>
      <c r="F4" s="145"/>
      <c r="G4" s="146"/>
      <c r="H4" s="146"/>
      <c r="I4" s="74"/>
      <c r="J4" s="240" t="str">
        <f>POMOC!B5</f>
        <v>Notowania 09.03 - 18.03.2026 / Tydzień 10</v>
      </c>
      <c r="K4" s="75"/>
      <c r="L4" s="53"/>
      <c r="M4" s="76"/>
      <c r="N4" s="60"/>
      <c r="Q4" s="53"/>
    </row>
    <row r="5" spans="1:18" ht="40" customHeight="1" thickBot="1" x14ac:dyDescent="0.4">
      <c r="B5" s="157" t="s">
        <v>333</v>
      </c>
      <c r="C5" s="158">
        <v>46096</v>
      </c>
      <c r="D5" s="144">
        <v>46089</v>
      </c>
      <c r="E5" s="152" t="s">
        <v>335</v>
      </c>
      <c r="F5"/>
    </row>
    <row r="6" spans="1:18" ht="20.149999999999999" customHeight="1" x14ac:dyDescent="0.35">
      <c r="B6" s="139" t="s">
        <v>103</v>
      </c>
      <c r="C6" s="140">
        <v>33.92</v>
      </c>
      <c r="D6" s="155">
        <v>30.69</v>
      </c>
      <c r="E6" s="153">
        <f t="shared" ref="E6:E8" si="0">(C6-D6)/D6*100</f>
        <v>10.524600847181494</v>
      </c>
      <c r="F6"/>
    </row>
    <row r="7" spans="1:18" ht="20.149999999999999" customHeight="1" x14ac:dyDescent="0.35">
      <c r="B7" s="49" t="s">
        <v>309</v>
      </c>
      <c r="C7" s="130">
        <v>124.15</v>
      </c>
      <c r="D7" s="150">
        <v>125.58</v>
      </c>
      <c r="E7" s="153">
        <f t="shared" si="0"/>
        <v>-1.1387163561076545</v>
      </c>
      <c r="F7"/>
    </row>
    <row r="8" spans="1:18" ht="20.149999999999999" customHeight="1" x14ac:dyDescent="0.35">
      <c r="B8" s="51" t="s">
        <v>6</v>
      </c>
      <c r="C8" s="134">
        <v>61.09</v>
      </c>
      <c r="D8" s="151">
        <v>55</v>
      </c>
      <c r="E8" s="153">
        <f t="shared" si="0"/>
        <v>11.072727272727278</v>
      </c>
      <c r="F8"/>
    </row>
    <row r="9" spans="1:18" ht="20.149999999999999" customHeight="1" x14ac:dyDescent="0.35">
      <c r="B9" s="51" t="s">
        <v>7</v>
      </c>
      <c r="C9" s="134">
        <v>49.88</v>
      </c>
      <c r="D9" s="151">
        <v>44.73</v>
      </c>
      <c r="E9" s="154">
        <f t="shared" ref="E9" si="1">(C9-D9)/D9*100</f>
        <v>11.513525598032654</v>
      </c>
      <c r="F9"/>
    </row>
    <row r="10" spans="1:18" ht="20.149999999999999" customHeight="1" x14ac:dyDescent="0.35">
      <c r="B10"/>
      <c r="C10"/>
      <c r="D10"/>
      <c r="E10"/>
      <c r="F10"/>
      <c r="G10"/>
    </row>
    <row r="11" spans="1:18" ht="20.149999999999999" customHeight="1" x14ac:dyDescent="0.35">
      <c r="B11"/>
      <c r="C11"/>
      <c r="D11"/>
      <c r="E11"/>
      <c r="F11"/>
      <c r="G11"/>
    </row>
    <row r="12" spans="1:18" ht="20.149999999999999" customHeight="1" x14ac:dyDescent="0.35">
      <c r="B12"/>
      <c r="C12"/>
      <c r="D12"/>
      <c r="E12"/>
      <c r="F12"/>
      <c r="G12"/>
    </row>
    <row r="13" spans="1:18" ht="20.149999999999999" customHeight="1" x14ac:dyDescent="0.35">
      <c r="B13"/>
      <c r="C13"/>
      <c r="D13"/>
      <c r="E13"/>
      <c r="F13"/>
      <c r="G13"/>
    </row>
    <row r="14" spans="1:18" ht="20.149999999999999" customHeight="1" x14ac:dyDescent="0.35">
      <c r="B14"/>
      <c r="C14"/>
      <c r="D14"/>
      <c r="E14"/>
      <c r="F14"/>
      <c r="G14"/>
    </row>
    <row r="15" spans="1:18" ht="20.149999999999999" customHeight="1" x14ac:dyDescent="0.35">
      <c r="B15"/>
      <c r="C15"/>
      <c r="D15"/>
      <c r="E15"/>
      <c r="F15"/>
      <c r="G15"/>
    </row>
    <row r="16" spans="1:18" ht="20.149999999999999" customHeight="1" x14ac:dyDescent="0.35">
      <c r="B16"/>
      <c r="C16"/>
      <c r="D16"/>
      <c r="E16"/>
      <c r="F16"/>
      <c r="G16"/>
    </row>
    <row r="17" spans="2:7" ht="20.149999999999999" customHeight="1" x14ac:dyDescent="0.35">
      <c r="B17"/>
      <c r="C17"/>
      <c r="D17"/>
      <c r="E17"/>
      <c r="F17"/>
      <c r="G17"/>
    </row>
    <row r="18" spans="2:7" ht="20.149999999999999" customHeight="1" x14ac:dyDescent="0.35">
      <c r="B18"/>
      <c r="C18"/>
      <c r="D18"/>
      <c r="E18"/>
      <c r="F18"/>
      <c r="G18"/>
    </row>
    <row r="19" spans="2:7" ht="20.149999999999999" customHeight="1" x14ac:dyDescent="0.35"/>
    <row r="20" spans="2:7" ht="20.149999999999999" customHeight="1" x14ac:dyDescent="0.35"/>
    <row r="21" spans="2:7" ht="20.149999999999999" customHeight="1" x14ac:dyDescent="0.35"/>
    <row r="22" spans="2:7" ht="20.149999999999999" customHeight="1" x14ac:dyDescent="0.35"/>
    <row r="23" spans="2:7" ht="20.149999999999999" customHeight="1" x14ac:dyDescent="0.35"/>
    <row r="24" spans="2:7" ht="20.149999999999999" customHeight="1" x14ac:dyDescent="0.35"/>
    <row r="25" spans="2:7" ht="20.149999999999999" customHeight="1" x14ac:dyDescent="0.35"/>
    <row r="26" spans="2:7" ht="20.149999999999999" customHeight="1" x14ac:dyDescent="0.35"/>
    <row r="27" spans="2:7" ht="20.149999999999999" customHeight="1" x14ac:dyDescent="0.35"/>
    <row r="28" spans="2:7" ht="20.149999999999999" customHeight="1" x14ac:dyDescent="0.35"/>
    <row r="29" spans="2:7" ht="20.149999999999999" customHeight="1" x14ac:dyDescent="0.35"/>
    <row r="30" spans="2:7" ht="20.149999999999999" customHeight="1" x14ac:dyDescent="0.35"/>
    <row r="31" spans="2:7" ht="20.149999999999999" customHeight="1" x14ac:dyDescent="0.35"/>
    <row r="32" spans="2:7" ht="20.149999999999999" customHeight="1" x14ac:dyDescent="0.35"/>
    <row r="33" ht="20.149999999999999" customHeight="1" x14ac:dyDescent="0.35"/>
    <row r="34" ht="20.149999999999999" customHeight="1" x14ac:dyDescent="0.35"/>
    <row r="35" ht="20.149999999999999" customHeight="1" x14ac:dyDescent="0.35"/>
    <row r="36" ht="20.149999999999999" customHeight="1" x14ac:dyDescent="0.35"/>
    <row r="37" ht="20.149999999999999" customHeight="1" x14ac:dyDescent="0.35"/>
    <row r="38" ht="20.149999999999999" customHeight="1" x14ac:dyDescent="0.35"/>
    <row r="39" ht="20.149999999999999" customHeight="1" x14ac:dyDescent="0.35"/>
    <row r="40" ht="20.149999999999999" customHeight="1" x14ac:dyDescent="0.35"/>
    <row r="41" ht="20.149999999999999" customHeight="1" x14ac:dyDescent="0.35"/>
    <row r="42" ht="20.149999999999999" customHeight="1" x14ac:dyDescent="0.35"/>
    <row r="43" ht="20.149999999999999" customHeight="1" x14ac:dyDescent="0.35"/>
    <row r="44" ht="20.149999999999999" customHeight="1" x14ac:dyDescent="0.35"/>
    <row r="45" ht="20.149999999999999" customHeight="1" x14ac:dyDescent="0.35"/>
    <row r="46" ht="20.149999999999999" customHeight="1" x14ac:dyDescent="0.35"/>
    <row r="47" ht="20.149999999999999" customHeight="1" x14ac:dyDescent="0.35"/>
    <row r="48" ht="20.149999999999999" customHeight="1" x14ac:dyDescent="0.35"/>
    <row r="49" ht="20.149999999999999" customHeight="1" x14ac:dyDescent="0.35"/>
    <row r="50" ht="20.149999999999999" customHeight="1" x14ac:dyDescent="0.35"/>
    <row r="51" ht="20.149999999999999" customHeight="1" x14ac:dyDescent="0.35"/>
    <row r="52" ht="20.149999999999999" customHeight="1" x14ac:dyDescent="0.35"/>
    <row r="53" ht="20.149999999999999" customHeight="1" x14ac:dyDescent="0.35"/>
    <row r="54" ht="20.149999999999999" customHeight="1" x14ac:dyDescent="0.35"/>
    <row r="55" ht="20.149999999999999" customHeight="1" x14ac:dyDescent="0.35"/>
    <row r="56" ht="20.149999999999999" customHeight="1" x14ac:dyDescent="0.35"/>
    <row r="57" ht="20.149999999999999" customHeight="1" x14ac:dyDescent="0.35"/>
    <row r="58" ht="20.149999999999999" customHeight="1" x14ac:dyDescent="0.35"/>
    <row r="59" ht="20.149999999999999" customHeight="1" x14ac:dyDescent="0.35"/>
    <row r="60" ht="20.149999999999999" customHeight="1" x14ac:dyDescent="0.35"/>
    <row r="61" ht="20.149999999999999" customHeight="1" x14ac:dyDescent="0.35"/>
    <row r="62" ht="20.149999999999999" customHeight="1" x14ac:dyDescent="0.35"/>
    <row r="63" ht="20.149999999999999" customHeight="1" x14ac:dyDescent="0.35"/>
    <row r="64" ht="20.149999999999999" customHeight="1" x14ac:dyDescent="0.35"/>
    <row r="65" ht="20.149999999999999" customHeight="1" x14ac:dyDescent="0.35"/>
    <row r="66" ht="20.149999999999999" customHeight="1" x14ac:dyDescent="0.35"/>
    <row r="67" ht="20.149999999999999" customHeight="1" x14ac:dyDescent="0.35"/>
    <row r="68" ht="20.149999999999999" customHeight="1" x14ac:dyDescent="0.35"/>
    <row r="69" ht="20.149999999999999" customHeight="1" x14ac:dyDescent="0.35"/>
    <row r="70" ht="20.149999999999999" customHeight="1" x14ac:dyDescent="0.35"/>
    <row r="71" ht="20.149999999999999" customHeight="1" x14ac:dyDescent="0.35"/>
    <row r="72" ht="20.149999999999999" customHeight="1" x14ac:dyDescent="0.35"/>
    <row r="73" ht="20.149999999999999" customHeight="1" x14ac:dyDescent="0.35"/>
    <row r="74" ht="20.149999999999999" customHeight="1" x14ac:dyDescent="0.35"/>
    <row r="75" ht="20.149999999999999" customHeight="1" x14ac:dyDescent="0.35"/>
    <row r="76" ht="20.149999999999999" customHeight="1" x14ac:dyDescent="0.35"/>
    <row r="77" ht="20.149999999999999" customHeight="1" x14ac:dyDescent="0.35"/>
    <row r="78" ht="20.149999999999999" customHeight="1" x14ac:dyDescent="0.35"/>
    <row r="79" ht="20.149999999999999" customHeight="1" x14ac:dyDescent="0.35"/>
    <row r="80" ht="20.149999999999999" customHeight="1" x14ac:dyDescent="0.35"/>
    <row r="81" ht="20.149999999999999" customHeight="1" x14ac:dyDescent="0.35"/>
    <row r="82" ht="20.149999999999999" customHeight="1" x14ac:dyDescent="0.35"/>
    <row r="83" ht="20.149999999999999" customHeight="1" x14ac:dyDescent="0.35"/>
    <row r="84" ht="20.149999999999999" customHeight="1" x14ac:dyDescent="0.35"/>
    <row r="85" ht="20.149999999999999" customHeight="1" x14ac:dyDescent="0.35"/>
    <row r="86" ht="20.149999999999999" customHeight="1" x14ac:dyDescent="0.35"/>
    <row r="87" ht="20.149999999999999" customHeight="1" x14ac:dyDescent="0.35"/>
    <row r="88" ht="20.149999999999999" customHeight="1" x14ac:dyDescent="0.35"/>
    <row r="89" ht="20.149999999999999" customHeight="1" x14ac:dyDescent="0.35"/>
    <row r="90" ht="20.149999999999999" customHeight="1" x14ac:dyDescent="0.35"/>
    <row r="91" ht="20.149999999999999" customHeight="1" x14ac:dyDescent="0.35"/>
    <row r="92" ht="20.149999999999999" customHeight="1" x14ac:dyDescent="0.35"/>
    <row r="93" ht="20.149999999999999" customHeight="1" x14ac:dyDescent="0.35"/>
    <row r="94" ht="20.149999999999999" customHeight="1" x14ac:dyDescent="0.35"/>
    <row r="95" ht="20.149999999999999" customHeight="1" x14ac:dyDescent="0.35"/>
    <row r="96" ht="20.149999999999999" customHeight="1" x14ac:dyDescent="0.35"/>
    <row r="97" ht="20.149999999999999" customHeight="1" x14ac:dyDescent="0.35"/>
    <row r="98" ht="20.149999999999999" customHeight="1" x14ac:dyDescent="0.35"/>
    <row r="99" ht="20.149999999999999" customHeight="1" x14ac:dyDescent="0.35"/>
    <row r="100" ht="20.149999999999999" customHeight="1" x14ac:dyDescent="0.35"/>
    <row r="101" ht="20.149999999999999" customHeight="1" x14ac:dyDescent="0.35"/>
    <row r="102" ht="20.149999999999999" customHeight="1" x14ac:dyDescent="0.35"/>
    <row r="103" ht="20.149999999999999" customHeight="1" x14ac:dyDescent="0.35"/>
    <row r="104" ht="20.149999999999999" customHeight="1" x14ac:dyDescent="0.35"/>
    <row r="105" ht="20.149999999999999" customHeight="1" x14ac:dyDescent="0.35"/>
    <row r="106" ht="20.149999999999999" customHeight="1" x14ac:dyDescent="0.35"/>
    <row r="107" ht="20.149999999999999" customHeight="1" x14ac:dyDescent="0.35"/>
    <row r="108" ht="20.149999999999999" customHeight="1" x14ac:dyDescent="0.35"/>
    <row r="109" ht="20.149999999999999" customHeight="1" x14ac:dyDescent="0.35"/>
    <row r="110" ht="20.149999999999999" customHeight="1" x14ac:dyDescent="0.35"/>
    <row r="111" ht="20.149999999999999" customHeight="1" x14ac:dyDescent="0.35"/>
    <row r="112" ht="20.149999999999999" customHeight="1" x14ac:dyDescent="0.35"/>
    <row r="113" ht="20.149999999999999" customHeight="1" x14ac:dyDescent="0.35"/>
    <row r="114" ht="20.149999999999999" customHeight="1" x14ac:dyDescent="0.35"/>
    <row r="115" ht="20.149999999999999" customHeight="1" x14ac:dyDescent="0.35"/>
    <row r="116" ht="20.149999999999999" customHeight="1" x14ac:dyDescent="0.35"/>
    <row r="117" ht="20.149999999999999" customHeight="1" x14ac:dyDescent="0.35"/>
    <row r="118" ht="20.149999999999999" customHeight="1" x14ac:dyDescent="0.35"/>
    <row r="119" ht="20.149999999999999" customHeight="1" x14ac:dyDescent="0.35"/>
    <row r="120" ht="20.149999999999999" customHeight="1" x14ac:dyDescent="0.35"/>
    <row r="121" ht="20.149999999999999" customHeight="1" x14ac:dyDescent="0.35"/>
    <row r="122" ht="20.149999999999999" customHeight="1" x14ac:dyDescent="0.35"/>
    <row r="123" ht="20.149999999999999" customHeight="1" x14ac:dyDescent="0.35"/>
    <row r="124" ht="20.149999999999999" customHeight="1" x14ac:dyDescent="0.35"/>
    <row r="125" ht="20.149999999999999" customHeight="1" x14ac:dyDescent="0.35"/>
    <row r="126" ht="20.149999999999999" customHeight="1" x14ac:dyDescent="0.35"/>
    <row r="127" ht="20.149999999999999" customHeight="1" x14ac:dyDescent="0.35"/>
    <row r="128" ht="20.149999999999999" customHeight="1" x14ac:dyDescent="0.35"/>
    <row r="129" ht="20.149999999999999" customHeight="1" x14ac:dyDescent="0.35"/>
    <row r="130" ht="20.149999999999999" customHeight="1" x14ac:dyDescent="0.35"/>
    <row r="131" ht="20.149999999999999" customHeight="1" x14ac:dyDescent="0.35"/>
    <row r="132" ht="20.149999999999999" customHeight="1" x14ac:dyDescent="0.35"/>
    <row r="133" ht="20.149999999999999" customHeight="1" x14ac:dyDescent="0.35"/>
    <row r="134" ht="20.149999999999999" customHeight="1" x14ac:dyDescent="0.35"/>
    <row r="135" ht="20.149999999999999" customHeight="1" x14ac:dyDescent="0.35"/>
    <row r="136" ht="20.149999999999999" customHeight="1" x14ac:dyDescent="0.35"/>
    <row r="137" ht="20.149999999999999" customHeight="1" x14ac:dyDescent="0.35"/>
    <row r="138" ht="20.149999999999999" customHeight="1" x14ac:dyDescent="0.35"/>
    <row r="139" ht="20.149999999999999" customHeight="1" x14ac:dyDescent="0.35"/>
    <row r="140" ht="20.149999999999999" customHeight="1" x14ac:dyDescent="0.35"/>
    <row r="141" ht="20.149999999999999" customHeight="1" x14ac:dyDescent="0.35"/>
    <row r="142" ht="20.149999999999999" customHeight="1" x14ac:dyDescent="0.35"/>
    <row r="143" ht="20.149999999999999" customHeight="1" x14ac:dyDescent="0.35"/>
    <row r="144" ht="20.149999999999999" customHeight="1" x14ac:dyDescent="0.35"/>
    <row r="145" ht="20.149999999999999" customHeight="1" x14ac:dyDescent="0.35"/>
    <row r="146" ht="20.149999999999999" customHeight="1" x14ac:dyDescent="0.35"/>
    <row r="147" ht="20.149999999999999" customHeight="1" x14ac:dyDescent="0.35"/>
    <row r="148" ht="20.149999999999999" customHeight="1" x14ac:dyDescent="0.35"/>
    <row r="149" ht="20.149999999999999" customHeight="1" x14ac:dyDescent="0.35"/>
    <row r="150" ht="20.149999999999999" customHeight="1" x14ac:dyDescent="0.35"/>
    <row r="151" ht="20.149999999999999" customHeight="1" x14ac:dyDescent="0.35"/>
    <row r="152" ht="20.149999999999999" customHeight="1" x14ac:dyDescent="0.35"/>
    <row r="153" ht="20.149999999999999" customHeight="1" x14ac:dyDescent="0.35"/>
    <row r="154" ht="20.149999999999999" customHeight="1" x14ac:dyDescent="0.35"/>
    <row r="155" ht="20.149999999999999" customHeight="1" x14ac:dyDescent="0.35"/>
    <row r="156" ht="20.149999999999999" customHeight="1" x14ac:dyDescent="0.35"/>
    <row r="157" ht="20.149999999999999" customHeight="1" x14ac:dyDescent="0.35"/>
    <row r="158" ht="20.149999999999999" customHeight="1" x14ac:dyDescent="0.35"/>
    <row r="159" ht="20.149999999999999" customHeight="1" x14ac:dyDescent="0.35"/>
    <row r="160" ht="20.149999999999999" customHeight="1" x14ac:dyDescent="0.35"/>
    <row r="161" ht="20.149999999999999" customHeight="1" x14ac:dyDescent="0.35"/>
    <row r="162" ht="20.149999999999999" customHeight="1" x14ac:dyDescent="0.35"/>
    <row r="163" ht="20.149999999999999" customHeight="1" x14ac:dyDescent="0.35"/>
    <row r="164" ht="20.149999999999999" customHeight="1" x14ac:dyDescent="0.35"/>
    <row r="165" ht="20.149999999999999" customHeight="1" x14ac:dyDescent="0.35"/>
    <row r="166" ht="20.149999999999999" customHeight="1" x14ac:dyDescent="0.35"/>
    <row r="167" ht="20.149999999999999" customHeight="1" x14ac:dyDescent="0.35"/>
    <row r="168" ht="20.149999999999999" customHeight="1" x14ac:dyDescent="0.35"/>
    <row r="169" ht="20.149999999999999" customHeight="1" x14ac:dyDescent="0.35"/>
    <row r="170" ht="20.149999999999999" customHeight="1" x14ac:dyDescent="0.35"/>
    <row r="171" ht="20.149999999999999" customHeight="1" x14ac:dyDescent="0.35"/>
    <row r="172" ht="20.149999999999999" customHeight="1" x14ac:dyDescent="0.35"/>
    <row r="173" ht="20.149999999999999" customHeight="1" x14ac:dyDescent="0.35"/>
    <row r="174" ht="20.149999999999999" customHeight="1" x14ac:dyDescent="0.35"/>
    <row r="175" ht="20.149999999999999" customHeight="1" x14ac:dyDescent="0.35"/>
    <row r="176" ht="20.149999999999999" customHeight="1" x14ac:dyDescent="0.35"/>
    <row r="177" ht="20.149999999999999" customHeight="1" x14ac:dyDescent="0.35"/>
    <row r="178" ht="20.149999999999999" customHeight="1" x14ac:dyDescent="0.35"/>
    <row r="179" ht="20.149999999999999" customHeight="1" x14ac:dyDescent="0.35"/>
    <row r="180" ht="20.149999999999999" customHeight="1" x14ac:dyDescent="0.35"/>
    <row r="181" ht="20.149999999999999" customHeight="1" x14ac:dyDescent="0.35"/>
    <row r="182" ht="20.149999999999999" customHeight="1" x14ac:dyDescent="0.35"/>
    <row r="183" ht="20.149999999999999" customHeight="1" x14ac:dyDescent="0.35"/>
    <row r="184" ht="20.149999999999999" customHeight="1" x14ac:dyDescent="0.35"/>
    <row r="185" ht="20.149999999999999" customHeight="1" x14ac:dyDescent="0.35"/>
    <row r="186" ht="20.149999999999999" customHeight="1" x14ac:dyDescent="0.35"/>
    <row r="187" ht="20.149999999999999" customHeight="1" x14ac:dyDescent="0.35"/>
    <row r="188" ht="20.149999999999999" customHeight="1" x14ac:dyDescent="0.35"/>
    <row r="189" ht="20.149999999999999" customHeight="1" x14ac:dyDescent="0.35"/>
    <row r="190" ht="20.149999999999999" customHeight="1" x14ac:dyDescent="0.35"/>
    <row r="191" ht="20.149999999999999" customHeight="1" x14ac:dyDescent="0.35"/>
    <row r="192" ht="20.149999999999999" customHeight="1" x14ac:dyDescent="0.35"/>
    <row r="193" ht="20.149999999999999" customHeight="1" x14ac:dyDescent="0.35"/>
    <row r="194" ht="20.149999999999999" customHeight="1" x14ac:dyDescent="0.35"/>
    <row r="195" ht="20.149999999999999" customHeight="1" x14ac:dyDescent="0.35"/>
    <row r="196" ht="20.149999999999999" customHeight="1" x14ac:dyDescent="0.35"/>
    <row r="197" ht="20.149999999999999" customHeight="1" x14ac:dyDescent="0.35"/>
    <row r="198" ht="20.149999999999999" customHeight="1" x14ac:dyDescent="0.35"/>
    <row r="199" ht="20.149999999999999" customHeight="1" x14ac:dyDescent="0.35"/>
    <row r="200" ht="20.149999999999999" customHeight="1" x14ac:dyDescent="0.35"/>
    <row r="201" ht="20.149999999999999" customHeight="1" x14ac:dyDescent="0.35"/>
    <row r="202" ht="20.149999999999999" customHeight="1" x14ac:dyDescent="0.35"/>
    <row r="203" ht="20.149999999999999" customHeight="1" x14ac:dyDescent="0.35"/>
    <row r="204" ht="20.149999999999999" customHeight="1" x14ac:dyDescent="0.35"/>
    <row r="205" ht="20.149999999999999" customHeight="1" x14ac:dyDescent="0.35"/>
    <row r="206" ht="20.149999999999999" customHeight="1" x14ac:dyDescent="0.35"/>
    <row r="207" ht="20.149999999999999" customHeight="1" x14ac:dyDescent="0.35"/>
    <row r="208" ht="20.149999999999999" customHeight="1" x14ac:dyDescent="0.35"/>
    <row r="209" ht="20.149999999999999" customHeight="1" x14ac:dyDescent="0.35"/>
    <row r="210" ht="20.149999999999999" customHeight="1" x14ac:dyDescent="0.35"/>
    <row r="211" ht="20.149999999999999" customHeight="1" x14ac:dyDescent="0.35"/>
    <row r="212" ht="20.149999999999999" customHeight="1" x14ac:dyDescent="0.35"/>
    <row r="213" ht="20.149999999999999" customHeight="1" x14ac:dyDescent="0.35"/>
    <row r="214" ht="20.149999999999999" customHeight="1" x14ac:dyDescent="0.35"/>
    <row r="215" ht="20.149999999999999" customHeight="1" x14ac:dyDescent="0.35"/>
    <row r="216" ht="20.149999999999999" customHeight="1" x14ac:dyDescent="0.35"/>
    <row r="217" ht="20.149999999999999" customHeight="1" x14ac:dyDescent="0.35"/>
    <row r="218" ht="20.149999999999999" customHeight="1" x14ac:dyDescent="0.35"/>
    <row r="219" ht="20.149999999999999" customHeight="1" x14ac:dyDescent="0.35"/>
    <row r="220" ht="20.149999999999999" customHeight="1" x14ac:dyDescent="0.35"/>
    <row r="221" ht="20.149999999999999" customHeight="1" x14ac:dyDescent="0.35"/>
    <row r="222" ht="20.149999999999999" customHeight="1" x14ac:dyDescent="0.35"/>
    <row r="223" ht="20.149999999999999" customHeight="1" x14ac:dyDescent="0.35"/>
    <row r="224" ht="20.149999999999999" customHeight="1" x14ac:dyDescent="0.35"/>
    <row r="225" ht="20.149999999999999" customHeight="1" x14ac:dyDescent="0.35"/>
    <row r="226" ht="20.149999999999999" customHeight="1" x14ac:dyDescent="0.35"/>
    <row r="227" ht="20.149999999999999" customHeight="1" x14ac:dyDescent="0.35"/>
    <row r="228" ht="20.149999999999999" customHeight="1" x14ac:dyDescent="0.35"/>
    <row r="229" ht="20.149999999999999" customHeight="1" x14ac:dyDescent="0.35"/>
    <row r="230" ht="20.149999999999999" customHeight="1" x14ac:dyDescent="0.35"/>
    <row r="231" ht="20.149999999999999" customHeight="1" x14ac:dyDescent="0.35"/>
    <row r="232" ht="20.149999999999999" customHeight="1" x14ac:dyDescent="0.35"/>
    <row r="233" ht="20.149999999999999" customHeight="1" x14ac:dyDescent="0.35"/>
    <row r="234" ht="20.149999999999999" customHeight="1" x14ac:dyDescent="0.35"/>
    <row r="235" ht="20.149999999999999" customHeight="1" x14ac:dyDescent="0.35"/>
    <row r="236" ht="20.149999999999999" customHeight="1" x14ac:dyDescent="0.35"/>
    <row r="237" ht="20.149999999999999" customHeight="1" x14ac:dyDescent="0.35"/>
    <row r="238" ht="20.149999999999999" customHeight="1" x14ac:dyDescent="0.35"/>
    <row r="239" ht="20.149999999999999" customHeight="1" x14ac:dyDescent="0.35"/>
    <row r="240" ht="20.149999999999999" customHeight="1" x14ac:dyDescent="0.35"/>
    <row r="241" ht="20.149999999999999" customHeight="1" x14ac:dyDescent="0.35"/>
    <row r="242" ht="20.149999999999999" customHeight="1" x14ac:dyDescent="0.35"/>
    <row r="243" ht="20.149999999999999" customHeight="1" x14ac:dyDescent="0.35"/>
    <row r="244" ht="20.149999999999999" customHeight="1" x14ac:dyDescent="0.35"/>
    <row r="245" ht="20.149999999999999" customHeight="1" x14ac:dyDescent="0.35"/>
    <row r="246" ht="20.149999999999999" customHeight="1" x14ac:dyDescent="0.35"/>
    <row r="247" ht="20.149999999999999" customHeight="1" x14ac:dyDescent="0.35"/>
    <row r="248" ht="20.149999999999999" customHeight="1" x14ac:dyDescent="0.35"/>
    <row r="249" ht="20.149999999999999" customHeight="1" x14ac:dyDescent="0.35"/>
    <row r="250" ht="20.149999999999999" customHeight="1" x14ac:dyDescent="0.35"/>
    <row r="251" ht="20.149999999999999" customHeight="1" x14ac:dyDescent="0.35"/>
  </sheetData>
  <conditionalFormatting sqref="E6:E9">
    <cfRule type="cellIs" dxfId="53" priority="1" stopIfTrue="1" operator="equal">
      <formula>"-"</formula>
    </cfRule>
    <cfRule type="cellIs" dxfId="52" priority="2" operator="greaterThan">
      <formula>0</formula>
    </cfRule>
    <cfRule type="cellIs" dxfId="51" priority="3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6">
    <tabColor theme="7" tint="0.59999389629810485"/>
  </sheetPr>
  <dimension ref="A1:O48"/>
  <sheetViews>
    <sheetView showGridLines="0" zoomScaleNormal="100" workbookViewId="0">
      <selection activeCell="C8" sqref="C8:C13"/>
    </sheetView>
  </sheetViews>
  <sheetFormatPr defaultColWidth="9.1796875" defaultRowHeight="15.5" x14ac:dyDescent="0.35"/>
  <cols>
    <col min="1" max="1" width="10.7265625" style="12" customWidth="1"/>
    <col min="2" max="2" width="21.453125" style="12" customWidth="1"/>
    <col min="3" max="5" width="10.7265625" style="12" customWidth="1"/>
    <col min="6" max="7" width="20.7265625" style="12" customWidth="1"/>
    <col min="8" max="8" width="21.81640625" style="12" customWidth="1"/>
    <col min="9" max="16384" width="9.1796875" style="12"/>
  </cols>
  <sheetData>
    <row r="1" spans="1:15" s="53" customFormat="1" ht="25" customHeight="1" x14ac:dyDescent="0.35">
      <c r="B1" s="77"/>
      <c r="D1" s="54"/>
      <c r="I1" s="55"/>
      <c r="J1" s="56"/>
    </row>
    <row r="2" spans="1:15" customFormat="1" ht="25" customHeight="1" x14ac:dyDescent="0.25">
      <c r="A2" s="57"/>
      <c r="B2" s="58" t="s">
        <v>404</v>
      </c>
      <c r="C2" s="59"/>
      <c r="D2" s="59"/>
      <c r="E2" s="59"/>
      <c r="F2" s="59"/>
      <c r="G2" s="59"/>
      <c r="H2" s="59"/>
      <c r="I2" s="60"/>
      <c r="J2" s="60"/>
      <c r="K2" s="60"/>
    </row>
    <row r="3" spans="1:15" customFormat="1" ht="25" customHeight="1" thickBot="1" x14ac:dyDescent="0.3">
      <c r="B3" s="61" t="s">
        <v>334</v>
      </c>
      <c r="C3" s="69"/>
      <c r="D3" s="69"/>
      <c r="E3" s="69"/>
      <c r="F3" s="69"/>
      <c r="G3" s="69"/>
      <c r="H3" s="69"/>
      <c r="I3" s="69"/>
      <c r="J3" s="69"/>
      <c r="K3" s="69"/>
      <c r="L3" s="69"/>
      <c r="O3" s="53"/>
    </row>
    <row r="4" spans="1:15" customFormat="1" ht="25" customHeight="1" thickTop="1" x14ac:dyDescent="0.3">
      <c r="B4" s="70"/>
      <c r="C4" s="71"/>
      <c r="D4" s="72"/>
      <c r="E4" s="145"/>
      <c r="F4" s="146"/>
      <c r="G4" s="146"/>
      <c r="H4" s="74"/>
      <c r="I4" s="74"/>
      <c r="J4" s="75"/>
      <c r="K4" s="60"/>
      <c r="L4" s="240" t="str">
        <f>POMOC!B5</f>
        <v>Notowania 09.03 - 18.03.2026 / Tydzień 10</v>
      </c>
      <c r="N4" s="53"/>
    </row>
    <row r="5" spans="1:15" ht="20.149999999999999" customHeight="1" x14ac:dyDescent="0.35">
      <c r="B5" s="503" t="s">
        <v>307</v>
      </c>
      <c r="C5" s="504"/>
      <c r="D5" s="504"/>
      <c r="E5" s="504"/>
      <c r="F5" s="504"/>
      <c r="G5" s="504"/>
      <c r="H5" s="504"/>
    </row>
    <row r="6" spans="1:15" ht="40" customHeight="1" thickBot="1" x14ac:dyDescent="0.4">
      <c r="B6" s="157" t="s">
        <v>333</v>
      </c>
      <c r="C6" s="160" t="s">
        <v>482</v>
      </c>
      <c r="D6" s="160" t="s">
        <v>478</v>
      </c>
      <c r="E6" s="159" t="s">
        <v>479</v>
      </c>
      <c r="F6" s="152" t="s">
        <v>335</v>
      </c>
      <c r="G6" s="152" t="s">
        <v>336</v>
      </c>
      <c r="H6" s="33"/>
    </row>
    <row r="7" spans="1:15" ht="20.149999999999999" customHeight="1" x14ac:dyDescent="0.35">
      <c r="B7" s="147" t="s">
        <v>292</v>
      </c>
      <c r="C7" s="161">
        <v>276.64</v>
      </c>
      <c r="D7" s="142">
        <v>283.68</v>
      </c>
      <c r="E7" s="363">
        <v>332.33</v>
      </c>
      <c r="F7" s="100">
        <v>-2.48</v>
      </c>
      <c r="G7" s="101">
        <v>-16.760000000000002</v>
      </c>
      <c r="H7" s="33"/>
    </row>
    <row r="8" spans="1:15" ht="20.149999999999999" customHeight="1" x14ac:dyDescent="0.35">
      <c r="B8" s="148" t="s">
        <v>195</v>
      </c>
      <c r="C8" s="162">
        <v>344.68</v>
      </c>
      <c r="D8" s="132">
        <v>341.59</v>
      </c>
      <c r="E8" s="364">
        <v>365.41</v>
      </c>
      <c r="F8" s="43">
        <v>0.9</v>
      </c>
      <c r="G8" s="101">
        <v>-5.67</v>
      </c>
      <c r="H8" s="33"/>
    </row>
    <row r="9" spans="1:15" ht="20.149999999999999" customHeight="1" x14ac:dyDescent="0.35">
      <c r="B9" s="148" t="s">
        <v>196</v>
      </c>
      <c r="C9" s="162">
        <v>317.19</v>
      </c>
      <c r="D9" s="132">
        <v>329.22</v>
      </c>
      <c r="E9" s="364">
        <v>334.91</v>
      </c>
      <c r="F9" s="43">
        <v>-3.65</v>
      </c>
      <c r="G9" s="101">
        <v>-5.29</v>
      </c>
      <c r="H9" s="33"/>
    </row>
    <row r="10" spans="1:15" ht="20.149999999999999" customHeight="1" x14ac:dyDescent="0.35">
      <c r="B10" s="148" t="s">
        <v>197</v>
      </c>
      <c r="C10" s="162">
        <v>290.12</v>
      </c>
      <c r="D10" s="132">
        <v>304.77999999999997</v>
      </c>
      <c r="E10" s="364">
        <v>298.17</v>
      </c>
      <c r="F10" s="43">
        <v>-4.8099999999999996</v>
      </c>
      <c r="G10" s="101">
        <v>-2.7</v>
      </c>
      <c r="H10" s="33"/>
    </row>
    <row r="11" spans="1:15" ht="20.149999999999999" customHeight="1" x14ac:dyDescent="0.35">
      <c r="B11" s="148" t="s">
        <v>204</v>
      </c>
      <c r="C11" s="162">
        <v>258.05</v>
      </c>
      <c r="D11" s="132">
        <v>262.25</v>
      </c>
      <c r="E11" s="364">
        <v>314.58999999999997</v>
      </c>
      <c r="F11" s="43">
        <v>-1.6</v>
      </c>
      <c r="G11" s="101">
        <v>-17.97</v>
      </c>
      <c r="H11" s="33"/>
    </row>
    <row r="12" spans="1:15" ht="20.149999999999999" customHeight="1" x14ac:dyDescent="0.35">
      <c r="B12" s="148" t="s">
        <v>173</v>
      </c>
      <c r="C12" s="162">
        <v>302.44</v>
      </c>
      <c r="D12" s="132">
        <v>311.04000000000002</v>
      </c>
      <c r="E12" s="364">
        <v>340.75</v>
      </c>
      <c r="F12" s="43">
        <v>-2.76</v>
      </c>
      <c r="G12" s="101">
        <v>-11.24</v>
      </c>
      <c r="H12" s="33"/>
    </row>
    <row r="13" spans="1:15" ht="20.149999999999999" customHeight="1" x14ac:dyDescent="0.35">
      <c r="B13" s="148" t="s">
        <v>174</v>
      </c>
      <c r="C13" s="162">
        <v>282.06</v>
      </c>
      <c r="D13" s="132">
        <v>292.25</v>
      </c>
      <c r="E13" s="364">
        <v>324.29000000000002</v>
      </c>
      <c r="F13" s="43">
        <v>-3.49</v>
      </c>
      <c r="G13" s="50">
        <v>-13.02</v>
      </c>
      <c r="H13" s="33"/>
    </row>
    <row r="14" spans="1:15" ht="20.149999999999999" customHeight="1" x14ac:dyDescent="0.35">
      <c r="B14" s="33"/>
      <c r="C14" s="33"/>
      <c r="D14" s="33"/>
      <c r="E14" s="33"/>
      <c r="F14" s="33"/>
      <c r="G14" s="33"/>
      <c r="H14" s="33"/>
    </row>
    <row r="15" spans="1:15" ht="20.149999999999999" customHeight="1" x14ac:dyDescent="0.35">
      <c r="B15" s="503" t="s">
        <v>294</v>
      </c>
      <c r="C15" s="504"/>
      <c r="D15" s="504"/>
      <c r="E15" s="504"/>
      <c r="F15" s="504"/>
      <c r="G15" s="504"/>
      <c r="H15" s="504"/>
    </row>
    <row r="16" spans="1:15" ht="40" customHeight="1" thickBot="1" x14ac:dyDescent="0.4">
      <c r="B16" s="157" t="s">
        <v>333</v>
      </c>
      <c r="C16" s="160" t="s">
        <v>482</v>
      </c>
      <c r="D16" s="160" t="s">
        <v>478</v>
      </c>
      <c r="E16" s="159" t="s">
        <v>479</v>
      </c>
      <c r="F16" s="152" t="s">
        <v>335</v>
      </c>
      <c r="G16" s="152" t="s">
        <v>336</v>
      </c>
      <c r="H16" s="33"/>
    </row>
    <row r="17" spans="2:8" ht="20.149999999999999" customHeight="1" x14ac:dyDescent="0.35">
      <c r="B17" s="147" t="s">
        <v>295</v>
      </c>
      <c r="C17" s="161" t="s">
        <v>275</v>
      </c>
      <c r="D17" s="142" t="s">
        <v>275</v>
      </c>
      <c r="E17" s="363" t="s">
        <v>275</v>
      </c>
      <c r="F17" s="100" t="s">
        <v>211</v>
      </c>
      <c r="G17" s="101" t="s">
        <v>211</v>
      </c>
      <c r="H17" s="33"/>
    </row>
    <row r="18" spans="2:8" ht="20.149999999999999" customHeight="1" x14ac:dyDescent="0.35">
      <c r="B18" s="148" t="s">
        <v>33</v>
      </c>
      <c r="C18" s="162">
        <v>403.49</v>
      </c>
      <c r="D18" s="132">
        <v>408.5</v>
      </c>
      <c r="E18" s="364">
        <v>390.77</v>
      </c>
      <c r="F18" s="43">
        <v>-1.23</v>
      </c>
      <c r="G18" s="50">
        <v>3.26</v>
      </c>
      <c r="H18" s="33"/>
    </row>
    <row r="19" spans="2:8" ht="20.149999999999999" customHeight="1" x14ac:dyDescent="0.35">
      <c r="B19" s="148" t="s">
        <v>28</v>
      </c>
      <c r="C19" s="162" t="s">
        <v>275</v>
      </c>
      <c r="D19" s="132" t="s">
        <v>275</v>
      </c>
      <c r="E19" s="364" t="s">
        <v>275</v>
      </c>
      <c r="F19" s="43" t="s">
        <v>211</v>
      </c>
      <c r="G19" s="50" t="s">
        <v>211</v>
      </c>
      <c r="H19" s="33"/>
    </row>
    <row r="20" spans="2:8" ht="20.149999999999999" customHeight="1" x14ac:dyDescent="0.35">
      <c r="B20" s="148" t="s">
        <v>69</v>
      </c>
      <c r="C20" s="162">
        <v>948.62</v>
      </c>
      <c r="D20" s="132">
        <v>950.21</v>
      </c>
      <c r="E20" s="364">
        <v>820.57</v>
      </c>
      <c r="F20" s="43">
        <v>-0.17</v>
      </c>
      <c r="G20" s="50">
        <v>15.61</v>
      </c>
      <c r="H20" s="33"/>
    </row>
    <row r="21" spans="2:8" ht="20.149999999999999" customHeight="1" x14ac:dyDescent="0.35"/>
    <row r="22" spans="2:8" ht="20.149999999999999" customHeight="1" x14ac:dyDescent="0.35"/>
    <row r="23" spans="2:8" ht="20.149999999999999" customHeight="1" x14ac:dyDescent="0.35"/>
    <row r="24" spans="2:8" ht="20.149999999999999" customHeight="1" x14ac:dyDescent="0.35"/>
    <row r="25" spans="2:8" ht="20.149999999999999" customHeight="1" x14ac:dyDescent="0.35"/>
    <row r="26" spans="2:8" ht="20.149999999999999" customHeight="1" x14ac:dyDescent="0.35"/>
    <row r="27" spans="2:8" ht="20.149999999999999" customHeight="1" x14ac:dyDescent="0.35"/>
    <row r="28" spans="2:8" ht="20.149999999999999" customHeight="1" x14ac:dyDescent="0.35"/>
    <row r="29" spans="2:8" ht="20.149999999999999" customHeight="1" x14ac:dyDescent="0.35"/>
    <row r="30" spans="2:8" ht="20.149999999999999" customHeight="1" x14ac:dyDescent="0.35"/>
    <row r="31" spans="2:8" ht="20.149999999999999" customHeight="1" x14ac:dyDescent="0.35"/>
    <row r="32" spans="2:8" ht="20.149999999999999" customHeight="1" x14ac:dyDescent="0.35"/>
    <row r="33" ht="20.149999999999999" customHeight="1" x14ac:dyDescent="0.35"/>
    <row r="34" ht="20.149999999999999" customHeight="1" x14ac:dyDescent="0.35"/>
    <row r="35" ht="20.149999999999999" customHeight="1" x14ac:dyDescent="0.35"/>
    <row r="36" ht="20.149999999999999" customHeight="1" x14ac:dyDescent="0.35"/>
    <row r="37" ht="20.149999999999999" customHeight="1" x14ac:dyDescent="0.35"/>
    <row r="38" ht="20.149999999999999" customHeight="1" x14ac:dyDescent="0.35"/>
    <row r="39" ht="20.149999999999999" customHeight="1" x14ac:dyDescent="0.35"/>
    <row r="40" ht="20.149999999999999" customHeight="1" x14ac:dyDescent="0.35"/>
    <row r="41" ht="20.149999999999999" customHeight="1" x14ac:dyDescent="0.35"/>
    <row r="42" ht="20.149999999999999" customHeight="1" x14ac:dyDescent="0.35"/>
    <row r="43" ht="20.149999999999999" customHeight="1" x14ac:dyDescent="0.35"/>
    <row r="44" ht="20.149999999999999" customHeight="1" x14ac:dyDescent="0.35"/>
    <row r="45" ht="20.149999999999999" customHeight="1" x14ac:dyDescent="0.35"/>
    <row r="46" ht="20.149999999999999" customHeight="1" x14ac:dyDescent="0.35"/>
    <row r="47" ht="20.149999999999999" customHeight="1" x14ac:dyDescent="0.35"/>
    <row r="48" ht="20.149999999999999" customHeight="1" x14ac:dyDescent="0.35"/>
  </sheetData>
  <mergeCells count="2">
    <mergeCell ref="B15:H15"/>
    <mergeCell ref="B5:H5"/>
  </mergeCells>
  <conditionalFormatting sqref="F7:G13">
    <cfRule type="cellIs" dxfId="50" priority="1" stopIfTrue="1" operator="equal">
      <formula>"-"</formula>
    </cfRule>
    <cfRule type="cellIs" dxfId="49" priority="2" operator="greaterThan">
      <formula>0</formula>
    </cfRule>
    <cfRule type="cellIs" dxfId="48" priority="3" operator="lessThan">
      <formula>0</formula>
    </cfRule>
  </conditionalFormatting>
  <conditionalFormatting sqref="F17:G20">
    <cfRule type="cellIs" dxfId="47" priority="4" stopIfTrue="1" operator="equal">
      <formula>"-"</formula>
    </cfRule>
    <cfRule type="cellIs" dxfId="46" priority="5" operator="greaterThan">
      <formula>0</formula>
    </cfRule>
    <cfRule type="cellIs" dxfId="45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O49"/>
  <sheetViews>
    <sheetView showGridLines="0" zoomScaleNormal="100" workbookViewId="0">
      <selection activeCell="B7" sqref="B7:C10"/>
    </sheetView>
  </sheetViews>
  <sheetFormatPr defaultColWidth="9.1796875" defaultRowHeight="15.5" x14ac:dyDescent="0.35"/>
  <cols>
    <col min="1" max="1" width="10.7265625" style="12" customWidth="1"/>
    <col min="2" max="2" width="30.7265625" style="12" customWidth="1"/>
    <col min="3" max="5" width="10.7265625" style="12" customWidth="1"/>
    <col min="6" max="7" width="20.7265625" style="12" customWidth="1"/>
    <col min="8" max="16384" width="9.1796875" style="12"/>
  </cols>
  <sheetData>
    <row r="1" spans="1:15" s="53" customFormat="1" ht="25" customHeight="1" x14ac:dyDescent="0.35">
      <c r="B1" s="77"/>
      <c r="D1" s="54"/>
      <c r="H1" s="55"/>
      <c r="I1" s="56"/>
    </row>
    <row r="2" spans="1:15" customFormat="1" ht="25" customHeight="1" x14ac:dyDescent="0.25">
      <c r="A2" s="57"/>
      <c r="B2" s="58" t="s">
        <v>405</v>
      </c>
      <c r="C2" s="59"/>
      <c r="D2" s="59"/>
      <c r="E2" s="59"/>
      <c r="F2" s="59"/>
      <c r="G2" s="59"/>
      <c r="H2" s="60"/>
      <c r="I2" s="60"/>
      <c r="J2" s="53"/>
      <c r="K2" s="60"/>
    </row>
    <row r="3" spans="1:15" customFormat="1" ht="25" customHeight="1" thickBot="1" x14ac:dyDescent="0.3">
      <c r="B3" s="61" t="s">
        <v>334</v>
      </c>
      <c r="C3" s="69"/>
      <c r="D3" s="69"/>
      <c r="E3" s="69"/>
      <c r="F3" s="69"/>
      <c r="G3" s="69"/>
      <c r="H3" s="69"/>
      <c r="I3" s="69"/>
      <c r="J3" s="69"/>
      <c r="K3" s="69"/>
      <c r="L3" s="69"/>
      <c r="O3" s="53"/>
    </row>
    <row r="4" spans="1:15" customFormat="1" ht="25" customHeight="1" thickTop="1" x14ac:dyDescent="0.3">
      <c r="B4" s="70"/>
      <c r="C4" s="71"/>
      <c r="D4" s="72"/>
      <c r="E4" s="145"/>
      <c r="F4" s="146"/>
      <c r="G4" s="146"/>
      <c r="H4" s="74"/>
      <c r="I4" s="75"/>
      <c r="J4" s="76"/>
      <c r="K4" s="60"/>
      <c r="L4" s="240" t="str">
        <f>POMOC!B5</f>
        <v>Notowania 09.03 - 18.03.2026 / Tydzień 10</v>
      </c>
      <c r="N4" s="53"/>
    </row>
    <row r="5" spans="1:15" ht="20.149999999999999" customHeight="1" x14ac:dyDescent="0.35">
      <c r="B5" s="503" t="s">
        <v>296</v>
      </c>
      <c r="C5" s="504"/>
      <c r="D5" s="504"/>
      <c r="E5" s="504"/>
      <c r="F5" s="504"/>
      <c r="G5" s="504"/>
      <c r="H5" s="504"/>
    </row>
    <row r="6" spans="1:15" ht="40" customHeight="1" thickBot="1" x14ac:dyDescent="0.4">
      <c r="B6" s="157" t="s">
        <v>333</v>
      </c>
      <c r="C6" s="160" t="s">
        <v>482</v>
      </c>
      <c r="D6" s="160" t="s">
        <v>478</v>
      </c>
      <c r="E6" s="159" t="s">
        <v>479</v>
      </c>
      <c r="F6" s="152" t="s">
        <v>480</v>
      </c>
      <c r="G6" s="152" t="s">
        <v>481</v>
      </c>
      <c r="H6" s="33"/>
    </row>
    <row r="7" spans="1:15" ht="20.149999999999999" customHeight="1" x14ac:dyDescent="0.35">
      <c r="B7" s="48" t="s">
        <v>7</v>
      </c>
      <c r="C7" s="161">
        <v>219.35</v>
      </c>
      <c r="D7" s="142">
        <v>231.02</v>
      </c>
      <c r="E7" s="363">
        <v>255.15</v>
      </c>
      <c r="F7" s="100">
        <v>-5.05</v>
      </c>
      <c r="G7" s="101">
        <v>-14.03</v>
      </c>
    </row>
    <row r="8" spans="1:15" ht="20.149999999999999" customHeight="1" x14ac:dyDescent="0.35">
      <c r="B8" s="147" t="s">
        <v>203</v>
      </c>
      <c r="C8" s="162">
        <v>898.67</v>
      </c>
      <c r="D8" s="132">
        <v>1156.8900000000001</v>
      </c>
      <c r="E8" s="364" t="s">
        <v>275</v>
      </c>
      <c r="F8" s="100">
        <f>(C8-D8)/D8*100</f>
        <v>-22.320186015956583</v>
      </c>
      <c r="G8" s="101" t="s">
        <v>211</v>
      </c>
    </row>
    <row r="9" spans="1:15" s="499" customFormat="1" ht="20.149999999999999" customHeight="1" x14ac:dyDescent="0.35">
      <c r="B9" s="147" t="s">
        <v>193</v>
      </c>
      <c r="C9" s="161">
        <v>1758.23</v>
      </c>
      <c r="D9" s="142">
        <v>1605.27</v>
      </c>
      <c r="E9" s="363">
        <v>1542.89</v>
      </c>
      <c r="F9" s="100">
        <v>9.5299999999999994</v>
      </c>
      <c r="G9" s="101">
        <v>13.96</v>
      </c>
    </row>
    <row r="10" spans="1:15" ht="20.149999999999999" customHeight="1" x14ac:dyDescent="0.35">
      <c r="B10" s="148" t="s">
        <v>17</v>
      </c>
      <c r="C10" s="161">
        <v>115.17</v>
      </c>
      <c r="D10" s="142">
        <v>110.83</v>
      </c>
      <c r="E10" s="363">
        <v>163.24</v>
      </c>
      <c r="F10" s="100">
        <v>3.92</v>
      </c>
      <c r="G10" s="101">
        <v>-29.45</v>
      </c>
    </row>
    <row r="11" spans="1:15" ht="20.149999999999999" customHeight="1" x14ac:dyDescent="0.35"/>
    <row r="12" spans="1:15" ht="20.149999999999999" customHeight="1" x14ac:dyDescent="0.35">
      <c r="B12" s="505" t="s">
        <v>297</v>
      </c>
      <c r="C12" s="506"/>
      <c r="D12" s="506"/>
      <c r="E12" s="506"/>
      <c r="F12" s="506"/>
      <c r="G12" s="506"/>
      <c r="H12" s="506"/>
    </row>
    <row r="13" spans="1:15" ht="40" customHeight="1" thickBot="1" x14ac:dyDescent="0.4">
      <c r="B13" s="157" t="s">
        <v>333</v>
      </c>
      <c r="C13" s="160" t="s">
        <v>482</v>
      </c>
      <c r="D13" s="160" t="s">
        <v>478</v>
      </c>
      <c r="E13" s="159" t="s">
        <v>479</v>
      </c>
      <c r="F13" s="152" t="s">
        <v>335</v>
      </c>
      <c r="G13" s="152" t="s">
        <v>336</v>
      </c>
    </row>
    <row r="14" spans="1:15" ht="20.149999999999999" customHeight="1" thickBot="1" x14ac:dyDescent="0.4">
      <c r="B14" s="48" t="s">
        <v>7</v>
      </c>
      <c r="C14" s="361" t="s">
        <v>275</v>
      </c>
      <c r="D14" s="142" t="s">
        <v>275</v>
      </c>
      <c r="E14" s="365" t="s">
        <v>275</v>
      </c>
      <c r="F14" s="100" t="s">
        <v>211</v>
      </c>
      <c r="G14" s="50" t="s">
        <v>211</v>
      </c>
    </row>
    <row r="15" spans="1:15" ht="20.149999999999999" customHeight="1" x14ac:dyDescent="0.35">
      <c r="B15" s="139" t="s">
        <v>21</v>
      </c>
      <c r="C15" s="161">
        <v>1325.06</v>
      </c>
      <c r="D15" s="142">
        <v>1390.58</v>
      </c>
      <c r="E15" s="365" t="s">
        <v>275</v>
      </c>
      <c r="F15" s="100">
        <f>(C15-D15)/D15*100</f>
        <v>-4.7117030303901952</v>
      </c>
      <c r="G15" s="50" t="s">
        <v>211</v>
      </c>
      <c r="J15"/>
    </row>
    <row r="16" spans="1:15" ht="20.149999999999999" customHeight="1" x14ac:dyDescent="0.35">
      <c r="B16" s="139" t="s">
        <v>193</v>
      </c>
      <c r="C16" s="367">
        <v>872.38</v>
      </c>
      <c r="D16" s="142">
        <v>855.47</v>
      </c>
      <c r="E16" s="366">
        <v>897.42</v>
      </c>
      <c r="F16" s="100">
        <v>1.98</v>
      </c>
      <c r="G16" s="50">
        <v>-2.79</v>
      </c>
      <c r="J16"/>
    </row>
    <row r="17" spans="2:8" ht="20.149999999999999" customHeight="1" x14ac:dyDescent="0.35">
      <c r="B17" s="147" t="s">
        <v>279</v>
      </c>
      <c r="C17" s="161">
        <v>818.33</v>
      </c>
      <c r="D17" s="142" t="s">
        <v>275</v>
      </c>
      <c r="E17" s="363">
        <v>731.7</v>
      </c>
      <c r="F17" s="100" t="s">
        <v>211</v>
      </c>
      <c r="G17" s="101">
        <v>11.84</v>
      </c>
    </row>
    <row r="18" spans="2:8" ht="20.149999999999999" customHeight="1" x14ac:dyDescent="0.35">
      <c r="B18" s="148" t="s">
        <v>276</v>
      </c>
      <c r="C18" s="162">
        <v>1671.1</v>
      </c>
      <c r="D18" s="132">
        <v>1599.14</v>
      </c>
      <c r="E18" s="364">
        <v>1662.14</v>
      </c>
      <c r="F18" s="50">
        <v>4.5</v>
      </c>
      <c r="G18" s="50">
        <v>0.54</v>
      </c>
    </row>
    <row r="19" spans="2:8" ht="20.149999999999999" customHeight="1" x14ac:dyDescent="0.35">
      <c r="B19" s="148" t="s">
        <v>17</v>
      </c>
      <c r="C19" s="162">
        <v>457.28</v>
      </c>
      <c r="D19" s="132">
        <v>503.04</v>
      </c>
      <c r="E19" s="364">
        <v>472.14</v>
      </c>
      <c r="F19" s="100">
        <v>-9.1</v>
      </c>
      <c r="G19" s="50">
        <v>-3.15</v>
      </c>
    </row>
    <row r="20" spans="2:8" ht="20.149999999999999" customHeight="1" x14ac:dyDescent="0.35">
      <c r="B20"/>
      <c r="C20"/>
      <c r="D20"/>
      <c r="E20"/>
      <c r="F20"/>
      <c r="G20"/>
      <c r="H20"/>
    </row>
    <row r="21" spans="2:8" ht="20.149999999999999" customHeight="1" x14ac:dyDescent="0.35">
      <c r="B21" s="505" t="s">
        <v>298</v>
      </c>
      <c r="C21" s="505"/>
      <c r="D21" s="505"/>
      <c r="E21" s="505"/>
      <c r="F21" s="505"/>
      <c r="G21" s="505"/>
      <c r="H21" s="505"/>
    </row>
    <row r="22" spans="2:8" ht="40" customHeight="1" thickBot="1" x14ac:dyDescent="0.4">
      <c r="B22" s="157" t="s">
        <v>333</v>
      </c>
      <c r="C22" s="160" t="s">
        <v>482</v>
      </c>
      <c r="D22" s="160" t="s">
        <v>478</v>
      </c>
      <c r="E22" s="159" t="s">
        <v>479</v>
      </c>
      <c r="F22" s="152" t="s">
        <v>335</v>
      </c>
      <c r="G22" s="152" t="s">
        <v>336</v>
      </c>
    </row>
    <row r="23" spans="2:8" ht="20.149999999999999" customHeight="1" x14ac:dyDescent="0.35">
      <c r="B23" s="48" t="s">
        <v>7</v>
      </c>
      <c r="C23" s="368">
        <v>310.94</v>
      </c>
      <c r="D23" s="142">
        <v>316.67</v>
      </c>
      <c r="E23" s="142">
        <v>367.21</v>
      </c>
      <c r="F23" s="100">
        <v>-1.81</v>
      </c>
      <c r="G23" s="101">
        <v>-15.32</v>
      </c>
    </row>
    <row r="24" spans="2:8" ht="20.149999999999999" customHeight="1" x14ac:dyDescent="0.35">
      <c r="B24" s="147" t="s">
        <v>193</v>
      </c>
      <c r="C24" s="161">
        <v>1635</v>
      </c>
      <c r="D24" s="142">
        <v>1673.85</v>
      </c>
      <c r="E24" s="142">
        <v>1315</v>
      </c>
      <c r="F24" s="100">
        <v>-2.3199999999999998</v>
      </c>
      <c r="G24" s="101">
        <v>24.33</v>
      </c>
    </row>
    <row r="25" spans="2:8" ht="20.149999999999999" customHeight="1" x14ac:dyDescent="0.35">
      <c r="B25" s="147" t="s">
        <v>276</v>
      </c>
      <c r="C25" s="161">
        <v>1428.7</v>
      </c>
      <c r="D25" s="142">
        <v>1550.53</v>
      </c>
      <c r="E25" s="142">
        <v>1329.46</v>
      </c>
      <c r="F25" s="100">
        <v>-7.86</v>
      </c>
      <c r="G25" s="101">
        <v>7.46</v>
      </c>
    </row>
    <row r="26" spans="2:8" ht="20.149999999999999" customHeight="1" x14ac:dyDescent="0.35">
      <c r="B26" s="148" t="s">
        <v>17</v>
      </c>
      <c r="C26" s="162">
        <v>179.02</v>
      </c>
      <c r="D26" s="132">
        <v>177.76</v>
      </c>
      <c r="E26" s="132">
        <v>291.7</v>
      </c>
      <c r="F26" s="43">
        <v>0.71</v>
      </c>
      <c r="G26" s="101">
        <v>-38.630000000000003</v>
      </c>
    </row>
    <row r="27" spans="2:8" ht="20.149999999999999" customHeight="1" x14ac:dyDescent="0.35">
      <c r="B27" s="33"/>
      <c r="C27" s="33"/>
      <c r="D27" s="33"/>
      <c r="E27" s="33"/>
      <c r="F27" s="33"/>
      <c r="G27" s="33"/>
      <c r="H27" s="33"/>
    </row>
    <row r="28" spans="2:8" ht="20.149999999999999" customHeight="1" x14ac:dyDescent="0.35">
      <c r="B28" s="505" t="s">
        <v>299</v>
      </c>
      <c r="C28" s="506"/>
      <c r="D28" s="506"/>
      <c r="E28" s="506"/>
      <c r="F28" s="506"/>
      <c r="G28" s="506"/>
      <c r="H28" s="506"/>
    </row>
    <row r="29" spans="2:8" ht="40" customHeight="1" thickBot="1" x14ac:dyDescent="0.4">
      <c r="B29" s="157" t="s">
        <v>333</v>
      </c>
      <c r="C29" s="160" t="s">
        <v>482</v>
      </c>
      <c r="D29" s="160" t="s">
        <v>478</v>
      </c>
      <c r="E29" s="159" t="s">
        <v>479</v>
      </c>
      <c r="F29" s="152" t="s">
        <v>335</v>
      </c>
      <c r="G29" s="152" t="s">
        <v>336</v>
      </c>
      <c r="H29" s="33"/>
    </row>
    <row r="30" spans="2:8" ht="20.149999999999999" customHeight="1" x14ac:dyDescent="0.35">
      <c r="B30" s="147" t="s">
        <v>7</v>
      </c>
      <c r="C30" s="161" t="s">
        <v>275</v>
      </c>
      <c r="D30" s="142">
        <v>530.32000000000005</v>
      </c>
      <c r="E30" s="363" t="s">
        <v>275</v>
      </c>
      <c r="F30" s="100" t="s">
        <v>211</v>
      </c>
      <c r="G30" s="101" t="s">
        <v>211</v>
      </c>
      <c r="H30" s="33"/>
    </row>
    <row r="31" spans="2:8" s="501" customFormat="1" ht="20.149999999999999" customHeight="1" x14ac:dyDescent="0.35">
      <c r="B31" s="148" t="s">
        <v>434</v>
      </c>
      <c r="C31" s="162">
        <v>451.86</v>
      </c>
      <c r="D31" s="132">
        <v>646.78</v>
      </c>
      <c r="E31" s="364"/>
      <c r="F31" s="43"/>
      <c r="G31" s="50"/>
      <c r="H31" s="500"/>
    </row>
    <row r="32" spans="2:8" s="501" customFormat="1" ht="20.149999999999999" customHeight="1" x14ac:dyDescent="0.35">
      <c r="B32" s="148" t="s">
        <v>193</v>
      </c>
      <c r="C32" s="162">
        <v>953.91</v>
      </c>
      <c r="D32" s="132">
        <v>890.18</v>
      </c>
      <c r="E32" s="364">
        <v>898.6</v>
      </c>
      <c r="F32" s="43">
        <v>7.16</v>
      </c>
      <c r="G32" s="50">
        <v>6.16</v>
      </c>
      <c r="H32" s="500"/>
    </row>
    <row r="33" spans="2:8" ht="20.149999999999999" customHeight="1" x14ac:dyDescent="0.35">
      <c r="B33" s="148" t="s">
        <v>279</v>
      </c>
      <c r="C33" s="162">
        <v>903.64</v>
      </c>
      <c r="D33" s="132">
        <v>869.72</v>
      </c>
      <c r="E33" s="364">
        <v>882.45</v>
      </c>
      <c r="F33" s="43">
        <v>3.9</v>
      </c>
      <c r="G33" s="50">
        <v>2.4</v>
      </c>
      <c r="H33" s="33"/>
    </row>
    <row r="34" spans="2:8" ht="20.149999999999999" customHeight="1" x14ac:dyDescent="0.35">
      <c r="B34" s="148" t="s">
        <v>276</v>
      </c>
      <c r="C34" s="162">
        <v>1922.06</v>
      </c>
      <c r="D34" s="132">
        <v>1617.87</v>
      </c>
      <c r="E34" s="364">
        <v>1965.18</v>
      </c>
      <c r="F34" s="43">
        <v>18.8</v>
      </c>
      <c r="G34" s="50">
        <v>-2.19</v>
      </c>
      <c r="H34" s="33"/>
    </row>
    <row r="35" spans="2:8" ht="20.149999999999999" customHeight="1" x14ac:dyDescent="0.35"/>
    <row r="36" spans="2:8" ht="20.149999999999999" customHeight="1" x14ac:dyDescent="0.35"/>
    <row r="37" spans="2:8" ht="20.149999999999999" customHeight="1" x14ac:dyDescent="0.35"/>
    <row r="38" spans="2:8" ht="20.149999999999999" customHeight="1" x14ac:dyDescent="0.35"/>
    <row r="39" spans="2:8" ht="20.149999999999999" customHeight="1" x14ac:dyDescent="0.35"/>
    <row r="40" spans="2:8" ht="20.149999999999999" customHeight="1" x14ac:dyDescent="0.35"/>
    <row r="41" spans="2:8" ht="20.149999999999999" customHeight="1" x14ac:dyDescent="0.35"/>
    <row r="42" spans="2:8" ht="20.149999999999999" customHeight="1" x14ac:dyDescent="0.35"/>
    <row r="43" spans="2:8" ht="20.149999999999999" customHeight="1" x14ac:dyDescent="0.35"/>
    <row r="44" spans="2:8" ht="20.149999999999999" customHeight="1" x14ac:dyDescent="0.35"/>
    <row r="45" spans="2:8" ht="20.149999999999999" customHeight="1" x14ac:dyDescent="0.35"/>
    <row r="46" spans="2:8" ht="20.149999999999999" customHeight="1" x14ac:dyDescent="0.35"/>
    <row r="47" spans="2:8" ht="20.149999999999999" customHeight="1" x14ac:dyDescent="0.35"/>
    <row r="48" spans="2:8" ht="20.149999999999999" customHeight="1" x14ac:dyDescent="0.35"/>
    <row r="49" ht="20.149999999999999" customHeight="1" x14ac:dyDescent="0.35"/>
  </sheetData>
  <mergeCells count="4">
    <mergeCell ref="B21:H21"/>
    <mergeCell ref="B28:H28"/>
    <mergeCell ref="B12:H12"/>
    <mergeCell ref="B5:H5"/>
  </mergeCells>
  <conditionalFormatting sqref="F7:G10 F30:G30 F33:G34">
    <cfRule type="cellIs" dxfId="44" priority="34" stopIfTrue="1" operator="equal">
      <formula>"-"</formula>
    </cfRule>
    <cfRule type="cellIs" dxfId="43" priority="35" operator="greaterThan">
      <formula>0</formula>
    </cfRule>
    <cfRule type="cellIs" dxfId="42" priority="36" operator="lessThan">
      <formula>0</formula>
    </cfRule>
  </conditionalFormatting>
  <conditionalFormatting sqref="F14:G19">
    <cfRule type="cellIs" dxfId="41" priority="13" stopIfTrue="1" operator="equal">
      <formula>"-"</formula>
    </cfRule>
    <cfRule type="cellIs" dxfId="40" priority="14" operator="greaterThan">
      <formula>0</formula>
    </cfRule>
    <cfRule type="cellIs" dxfId="39" priority="15" operator="lessThan">
      <formula>0</formula>
    </cfRule>
  </conditionalFormatting>
  <conditionalFormatting sqref="F23:G26">
    <cfRule type="cellIs" dxfId="38" priority="37" stopIfTrue="1" operator="equal">
      <formula>"-"</formula>
    </cfRule>
    <cfRule type="cellIs" dxfId="37" priority="38" operator="greaterThan">
      <formula>0</formula>
    </cfRule>
    <cfRule type="cellIs" dxfId="36" priority="39" operator="lessThan">
      <formula>0</formula>
    </cfRule>
  </conditionalFormatting>
  <conditionalFormatting sqref="F31:G32">
    <cfRule type="cellIs" dxfId="35" priority="1" stopIfTrue="1" operator="equal">
      <formula>"-"</formula>
    </cfRule>
    <cfRule type="cellIs" dxfId="34" priority="2" operator="greaterThan">
      <formula>0</formula>
    </cfRule>
    <cfRule type="cellIs" dxfId="33" priority="3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M72"/>
  <sheetViews>
    <sheetView showGridLines="0" topLeftCell="A52" workbookViewId="0">
      <selection activeCell="B63" sqref="B63:C63"/>
    </sheetView>
  </sheetViews>
  <sheetFormatPr defaultColWidth="9.1796875" defaultRowHeight="15.5" x14ac:dyDescent="0.35"/>
  <cols>
    <col min="1" max="20" width="10.7265625" style="77" customWidth="1"/>
    <col min="21" max="16384" width="9.1796875" style="77"/>
  </cols>
  <sheetData>
    <row r="1" spans="1:13" s="53" customFormat="1" ht="25" customHeight="1" x14ac:dyDescent="0.35">
      <c r="B1" s="77"/>
      <c r="D1" s="54"/>
      <c r="H1" s="55"/>
      <c r="I1" s="56"/>
    </row>
    <row r="2" spans="1:13" s="53" customFormat="1" ht="25" customHeight="1" x14ac:dyDescent="0.25">
      <c r="A2" s="307"/>
      <c r="B2" s="58" t="s">
        <v>200</v>
      </c>
      <c r="C2" s="340"/>
      <c r="D2" s="340"/>
      <c r="E2" s="340"/>
      <c r="F2" s="340"/>
      <c r="G2" s="340"/>
      <c r="H2" s="55"/>
      <c r="I2" s="55"/>
      <c r="J2" s="55"/>
      <c r="L2" s="55"/>
    </row>
    <row r="3" spans="1:13" s="53" customFormat="1" ht="25" customHeight="1" thickBot="1" x14ac:dyDescent="0.3">
      <c r="B3" s="61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</row>
    <row r="4" spans="1:13" s="53" customFormat="1" ht="25" customHeight="1" thickTop="1" x14ac:dyDescent="0.3">
      <c r="B4" s="70"/>
      <c r="C4" s="71"/>
      <c r="D4" s="72"/>
      <c r="E4" s="145"/>
      <c r="F4" s="341"/>
      <c r="G4" s="341"/>
      <c r="H4" s="308"/>
      <c r="I4" s="75"/>
      <c r="K4" s="76"/>
      <c r="L4" s="55"/>
      <c r="M4" s="240" t="str">
        <f>POMOC!B5</f>
        <v>Notowania 09.03 - 18.03.2026 / Tydzień 10</v>
      </c>
    </row>
    <row r="5" spans="1:13" ht="20.149999999999999" customHeight="1" x14ac:dyDescent="0.35"/>
    <row r="6" spans="1:13" ht="20.149999999999999" customHeight="1" x14ac:dyDescent="0.35"/>
    <row r="7" spans="1:13" ht="20.149999999999999" customHeight="1" x14ac:dyDescent="0.35"/>
    <row r="8" spans="1:13" ht="20.149999999999999" customHeight="1" x14ac:dyDescent="0.35"/>
    <row r="9" spans="1:13" ht="20.149999999999999" customHeight="1" x14ac:dyDescent="0.35"/>
    <row r="10" spans="1:13" ht="20.149999999999999" customHeight="1" x14ac:dyDescent="0.35"/>
    <row r="11" spans="1:13" ht="20.149999999999999" customHeight="1" x14ac:dyDescent="0.35"/>
    <row r="12" spans="1:13" ht="20.149999999999999" customHeight="1" x14ac:dyDescent="0.35"/>
    <row r="13" spans="1:13" ht="20.149999999999999" customHeight="1" x14ac:dyDescent="0.35"/>
    <row r="14" spans="1:13" ht="20.149999999999999" customHeight="1" x14ac:dyDescent="0.35"/>
    <row r="15" spans="1:13" ht="20.149999999999999" customHeight="1" x14ac:dyDescent="0.35"/>
    <row r="16" spans="1:13" ht="20.149999999999999" customHeight="1" x14ac:dyDescent="0.35"/>
    <row r="17" ht="20.149999999999999" customHeight="1" x14ac:dyDescent="0.35"/>
    <row r="18" ht="20.149999999999999" customHeight="1" x14ac:dyDescent="0.35"/>
    <row r="19" ht="20.149999999999999" customHeight="1" x14ac:dyDescent="0.35"/>
    <row r="20" ht="20.149999999999999" customHeight="1" x14ac:dyDescent="0.35"/>
    <row r="21" ht="20.149999999999999" customHeight="1" x14ac:dyDescent="0.35"/>
    <row r="22" ht="20.149999999999999" customHeight="1" x14ac:dyDescent="0.35"/>
    <row r="23" ht="20.149999999999999" customHeight="1" x14ac:dyDescent="0.35"/>
    <row r="24" ht="20.149999999999999" customHeight="1" x14ac:dyDescent="0.35"/>
    <row r="25" ht="20.149999999999999" customHeight="1" x14ac:dyDescent="0.35"/>
    <row r="26" ht="20.149999999999999" customHeight="1" x14ac:dyDescent="0.35"/>
    <row r="27" ht="20.149999999999999" customHeight="1" x14ac:dyDescent="0.35"/>
    <row r="28" ht="20.149999999999999" customHeight="1" x14ac:dyDescent="0.35"/>
    <row r="63" spans="1:4" x14ac:dyDescent="0.35">
      <c r="A63" s="342"/>
      <c r="B63" s="343">
        <v>46096</v>
      </c>
      <c r="C63" s="343">
        <v>46089</v>
      </c>
      <c r="D63" s="344"/>
    </row>
    <row r="64" spans="1:4" x14ac:dyDescent="0.35">
      <c r="A64" s="342" t="s">
        <v>195</v>
      </c>
      <c r="B64" s="345">
        <v>3.4468000000000001</v>
      </c>
      <c r="C64" s="345">
        <v>3.4159000000000002</v>
      </c>
      <c r="D64" s="344"/>
    </row>
    <row r="65" spans="1:10" x14ac:dyDescent="0.35">
      <c r="A65" s="342" t="s">
        <v>196</v>
      </c>
      <c r="B65" s="345">
        <v>3.1718999999999999</v>
      </c>
      <c r="C65" s="345">
        <v>3.2921999999999998</v>
      </c>
      <c r="D65" s="344"/>
    </row>
    <row r="66" spans="1:10" x14ac:dyDescent="0.35">
      <c r="A66" s="342" t="s">
        <v>197</v>
      </c>
      <c r="B66" s="345">
        <v>2.9011999999999998</v>
      </c>
      <c r="C66" s="345">
        <v>3.0478000000000001</v>
      </c>
      <c r="D66" s="346"/>
      <c r="G66" s="53"/>
      <c r="H66" s="53"/>
      <c r="I66" s="53"/>
      <c r="J66" s="53"/>
    </row>
    <row r="67" spans="1:10" x14ac:dyDescent="0.35">
      <c r="A67" s="345" t="s">
        <v>194</v>
      </c>
      <c r="B67" s="345">
        <v>2.5804999999999998</v>
      </c>
      <c r="C67" s="345">
        <v>2.625</v>
      </c>
      <c r="D67" s="346"/>
      <c r="G67" s="53"/>
      <c r="H67" s="53"/>
      <c r="I67" s="53"/>
      <c r="J67" s="53"/>
    </row>
    <row r="68" spans="1:10" x14ac:dyDescent="0.35">
      <c r="A68" s="342" t="s">
        <v>173</v>
      </c>
      <c r="B68" s="345">
        <v>3.0244</v>
      </c>
      <c r="C68" s="345">
        <v>3.11</v>
      </c>
      <c r="G68" s="53"/>
      <c r="H68" s="53"/>
      <c r="I68" s="53"/>
      <c r="J68" s="53"/>
    </row>
    <row r="69" spans="1:10" x14ac:dyDescent="0.35">
      <c r="A69" s="342" t="s">
        <v>174</v>
      </c>
      <c r="B69" s="345">
        <v>2.8206000000000002</v>
      </c>
      <c r="C69" s="345">
        <v>2.9224999999999999</v>
      </c>
      <c r="G69" s="53"/>
      <c r="H69" s="53"/>
      <c r="I69" s="53"/>
      <c r="J69" s="53"/>
    </row>
    <row r="70" spans="1:10" x14ac:dyDescent="0.35">
      <c r="G70" s="53"/>
      <c r="H70" s="53"/>
      <c r="I70" s="53"/>
      <c r="J70" s="53"/>
    </row>
    <row r="71" spans="1:10" x14ac:dyDescent="0.35">
      <c r="G71" s="53"/>
      <c r="H71" s="53"/>
      <c r="I71" s="53"/>
      <c r="J71" s="53"/>
    </row>
    <row r="72" spans="1:10" x14ac:dyDescent="0.35">
      <c r="G72" s="53"/>
      <c r="H72" s="53"/>
      <c r="I72" s="53"/>
      <c r="J72" s="53"/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M64"/>
  <sheetViews>
    <sheetView showGridLines="0" topLeftCell="A4" workbookViewId="0">
      <selection activeCell="F61" sqref="F61"/>
    </sheetView>
  </sheetViews>
  <sheetFormatPr defaultColWidth="9.1796875" defaultRowHeight="15.5" x14ac:dyDescent="0.35"/>
  <cols>
    <col min="1" max="1" width="10.7265625" style="77" customWidth="1"/>
    <col min="2" max="2" width="12.7265625" style="77" customWidth="1"/>
    <col min="3" max="3" width="11.54296875" style="77" bestFit="1" customWidth="1"/>
    <col min="4" max="4" width="10.1796875" style="77" bestFit="1" customWidth="1"/>
    <col min="5" max="16384" width="9.1796875" style="77"/>
  </cols>
  <sheetData>
    <row r="1" spans="1:13" s="53" customFormat="1" ht="25" customHeight="1" x14ac:dyDescent="0.35">
      <c r="B1" s="77"/>
      <c r="D1" s="54"/>
      <c r="H1" s="55"/>
      <c r="I1" s="56"/>
    </row>
    <row r="2" spans="1:13" s="53" customFormat="1" ht="25" customHeight="1" x14ac:dyDescent="0.25">
      <c r="A2" s="307"/>
      <c r="B2" s="58" t="s">
        <v>199</v>
      </c>
      <c r="C2" s="340"/>
      <c r="D2" s="340"/>
      <c r="E2" s="340"/>
      <c r="F2" s="340"/>
      <c r="G2" s="340"/>
      <c r="H2" s="55"/>
      <c r="I2" s="55"/>
      <c r="J2" s="55"/>
      <c r="L2" s="55"/>
    </row>
    <row r="3" spans="1:13" s="53" customFormat="1" ht="25" customHeight="1" thickBot="1" x14ac:dyDescent="0.3">
      <c r="B3" s="61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</row>
    <row r="4" spans="1:13" s="53" customFormat="1" ht="25" customHeight="1" thickTop="1" x14ac:dyDescent="0.3">
      <c r="B4" s="70"/>
      <c r="C4" s="71"/>
      <c r="D4" s="72"/>
      <c r="E4" s="145"/>
      <c r="F4" s="341"/>
      <c r="G4" s="341"/>
      <c r="H4" s="308"/>
      <c r="I4" s="75"/>
      <c r="K4" s="76"/>
      <c r="L4" s="55"/>
      <c r="M4" s="240" t="str">
        <f>POMOC!B5</f>
        <v>Notowania 09.03 - 18.03.2026 / Tydzień 10</v>
      </c>
    </row>
    <row r="60" spans="1:5" x14ac:dyDescent="0.35">
      <c r="A60" s="342"/>
      <c r="B60" s="343">
        <v>46096</v>
      </c>
      <c r="C60" s="343">
        <v>46089</v>
      </c>
      <c r="D60" s="344"/>
    </row>
    <row r="61" spans="1:5" x14ac:dyDescent="0.35">
      <c r="A61" s="342" t="s">
        <v>7</v>
      </c>
      <c r="B61" s="345">
        <v>2.0193500000000002</v>
      </c>
      <c r="C61" s="345">
        <v>2.3102</v>
      </c>
      <c r="D61" s="346"/>
      <c r="E61" s="344"/>
    </row>
    <row r="62" spans="1:5" x14ac:dyDescent="0.35">
      <c r="A62" s="342" t="s">
        <v>193</v>
      </c>
      <c r="B62" s="345">
        <v>17.5823</v>
      </c>
      <c r="C62" s="345">
        <v>16.052700000000002</v>
      </c>
      <c r="D62" s="346"/>
      <c r="E62" s="346"/>
    </row>
    <row r="63" spans="1:5" x14ac:dyDescent="0.35">
      <c r="A63" s="342" t="s">
        <v>17</v>
      </c>
      <c r="B63" s="345">
        <v>1.1516999999999999</v>
      </c>
      <c r="C63" s="345">
        <v>1.1083000000000001</v>
      </c>
      <c r="E63" s="346"/>
    </row>
    <row r="64" spans="1:5" x14ac:dyDescent="0.35">
      <c r="E64" s="346"/>
    </row>
  </sheetData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showGridLines="0" zoomScale="75" zoomScaleNormal="75" workbookViewId="0">
      <selection activeCell="K38" sqref="K38"/>
    </sheetView>
  </sheetViews>
  <sheetFormatPr defaultColWidth="8.81640625" defaultRowHeight="13" x14ac:dyDescent="0.3"/>
  <cols>
    <col min="1" max="1" width="10.7265625" style="24" customWidth="1"/>
    <col min="2" max="2" width="20.1796875" style="17" bestFit="1" customWidth="1"/>
    <col min="3" max="3" width="13.7265625" style="17" customWidth="1"/>
    <col min="4" max="4" width="15.26953125" style="17" customWidth="1"/>
    <col min="5" max="5" width="13.7265625" style="17" customWidth="1"/>
    <col min="6" max="6" width="15.54296875" style="17" customWidth="1"/>
    <col min="7" max="7" width="14.54296875" style="17" customWidth="1"/>
    <col min="8" max="8" width="13.7265625" style="17" customWidth="1"/>
    <col min="9" max="9" width="15.1796875" style="17" customWidth="1"/>
    <col min="10" max="10" width="16" style="17" customWidth="1"/>
    <col min="11" max="11" width="19" style="17" customWidth="1"/>
    <col min="12" max="13" width="11.81640625" style="17" customWidth="1"/>
    <col min="14" max="256" width="8.81640625" style="17"/>
    <col min="257" max="257" width="18.7265625" style="17" bestFit="1" customWidth="1"/>
    <col min="258" max="258" width="17.26953125" style="17" customWidth="1"/>
    <col min="259" max="259" width="13.7265625" style="17" customWidth="1"/>
    <col min="260" max="260" width="15.26953125" style="17" customWidth="1"/>
    <col min="261" max="261" width="13.7265625" style="17" customWidth="1"/>
    <col min="262" max="262" width="15.54296875" style="17" customWidth="1"/>
    <col min="263" max="263" width="14.54296875" style="17" customWidth="1"/>
    <col min="264" max="264" width="13.7265625" style="17" customWidth="1"/>
    <col min="265" max="265" width="15.1796875" style="17" customWidth="1"/>
    <col min="266" max="266" width="16" style="17" customWidth="1"/>
    <col min="267" max="267" width="19" style="17" customWidth="1"/>
    <col min="268" max="269" width="11.81640625" style="17" customWidth="1"/>
    <col min="270" max="512" width="8.81640625" style="17"/>
    <col min="513" max="513" width="18.7265625" style="17" bestFit="1" customWidth="1"/>
    <col min="514" max="514" width="17.26953125" style="17" customWidth="1"/>
    <col min="515" max="515" width="13.7265625" style="17" customWidth="1"/>
    <col min="516" max="516" width="15.26953125" style="17" customWidth="1"/>
    <col min="517" max="517" width="13.7265625" style="17" customWidth="1"/>
    <col min="518" max="518" width="15.54296875" style="17" customWidth="1"/>
    <col min="519" max="519" width="14.54296875" style="17" customWidth="1"/>
    <col min="520" max="520" width="13.7265625" style="17" customWidth="1"/>
    <col min="521" max="521" width="15.1796875" style="17" customWidth="1"/>
    <col min="522" max="522" width="16" style="17" customWidth="1"/>
    <col min="523" max="523" width="19" style="17" customWidth="1"/>
    <col min="524" max="525" width="11.81640625" style="17" customWidth="1"/>
    <col min="526" max="768" width="8.81640625" style="17"/>
    <col min="769" max="769" width="18.7265625" style="17" bestFit="1" customWidth="1"/>
    <col min="770" max="770" width="17.26953125" style="17" customWidth="1"/>
    <col min="771" max="771" width="13.7265625" style="17" customWidth="1"/>
    <col min="772" max="772" width="15.26953125" style="17" customWidth="1"/>
    <col min="773" max="773" width="13.7265625" style="17" customWidth="1"/>
    <col min="774" max="774" width="15.54296875" style="17" customWidth="1"/>
    <col min="775" max="775" width="14.54296875" style="17" customWidth="1"/>
    <col min="776" max="776" width="13.7265625" style="17" customWidth="1"/>
    <col min="777" max="777" width="15.1796875" style="17" customWidth="1"/>
    <col min="778" max="778" width="16" style="17" customWidth="1"/>
    <col min="779" max="779" width="19" style="17" customWidth="1"/>
    <col min="780" max="781" width="11.81640625" style="17" customWidth="1"/>
    <col min="782" max="1024" width="8.81640625" style="17"/>
    <col min="1025" max="1025" width="18.7265625" style="17" bestFit="1" customWidth="1"/>
    <col min="1026" max="1026" width="17.26953125" style="17" customWidth="1"/>
    <col min="1027" max="1027" width="13.7265625" style="17" customWidth="1"/>
    <col min="1028" max="1028" width="15.26953125" style="17" customWidth="1"/>
    <col min="1029" max="1029" width="13.7265625" style="17" customWidth="1"/>
    <col min="1030" max="1030" width="15.54296875" style="17" customWidth="1"/>
    <col min="1031" max="1031" width="14.54296875" style="17" customWidth="1"/>
    <col min="1032" max="1032" width="13.7265625" style="17" customWidth="1"/>
    <col min="1033" max="1033" width="15.1796875" style="17" customWidth="1"/>
    <col min="1034" max="1034" width="16" style="17" customWidth="1"/>
    <col min="1035" max="1035" width="19" style="17" customWidth="1"/>
    <col min="1036" max="1037" width="11.81640625" style="17" customWidth="1"/>
    <col min="1038" max="1280" width="8.81640625" style="17"/>
    <col min="1281" max="1281" width="18.7265625" style="17" bestFit="1" customWidth="1"/>
    <col min="1282" max="1282" width="17.26953125" style="17" customWidth="1"/>
    <col min="1283" max="1283" width="13.7265625" style="17" customWidth="1"/>
    <col min="1284" max="1284" width="15.26953125" style="17" customWidth="1"/>
    <col min="1285" max="1285" width="13.7265625" style="17" customWidth="1"/>
    <col min="1286" max="1286" width="15.54296875" style="17" customWidth="1"/>
    <col min="1287" max="1287" width="14.54296875" style="17" customWidth="1"/>
    <col min="1288" max="1288" width="13.7265625" style="17" customWidth="1"/>
    <col min="1289" max="1289" width="15.1796875" style="17" customWidth="1"/>
    <col min="1290" max="1290" width="16" style="17" customWidth="1"/>
    <col min="1291" max="1291" width="19" style="17" customWidth="1"/>
    <col min="1292" max="1293" width="11.81640625" style="17" customWidth="1"/>
    <col min="1294" max="1536" width="8.81640625" style="17"/>
    <col min="1537" max="1537" width="18.7265625" style="17" bestFit="1" customWidth="1"/>
    <col min="1538" max="1538" width="17.26953125" style="17" customWidth="1"/>
    <col min="1539" max="1539" width="13.7265625" style="17" customWidth="1"/>
    <col min="1540" max="1540" width="15.26953125" style="17" customWidth="1"/>
    <col min="1541" max="1541" width="13.7265625" style="17" customWidth="1"/>
    <col min="1542" max="1542" width="15.54296875" style="17" customWidth="1"/>
    <col min="1543" max="1543" width="14.54296875" style="17" customWidth="1"/>
    <col min="1544" max="1544" width="13.7265625" style="17" customWidth="1"/>
    <col min="1545" max="1545" width="15.1796875" style="17" customWidth="1"/>
    <col min="1546" max="1546" width="16" style="17" customWidth="1"/>
    <col min="1547" max="1547" width="19" style="17" customWidth="1"/>
    <col min="1548" max="1549" width="11.81640625" style="17" customWidth="1"/>
    <col min="1550" max="1792" width="8.81640625" style="17"/>
    <col min="1793" max="1793" width="18.7265625" style="17" bestFit="1" customWidth="1"/>
    <col min="1794" max="1794" width="17.26953125" style="17" customWidth="1"/>
    <col min="1795" max="1795" width="13.7265625" style="17" customWidth="1"/>
    <col min="1796" max="1796" width="15.26953125" style="17" customWidth="1"/>
    <col min="1797" max="1797" width="13.7265625" style="17" customWidth="1"/>
    <col min="1798" max="1798" width="15.54296875" style="17" customWidth="1"/>
    <col min="1799" max="1799" width="14.54296875" style="17" customWidth="1"/>
    <col min="1800" max="1800" width="13.7265625" style="17" customWidth="1"/>
    <col min="1801" max="1801" width="15.1796875" style="17" customWidth="1"/>
    <col min="1802" max="1802" width="16" style="17" customWidth="1"/>
    <col min="1803" max="1803" width="19" style="17" customWidth="1"/>
    <col min="1804" max="1805" width="11.81640625" style="17" customWidth="1"/>
    <col min="1806" max="2048" width="8.81640625" style="17"/>
    <col min="2049" max="2049" width="18.7265625" style="17" bestFit="1" customWidth="1"/>
    <col min="2050" max="2050" width="17.26953125" style="17" customWidth="1"/>
    <col min="2051" max="2051" width="13.7265625" style="17" customWidth="1"/>
    <col min="2052" max="2052" width="15.26953125" style="17" customWidth="1"/>
    <col min="2053" max="2053" width="13.7265625" style="17" customWidth="1"/>
    <col min="2054" max="2054" width="15.54296875" style="17" customWidth="1"/>
    <col min="2055" max="2055" width="14.54296875" style="17" customWidth="1"/>
    <col min="2056" max="2056" width="13.7265625" style="17" customWidth="1"/>
    <col min="2057" max="2057" width="15.1796875" style="17" customWidth="1"/>
    <col min="2058" max="2058" width="16" style="17" customWidth="1"/>
    <col min="2059" max="2059" width="19" style="17" customWidth="1"/>
    <col min="2060" max="2061" width="11.81640625" style="17" customWidth="1"/>
    <col min="2062" max="2304" width="8.81640625" style="17"/>
    <col min="2305" max="2305" width="18.7265625" style="17" bestFit="1" customWidth="1"/>
    <col min="2306" max="2306" width="17.26953125" style="17" customWidth="1"/>
    <col min="2307" max="2307" width="13.7265625" style="17" customWidth="1"/>
    <col min="2308" max="2308" width="15.26953125" style="17" customWidth="1"/>
    <col min="2309" max="2309" width="13.7265625" style="17" customWidth="1"/>
    <col min="2310" max="2310" width="15.54296875" style="17" customWidth="1"/>
    <col min="2311" max="2311" width="14.54296875" style="17" customWidth="1"/>
    <col min="2312" max="2312" width="13.7265625" style="17" customWidth="1"/>
    <col min="2313" max="2313" width="15.1796875" style="17" customWidth="1"/>
    <col min="2314" max="2314" width="16" style="17" customWidth="1"/>
    <col min="2315" max="2315" width="19" style="17" customWidth="1"/>
    <col min="2316" max="2317" width="11.81640625" style="17" customWidth="1"/>
    <col min="2318" max="2560" width="8.81640625" style="17"/>
    <col min="2561" max="2561" width="18.7265625" style="17" bestFit="1" customWidth="1"/>
    <col min="2562" max="2562" width="17.26953125" style="17" customWidth="1"/>
    <col min="2563" max="2563" width="13.7265625" style="17" customWidth="1"/>
    <col min="2564" max="2564" width="15.26953125" style="17" customWidth="1"/>
    <col min="2565" max="2565" width="13.7265625" style="17" customWidth="1"/>
    <col min="2566" max="2566" width="15.54296875" style="17" customWidth="1"/>
    <col min="2567" max="2567" width="14.54296875" style="17" customWidth="1"/>
    <col min="2568" max="2568" width="13.7265625" style="17" customWidth="1"/>
    <col min="2569" max="2569" width="15.1796875" style="17" customWidth="1"/>
    <col min="2570" max="2570" width="16" style="17" customWidth="1"/>
    <col min="2571" max="2571" width="19" style="17" customWidth="1"/>
    <col min="2572" max="2573" width="11.81640625" style="17" customWidth="1"/>
    <col min="2574" max="2816" width="8.81640625" style="17"/>
    <col min="2817" max="2817" width="18.7265625" style="17" bestFit="1" customWidth="1"/>
    <col min="2818" max="2818" width="17.26953125" style="17" customWidth="1"/>
    <col min="2819" max="2819" width="13.7265625" style="17" customWidth="1"/>
    <col min="2820" max="2820" width="15.26953125" style="17" customWidth="1"/>
    <col min="2821" max="2821" width="13.7265625" style="17" customWidth="1"/>
    <col min="2822" max="2822" width="15.54296875" style="17" customWidth="1"/>
    <col min="2823" max="2823" width="14.54296875" style="17" customWidth="1"/>
    <col min="2824" max="2824" width="13.7265625" style="17" customWidth="1"/>
    <col min="2825" max="2825" width="15.1796875" style="17" customWidth="1"/>
    <col min="2826" max="2826" width="16" style="17" customWidth="1"/>
    <col min="2827" max="2827" width="19" style="17" customWidth="1"/>
    <col min="2828" max="2829" width="11.81640625" style="17" customWidth="1"/>
    <col min="2830" max="3072" width="8.81640625" style="17"/>
    <col min="3073" max="3073" width="18.7265625" style="17" bestFit="1" customWidth="1"/>
    <col min="3074" max="3074" width="17.26953125" style="17" customWidth="1"/>
    <col min="3075" max="3075" width="13.7265625" style="17" customWidth="1"/>
    <col min="3076" max="3076" width="15.26953125" style="17" customWidth="1"/>
    <col min="3077" max="3077" width="13.7265625" style="17" customWidth="1"/>
    <col min="3078" max="3078" width="15.54296875" style="17" customWidth="1"/>
    <col min="3079" max="3079" width="14.54296875" style="17" customWidth="1"/>
    <col min="3080" max="3080" width="13.7265625" style="17" customWidth="1"/>
    <col min="3081" max="3081" width="15.1796875" style="17" customWidth="1"/>
    <col min="3082" max="3082" width="16" style="17" customWidth="1"/>
    <col min="3083" max="3083" width="19" style="17" customWidth="1"/>
    <col min="3084" max="3085" width="11.81640625" style="17" customWidth="1"/>
    <col min="3086" max="3328" width="8.81640625" style="17"/>
    <col min="3329" max="3329" width="18.7265625" style="17" bestFit="1" customWidth="1"/>
    <col min="3330" max="3330" width="17.26953125" style="17" customWidth="1"/>
    <col min="3331" max="3331" width="13.7265625" style="17" customWidth="1"/>
    <col min="3332" max="3332" width="15.26953125" style="17" customWidth="1"/>
    <col min="3333" max="3333" width="13.7265625" style="17" customWidth="1"/>
    <col min="3334" max="3334" width="15.54296875" style="17" customWidth="1"/>
    <col min="3335" max="3335" width="14.54296875" style="17" customWidth="1"/>
    <col min="3336" max="3336" width="13.7265625" style="17" customWidth="1"/>
    <col min="3337" max="3337" width="15.1796875" style="17" customWidth="1"/>
    <col min="3338" max="3338" width="16" style="17" customWidth="1"/>
    <col min="3339" max="3339" width="19" style="17" customWidth="1"/>
    <col min="3340" max="3341" width="11.81640625" style="17" customWidth="1"/>
    <col min="3342" max="3584" width="8.81640625" style="17"/>
    <col min="3585" max="3585" width="18.7265625" style="17" bestFit="1" customWidth="1"/>
    <col min="3586" max="3586" width="17.26953125" style="17" customWidth="1"/>
    <col min="3587" max="3587" width="13.7265625" style="17" customWidth="1"/>
    <col min="3588" max="3588" width="15.26953125" style="17" customWidth="1"/>
    <col min="3589" max="3589" width="13.7265625" style="17" customWidth="1"/>
    <col min="3590" max="3590" width="15.54296875" style="17" customWidth="1"/>
    <col min="3591" max="3591" width="14.54296875" style="17" customWidth="1"/>
    <col min="3592" max="3592" width="13.7265625" style="17" customWidth="1"/>
    <col min="3593" max="3593" width="15.1796875" style="17" customWidth="1"/>
    <col min="3594" max="3594" width="16" style="17" customWidth="1"/>
    <col min="3595" max="3595" width="19" style="17" customWidth="1"/>
    <col min="3596" max="3597" width="11.81640625" style="17" customWidth="1"/>
    <col min="3598" max="3840" width="8.81640625" style="17"/>
    <col min="3841" max="3841" width="18.7265625" style="17" bestFit="1" customWidth="1"/>
    <col min="3842" max="3842" width="17.26953125" style="17" customWidth="1"/>
    <col min="3843" max="3843" width="13.7265625" style="17" customWidth="1"/>
    <col min="3844" max="3844" width="15.26953125" style="17" customWidth="1"/>
    <col min="3845" max="3845" width="13.7265625" style="17" customWidth="1"/>
    <col min="3846" max="3846" width="15.54296875" style="17" customWidth="1"/>
    <col min="3847" max="3847" width="14.54296875" style="17" customWidth="1"/>
    <col min="3848" max="3848" width="13.7265625" style="17" customWidth="1"/>
    <col min="3849" max="3849" width="15.1796875" style="17" customWidth="1"/>
    <col min="3850" max="3850" width="16" style="17" customWidth="1"/>
    <col min="3851" max="3851" width="19" style="17" customWidth="1"/>
    <col min="3852" max="3853" width="11.81640625" style="17" customWidth="1"/>
    <col min="3854" max="4096" width="8.81640625" style="17"/>
    <col min="4097" max="4097" width="18.7265625" style="17" bestFit="1" customWidth="1"/>
    <col min="4098" max="4098" width="17.26953125" style="17" customWidth="1"/>
    <col min="4099" max="4099" width="13.7265625" style="17" customWidth="1"/>
    <col min="4100" max="4100" width="15.26953125" style="17" customWidth="1"/>
    <col min="4101" max="4101" width="13.7265625" style="17" customWidth="1"/>
    <col min="4102" max="4102" width="15.54296875" style="17" customWidth="1"/>
    <col min="4103" max="4103" width="14.54296875" style="17" customWidth="1"/>
    <col min="4104" max="4104" width="13.7265625" style="17" customWidth="1"/>
    <col min="4105" max="4105" width="15.1796875" style="17" customWidth="1"/>
    <col min="4106" max="4106" width="16" style="17" customWidth="1"/>
    <col min="4107" max="4107" width="19" style="17" customWidth="1"/>
    <col min="4108" max="4109" width="11.81640625" style="17" customWidth="1"/>
    <col min="4110" max="4352" width="8.81640625" style="17"/>
    <col min="4353" max="4353" width="18.7265625" style="17" bestFit="1" customWidth="1"/>
    <col min="4354" max="4354" width="17.26953125" style="17" customWidth="1"/>
    <col min="4355" max="4355" width="13.7265625" style="17" customWidth="1"/>
    <col min="4356" max="4356" width="15.26953125" style="17" customWidth="1"/>
    <col min="4357" max="4357" width="13.7265625" style="17" customWidth="1"/>
    <col min="4358" max="4358" width="15.54296875" style="17" customWidth="1"/>
    <col min="4359" max="4359" width="14.54296875" style="17" customWidth="1"/>
    <col min="4360" max="4360" width="13.7265625" style="17" customWidth="1"/>
    <col min="4361" max="4361" width="15.1796875" style="17" customWidth="1"/>
    <col min="4362" max="4362" width="16" style="17" customWidth="1"/>
    <col min="4363" max="4363" width="19" style="17" customWidth="1"/>
    <col min="4364" max="4365" width="11.81640625" style="17" customWidth="1"/>
    <col min="4366" max="4608" width="8.81640625" style="17"/>
    <col min="4609" max="4609" width="18.7265625" style="17" bestFit="1" customWidth="1"/>
    <col min="4610" max="4610" width="17.26953125" style="17" customWidth="1"/>
    <col min="4611" max="4611" width="13.7265625" style="17" customWidth="1"/>
    <col min="4612" max="4612" width="15.26953125" style="17" customWidth="1"/>
    <col min="4613" max="4613" width="13.7265625" style="17" customWidth="1"/>
    <col min="4614" max="4614" width="15.54296875" style="17" customWidth="1"/>
    <col min="4615" max="4615" width="14.54296875" style="17" customWidth="1"/>
    <col min="4616" max="4616" width="13.7265625" style="17" customWidth="1"/>
    <col min="4617" max="4617" width="15.1796875" style="17" customWidth="1"/>
    <col min="4618" max="4618" width="16" style="17" customWidth="1"/>
    <col min="4619" max="4619" width="19" style="17" customWidth="1"/>
    <col min="4620" max="4621" width="11.81640625" style="17" customWidth="1"/>
    <col min="4622" max="4864" width="8.81640625" style="17"/>
    <col min="4865" max="4865" width="18.7265625" style="17" bestFit="1" customWidth="1"/>
    <col min="4866" max="4866" width="17.26953125" style="17" customWidth="1"/>
    <col min="4867" max="4867" width="13.7265625" style="17" customWidth="1"/>
    <col min="4868" max="4868" width="15.26953125" style="17" customWidth="1"/>
    <col min="4869" max="4869" width="13.7265625" style="17" customWidth="1"/>
    <col min="4870" max="4870" width="15.54296875" style="17" customWidth="1"/>
    <col min="4871" max="4871" width="14.54296875" style="17" customWidth="1"/>
    <col min="4872" max="4872" width="13.7265625" style="17" customWidth="1"/>
    <col min="4873" max="4873" width="15.1796875" style="17" customWidth="1"/>
    <col min="4874" max="4874" width="16" style="17" customWidth="1"/>
    <col min="4875" max="4875" width="19" style="17" customWidth="1"/>
    <col min="4876" max="4877" width="11.81640625" style="17" customWidth="1"/>
    <col min="4878" max="5120" width="8.81640625" style="17"/>
    <col min="5121" max="5121" width="18.7265625" style="17" bestFit="1" customWidth="1"/>
    <col min="5122" max="5122" width="17.26953125" style="17" customWidth="1"/>
    <col min="5123" max="5123" width="13.7265625" style="17" customWidth="1"/>
    <col min="5124" max="5124" width="15.26953125" style="17" customWidth="1"/>
    <col min="5125" max="5125" width="13.7265625" style="17" customWidth="1"/>
    <col min="5126" max="5126" width="15.54296875" style="17" customWidth="1"/>
    <col min="5127" max="5127" width="14.54296875" style="17" customWidth="1"/>
    <col min="5128" max="5128" width="13.7265625" style="17" customWidth="1"/>
    <col min="5129" max="5129" width="15.1796875" style="17" customWidth="1"/>
    <col min="5130" max="5130" width="16" style="17" customWidth="1"/>
    <col min="5131" max="5131" width="19" style="17" customWidth="1"/>
    <col min="5132" max="5133" width="11.81640625" style="17" customWidth="1"/>
    <col min="5134" max="5376" width="8.81640625" style="17"/>
    <col min="5377" max="5377" width="18.7265625" style="17" bestFit="1" customWidth="1"/>
    <col min="5378" max="5378" width="17.26953125" style="17" customWidth="1"/>
    <col min="5379" max="5379" width="13.7265625" style="17" customWidth="1"/>
    <col min="5380" max="5380" width="15.26953125" style="17" customWidth="1"/>
    <col min="5381" max="5381" width="13.7265625" style="17" customWidth="1"/>
    <col min="5382" max="5382" width="15.54296875" style="17" customWidth="1"/>
    <col min="5383" max="5383" width="14.54296875" style="17" customWidth="1"/>
    <col min="5384" max="5384" width="13.7265625" style="17" customWidth="1"/>
    <col min="5385" max="5385" width="15.1796875" style="17" customWidth="1"/>
    <col min="5386" max="5386" width="16" style="17" customWidth="1"/>
    <col min="5387" max="5387" width="19" style="17" customWidth="1"/>
    <col min="5388" max="5389" width="11.81640625" style="17" customWidth="1"/>
    <col min="5390" max="5632" width="8.81640625" style="17"/>
    <col min="5633" max="5633" width="18.7265625" style="17" bestFit="1" customWidth="1"/>
    <col min="5634" max="5634" width="17.26953125" style="17" customWidth="1"/>
    <col min="5635" max="5635" width="13.7265625" style="17" customWidth="1"/>
    <col min="5636" max="5636" width="15.26953125" style="17" customWidth="1"/>
    <col min="5637" max="5637" width="13.7265625" style="17" customWidth="1"/>
    <col min="5638" max="5638" width="15.54296875" style="17" customWidth="1"/>
    <col min="5639" max="5639" width="14.54296875" style="17" customWidth="1"/>
    <col min="5640" max="5640" width="13.7265625" style="17" customWidth="1"/>
    <col min="5641" max="5641" width="15.1796875" style="17" customWidth="1"/>
    <col min="5642" max="5642" width="16" style="17" customWidth="1"/>
    <col min="5643" max="5643" width="19" style="17" customWidth="1"/>
    <col min="5644" max="5645" width="11.81640625" style="17" customWidth="1"/>
    <col min="5646" max="5888" width="8.81640625" style="17"/>
    <col min="5889" max="5889" width="18.7265625" style="17" bestFit="1" customWidth="1"/>
    <col min="5890" max="5890" width="17.26953125" style="17" customWidth="1"/>
    <col min="5891" max="5891" width="13.7265625" style="17" customWidth="1"/>
    <col min="5892" max="5892" width="15.26953125" style="17" customWidth="1"/>
    <col min="5893" max="5893" width="13.7265625" style="17" customWidth="1"/>
    <col min="5894" max="5894" width="15.54296875" style="17" customWidth="1"/>
    <col min="5895" max="5895" width="14.54296875" style="17" customWidth="1"/>
    <col min="5896" max="5896" width="13.7265625" style="17" customWidth="1"/>
    <col min="5897" max="5897" width="15.1796875" style="17" customWidth="1"/>
    <col min="5898" max="5898" width="16" style="17" customWidth="1"/>
    <col min="5899" max="5899" width="19" style="17" customWidth="1"/>
    <col min="5900" max="5901" width="11.81640625" style="17" customWidth="1"/>
    <col min="5902" max="6144" width="8.81640625" style="17"/>
    <col min="6145" max="6145" width="18.7265625" style="17" bestFit="1" customWidth="1"/>
    <col min="6146" max="6146" width="17.26953125" style="17" customWidth="1"/>
    <col min="6147" max="6147" width="13.7265625" style="17" customWidth="1"/>
    <col min="6148" max="6148" width="15.26953125" style="17" customWidth="1"/>
    <col min="6149" max="6149" width="13.7265625" style="17" customWidth="1"/>
    <col min="6150" max="6150" width="15.54296875" style="17" customWidth="1"/>
    <col min="6151" max="6151" width="14.54296875" style="17" customWidth="1"/>
    <col min="6152" max="6152" width="13.7265625" style="17" customWidth="1"/>
    <col min="6153" max="6153" width="15.1796875" style="17" customWidth="1"/>
    <col min="6154" max="6154" width="16" style="17" customWidth="1"/>
    <col min="6155" max="6155" width="19" style="17" customWidth="1"/>
    <col min="6156" max="6157" width="11.81640625" style="17" customWidth="1"/>
    <col min="6158" max="6400" width="8.81640625" style="17"/>
    <col min="6401" max="6401" width="18.7265625" style="17" bestFit="1" customWidth="1"/>
    <col min="6402" max="6402" width="17.26953125" style="17" customWidth="1"/>
    <col min="6403" max="6403" width="13.7265625" style="17" customWidth="1"/>
    <col min="6404" max="6404" width="15.26953125" style="17" customWidth="1"/>
    <col min="6405" max="6405" width="13.7265625" style="17" customWidth="1"/>
    <col min="6406" max="6406" width="15.54296875" style="17" customWidth="1"/>
    <col min="6407" max="6407" width="14.54296875" style="17" customWidth="1"/>
    <col min="6408" max="6408" width="13.7265625" style="17" customWidth="1"/>
    <col min="6409" max="6409" width="15.1796875" style="17" customWidth="1"/>
    <col min="6410" max="6410" width="16" style="17" customWidth="1"/>
    <col min="6411" max="6411" width="19" style="17" customWidth="1"/>
    <col min="6412" max="6413" width="11.81640625" style="17" customWidth="1"/>
    <col min="6414" max="6656" width="8.81640625" style="17"/>
    <col min="6657" max="6657" width="18.7265625" style="17" bestFit="1" customWidth="1"/>
    <col min="6658" max="6658" width="17.26953125" style="17" customWidth="1"/>
    <col min="6659" max="6659" width="13.7265625" style="17" customWidth="1"/>
    <col min="6660" max="6660" width="15.26953125" style="17" customWidth="1"/>
    <col min="6661" max="6661" width="13.7265625" style="17" customWidth="1"/>
    <col min="6662" max="6662" width="15.54296875" style="17" customWidth="1"/>
    <col min="6663" max="6663" width="14.54296875" style="17" customWidth="1"/>
    <col min="6664" max="6664" width="13.7265625" style="17" customWidth="1"/>
    <col min="6665" max="6665" width="15.1796875" style="17" customWidth="1"/>
    <col min="6666" max="6666" width="16" style="17" customWidth="1"/>
    <col min="6667" max="6667" width="19" style="17" customWidth="1"/>
    <col min="6668" max="6669" width="11.81640625" style="17" customWidth="1"/>
    <col min="6670" max="6912" width="8.81640625" style="17"/>
    <col min="6913" max="6913" width="18.7265625" style="17" bestFit="1" customWidth="1"/>
    <col min="6914" max="6914" width="17.26953125" style="17" customWidth="1"/>
    <col min="6915" max="6915" width="13.7265625" style="17" customWidth="1"/>
    <col min="6916" max="6916" width="15.26953125" style="17" customWidth="1"/>
    <col min="6917" max="6917" width="13.7265625" style="17" customWidth="1"/>
    <col min="6918" max="6918" width="15.54296875" style="17" customWidth="1"/>
    <col min="6919" max="6919" width="14.54296875" style="17" customWidth="1"/>
    <col min="6920" max="6920" width="13.7265625" style="17" customWidth="1"/>
    <col min="6921" max="6921" width="15.1796875" style="17" customWidth="1"/>
    <col min="6922" max="6922" width="16" style="17" customWidth="1"/>
    <col min="6923" max="6923" width="19" style="17" customWidth="1"/>
    <col min="6924" max="6925" width="11.81640625" style="17" customWidth="1"/>
    <col min="6926" max="7168" width="8.81640625" style="17"/>
    <col min="7169" max="7169" width="18.7265625" style="17" bestFit="1" customWidth="1"/>
    <col min="7170" max="7170" width="17.26953125" style="17" customWidth="1"/>
    <col min="7171" max="7171" width="13.7265625" style="17" customWidth="1"/>
    <col min="7172" max="7172" width="15.26953125" style="17" customWidth="1"/>
    <col min="7173" max="7173" width="13.7265625" style="17" customWidth="1"/>
    <col min="7174" max="7174" width="15.54296875" style="17" customWidth="1"/>
    <col min="7175" max="7175" width="14.54296875" style="17" customWidth="1"/>
    <col min="7176" max="7176" width="13.7265625" style="17" customWidth="1"/>
    <col min="7177" max="7177" width="15.1796875" style="17" customWidth="1"/>
    <col min="7178" max="7178" width="16" style="17" customWidth="1"/>
    <col min="7179" max="7179" width="19" style="17" customWidth="1"/>
    <col min="7180" max="7181" width="11.81640625" style="17" customWidth="1"/>
    <col min="7182" max="7424" width="8.81640625" style="17"/>
    <col min="7425" max="7425" width="18.7265625" style="17" bestFit="1" customWidth="1"/>
    <col min="7426" max="7426" width="17.26953125" style="17" customWidth="1"/>
    <col min="7427" max="7427" width="13.7265625" style="17" customWidth="1"/>
    <col min="7428" max="7428" width="15.26953125" style="17" customWidth="1"/>
    <col min="7429" max="7429" width="13.7265625" style="17" customWidth="1"/>
    <col min="7430" max="7430" width="15.54296875" style="17" customWidth="1"/>
    <col min="7431" max="7431" width="14.54296875" style="17" customWidth="1"/>
    <col min="7432" max="7432" width="13.7265625" style="17" customWidth="1"/>
    <col min="7433" max="7433" width="15.1796875" style="17" customWidth="1"/>
    <col min="7434" max="7434" width="16" style="17" customWidth="1"/>
    <col min="7435" max="7435" width="19" style="17" customWidth="1"/>
    <col min="7436" max="7437" width="11.81640625" style="17" customWidth="1"/>
    <col min="7438" max="7680" width="8.81640625" style="17"/>
    <col min="7681" max="7681" width="18.7265625" style="17" bestFit="1" customWidth="1"/>
    <col min="7682" max="7682" width="17.26953125" style="17" customWidth="1"/>
    <col min="7683" max="7683" width="13.7265625" style="17" customWidth="1"/>
    <col min="7684" max="7684" width="15.26953125" style="17" customWidth="1"/>
    <col min="7685" max="7685" width="13.7265625" style="17" customWidth="1"/>
    <col min="7686" max="7686" width="15.54296875" style="17" customWidth="1"/>
    <col min="7687" max="7687" width="14.54296875" style="17" customWidth="1"/>
    <col min="7688" max="7688" width="13.7265625" style="17" customWidth="1"/>
    <col min="7689" max="7689" width="15.1796875" style="17" customWidth="1"/>
    <col min="7690" max="7690" width="16" style="17" customWidth="1"/>
    <col min="7691" max="7691" width="19" style="17" customWidth="1"/>
    <col min="7692" max="7693" width="11.81640625" style="17" customWidth="1"/>
    <col min="7694" max="7936" width="8.81640625" style="17"/>
    <col min="7937" max="7937" width="18.7265625" style="17" bestFit="1" customWidth="1"/>
    <col min="7938" max="7938" width="17.26953125" style="17" customWidth="1"/>
    <col min="7939" max="7939" width="13.7265625" style="17" customWidth="1"/>
    <col min="7940" max="7940" width="15.26953125" style="17" customWidth="1"/>
    <col min="7941" max="7941" width="13.7265625" style="17" customWidth="1"/>
    <col min="7942" max="7942" width="15.54296875" style="17" customWidth="1"/>
    <col min="7943" max="7943" width="14.54296875" style="17" customWidth="1"/>
    <col min="7944" max="7944" width="13.7265625" style="17" customWidth="1"/>
    <col min="7945" max="7945" width="15.1796875" style="17" customWidth="1"/>
    <col min="7946" max="7946" width="16" style="17" customWidth="1"/>
    <col min="7947" max="7947" width="19" style="17" customWidth="1"/>
    <col min="7948" max="7949" width="11.81640625" style="17" customWidth="1"/>
    <col min="7950" max="8192" width="8.81640625" style="17"/>
    <col min="8193" max="8193" width="18.7265625" style="17" bestFit="1" customWidth="1"/>
    <col min="8194" max="8194" width="17.26953125" style="17" customWidth="1"/>
    <col min="8195" max="8195" width="13.7265625" style="17" customWidth="1"/>
    <col min="8196" max="8196" width="15.26953125" style="17" customWidth="1"/>
    <col min="8197" max="8197" width="13.7265625" style="17" customWidth="1"/>
    <col min="8198" max="8198" width="15.54296875" style="17" customWidth="1"/>
    <col min="8199" max="8199" width="14.54296875" style="17" customWidth="1"/>
    <col min="8200" max="8200" width="13.7265625" style="17" customWidth="1"/>
    <col min="8201" max="8201" width="15.1796875" style="17" customWidth="1"/>
    <col min="8202" max="8202" width="16" style="17" customWidth="1"/>
    <col min="8203" max="8203" width="19" style="17" customWidth="1"/>
    <col min="8204" max="8205" width="11.81640625" style="17" customWidth="1"/>
    <col min="8206" max="8448" width="8.81640625" style="17"/>
    <col min="8449" max="8449" width="18.7265625" style="17" bestFit="1" customWidth="1"/>
    <col min="8450" max="8450" width="17.26953125" style="17" customWidth="1"/>
    <col min="8451" max="8451" width="13.7265625" style="17" customWidth="1"/>
    <col min="8452" max="8452" width="15.26953125" style="17" customWidth="1"/>
    <col min="8453" max="8453" width="13.7265625" style="17" customWidth="1"/>
    <col min="8454" max="8454" width="15.54296875" style="17" customWidth="1"/>
    <col min="8455" max="8455" width="14.54296875" style="17" customWidth="1"/>
    <col min="8456" max="8456" width="13.7265625" style="17" customWidth="1"/>
    <col min="8457" max="8457" width="15.1796875" style="17" customWidth="1"/>
    <col min="8458" max="8458" width="16" style="17" customWidth="1"/>
    <col min="8459" max="8459" width="19" style="17" customWidth="1"/>
    <col min="8460" max="8461" width="11.81640625" style="17" customWidth="1"/>
    <col min="8462" max="8704" width="8.81640625" style="17"/>
    <col min="8705" max="8705" width="18.7265625" style="17" bestFit="1" customWidth="1"/>
    <col min="8706" max="8706" width="17.26953125" style="17" customWidth="1"/>
    <col min="8707" max="8707" width="13.7265625" style="17" customWidth="1"/>
    <col min="8708" max="8708" width="15.26953125" style="17" customWidth="1"/>
    <col min="8709" max="8709" width="13.7265625" style="17" customWidth="1"/>
    <col min="8710" max="8710" width="15.54296875" style="17" customWidth="1"/>
    <col min="8711" max="8711" width="14.54296875" style="17" customWidth="1"/>
    <col min="8712" max="8712" width="13.7265625" style="17" customWidth="1"/>
    <col min="8713" max="8713" width="15.1796875" style="17" customWidth="1"/>
    <col min="8714" max="8714" width="16" style="17" customWidth="1"/>
    <col min="8715" max="8715" width="19" style="17" customWidth="1"/>
    <col min="8716" max="8717" width="11.81640625" style="17" customWidth="1"/>
    <col min="8718" max="8960" width="8.81640625" style="17"/>
    <col min="8961" max="8961" width="18.7265625" style="17" bestFit="1" customWidth="1"/>
    <col min="8962" max="8962" width="17.26953125" style="17" customWidth="1"/>
    <col min="8963" max="8963" width="13.7265625" style="17" customWidth="1"/>
    <col min="8964" max="8964" width="15.26953125" style="17" customWidth="1"/>
    <col min="8965" max="8965" width="13.7265625" style="17" customWidth="1"/>
    <col min="8966" max="8966" width="15.54296875" style="17" customWidth="1"/>
    <col min="8967" max="8967" width="14.54296875" style="17" customWidth="1"/>
    <col min="8968" max="8968" width="13.7265625" style="17" customWidth="1"/>
    <col min="8969" max="8969" width="15.1796875" style="17" customWidth="1"/>
    <col min="8970" max="8970" width="16" style="17" customWidth="1"/>
    <col min="8971" max="8971" width="19" style="17" customWidth="1"/>
    <col min="8972" max="8973" width="11.81640625" style="17" customWidth="1"/>
    <col min="8974" max="9216" width="8.81640625" style="17"/>
    <col min="9217" max="9217" width="18.7265625" style="17" bestFit="1" customWidth="1"/>
    <col min="9218" max="9218" width="17.26953125" style="17" customWidth="1"/>
    <col min="9219" max="9219" width="13.7265625" style="17" customWidth="1"/>
    <col min="9220" max="9220" width="15.26953125" style="17" customWidth="1"/>
    <col min="9221" max="9221" width="13.7265625" style="17" customWidth="1"/>
    <col min="9222" max="9222" width="15.54296875" style="17" customWidth="1"/>
    <col min="9223" max="9223" width="14.54296875" style="17" customWidth="1"/>
    <col min="9224" max="9224" width="13.7265625" style="17" customWidth="1"/>
    <col min="9225" max="9225" width="15.1796875" style="17" customWidth="1"/>
    <col min="9226" max="9226" width="16" style="17" customWidth="1"/>
    <col min="9227" max="9227" width="19" style="17" customWidth="1"/>
    <col min="9228" max="9229" width="11.81640625" style="17" customWidth="1"/>
    <col min="9230" max="9472" width="8.81640625" style="17"/>
    <col min="9473" max="9473" width="18.7265625" style="17" bestFit="1" customWidth="1"/>
    <col min="9474" max="9474" width="17.26953125" style="17" customWidth="1"/>
    <col min="9475" max="9475" width="13.7265625" style="17" customWidth="1"/>
    <col min="9476" max="9476" width="15.26953125" style="17" customWidth="1"/>
    <col min="9477" max="9477" width="13.7265625" style="17" customWidth="1"/>
    <col min="9478" max="9478" width="15.54296875" style="17" customWidth="1"/>
    <col min="9479" max="9479" width="14.54296875" style="17" customWidth="1"/>
    <col min="9480" max="9480" width="13.7265625" style="17" customWidth="1"/>
    <col min="9481" max="9481" width="15.1796875" style="17" customWidth="1"/>
    <col min="9482" max="9482" width="16" style="17" customWidth="1"/>
    <col min="9483" max="9483" width="19" style="17" customWidth="1"/>
    <col min="9484" max="9485" width="11.81640625" style="17" customWidth="1"/>
    <col min="9486" max="9728" width="8.81640625" style="17"/>
    <col min="9729" max="9729" width="18.7265625" style="17" bestFit="1" customWidth="1"/>
    <col min="9730" max="9730" width="17.26953125" style="17" customWidth="1"/>
    <col min="9731" max="9731" width="13.7265625" style="17" customWidth="1"/>
    <col min="9732" max="9732" width="15.26953125" style="17" customWidth="1"/>
    <col min="9733" max="9733" width="13.7265625" style="17" customWidth="1"/>
    <col min="9734" max="9734" width="15.54296875" style="17" customWidth="1"/>
    <col min="9735" max="9735" width="14.54296875" style="17" customWidth="1"/>
    <col min="9736" max="9736" width="13.7265625" style="17" customWidth="1"/>
    <col min="9737" max="9737" width="15.1796875" style="17" customWidth="1"/>
    <col min="9738" max="9738" width="16" style="17" customWidth="1"/>
    <col min="9739" max="9739" width="19" style="17" customWidth="1"/>
    <col min="9740" max="9741" width="11.81640625" style="17" customWidth="1"/>
    <col min="9742" max="9984" width="8.81640625" style="17"/>
    <col min="9985" max="9985" width="18.7265625" style="17" bestFit="1" customWidth="1"/>
    <col min="9986" max="9986" width="17.26953125" style="17" customWidth="1"/>
    <col min="9987" max="9987" width="13.7265625" style="17" customWidth="1"/>
    <col min="9988" max="9988" width="15.26953125" style="17" customWidth="1"/>
    <col min="9989" max="9989" width="13.7265625" style="17" customWidth="1"/>
    <col min="9990" max="9990" width="15.54296875" style="17" customWidth="1"/>
    <col min="9991" max="9991" width="14.54296875" style="17" customWidth="1"/>
    <col min="9992" max="9992" width="13.7265625" style="17" customWidth="1"/>
    <col min="9993" max="9993" width="15.1796875" style="17" customWidth="1"/>
    <col min="9994" max="9994" width="16" style="17" customWidth="1"/>
    <col min="9995" max="9995" width="19" style="17" customWidth="1"/>
    <col min="9996" max="9997" width="11.81640625" style="17" customWidth="1"/>
    <col min="9998" max="10240" width="8.81640625" style="17"/>
    <col min="10241" max="10241" width="18.7265625" style="17" bestFit="1" customWidth="1"/>
    <col min="10242" max="10242" width="17.26953125" style="17" customWidth="1"/>
    <col min="10243" max="10243" width="13.7265625" style="17" customWidth="1"/>
    <col min="10244" max="10244" width="15.26953125" style="17" customWidth="1"/>
    <col min="10245" max="10245" width="13.7265625" style="17" customWidth="1"/>
    <col min="10246" max="10246" width="15.54296875" style="17" customWidth="1"/>
    <col min="10247" max="10247" width="14.54296875" style="17" customWidth="1"/>
    <col min="10248" max="10248" width="13.7265625" style="17" customWidth="1"/>
    <col min="10249" max="10249" width="15.1796875" style="17" customWidth="1"/>
    <col min="10250" max="10250" width="16" style="17" customWidth="1"/>
    <col min="10251" max="10251" width="19" style="17" customWidth="1"/>
    <col min="10252" max="10253" width="11.81640625" style="17" customWidth="1"/>
    <col min="10254" max="10496" width="8.81640625" style="17"/>
    <col min="10497" max="10497" width="18.7265625" style="17" bestFit="1" customWidth="1"/>
    <col min="10498" max="10498" width="17.26953125" style="17" customWidth="1"/>
    <col min="10499" max="10499" width="13.7265625" style="17" customWidth="1"/>
    <col min="10500" max="10500" width="15.26953125" style="17" customWidth="1"/>
    <col min="10501" max="10501" width="13.7265625" style="17" customWidth="1"/>
    <col min="10502" max="10502" width="15.54296875" style="17" customWidth="1"/>
    <col min="10503" max="10503" width="14.54296875" style="17" customWidth="1"/>
    <col min="10504" max="10504" width="13.7265625" style="17" customWidth="1"/>
    <col min="10505" max="10505" width="15.1796875" style="17" customWidth="1"/>
    <col min="10506" max="10506" width="16" style="17" customWidth="1"/>
    <col min="10507" max="10507" width="19" style="17" customWidth="1"/>
    <col min="10508" max="10509" width="11.81640625" style="17" customWidth="1"/>
    <col min="10510" max="10752" width="8.81640625" style="17"/>
    <col min="10753" max="10753" width="18.7265625" style="17" bestFit="1" customWidth="1"/>
    <col min="10754" max="10754" width="17.26953125" style="17" customWidth="1"/>
    <col min="10755" max="10755" width="13.7265625" style="17" customWidth="1"/>
    <col min="10756" max="10756" width="15.26953125" style="17" customWidth="1"/>
    <col min="10757" max="10757" width="13.7265625" style="17" customWidth="1"/>
    <col min="10758" max="10758" width="15.54296875" style="17" customWidth="1"/>
    <col min="10759" max="10759" width="14.54296875" style="17" customWidth="1"/>
    <col min="10760" max="10760" width="13.7265625" style="17" customWidth="1"/>
    <col min="10761" max="10761" width="15.1796875" style="17" customWidth="1"/>
    <col min="10762" max="10762" width="16" style="17" customWidth="1"/>
    <col min="10763" max="10763" width="19" style="17" customWidth="1"/>
    <col min="10764" max="10765" width="11.81640625" style="17" customWidth="1"/>
    <col min="10766" max="11008" width="8.81640625" style="17"/>
    <col min="11009" max="11009" width="18.7265625" style="17" bestFit="1" customWidth="1"/>
    <col min="11010" max="11010" width="17.26953125" style="17" customWidth="1"/>
    <col min="11011" max="11011" width="13.7265625" style="17" customWidth="1"/>
    <col min="11012" max="11012" width="15.26953125" style="17" customWidth="1"/>
    <col min="11013" max="11013" width="13.7265625" style="17" customWidth="1"/>
    <col min="11014" max="11014" width="15.54296875" style="17" customWidth="1"/>
    <col min="11015" max="11015" width="14.54296875" style="17" customWidth="1"/>
    <col min="11016" max="11016" width="13.7265625" style="17" customWidth="1"/>
    <col min="11017" max="11017" width="15.1796875" style="17" customWidth="1"/>
    <col min="11018" max="11018" width="16" style="17" customWidth="1"/>
    <col min="11019" max="11019" width="19" style="17" customWidth="1"/>
    <col min="11020" max="11021" width="11.81640625" style="17" customWidth="1"/>
    <col min="11022" max="11264" width="8.81640625" style="17"/>
    <col min="11265" max="11265" width="18.7265625" style="17" bestFit="1" customWidth="1"/>
    <col min="11266" max="11266" width="17.26953125" style="17" customWidth="1"/>
    <col min="11267" max="11267" width="13.7265625" style="17" customWidth="1"/>
    <col min="11268" max="11268" width="15.26953125" style="17" customWidth="1"/>
    <col min="11269" max="11269" width="13.7265625" style="17" customWidth="1"/>
    <col min="11270" max="11270" width="15.54296875" style="17" customWidth="1"/>
    <col min="11271" max="11271" width="14.54296875" style="17" customWidth="1"/>
    <col min="11272" max="11272" width="13.7265625" style="17" customWidth="1"/>
    <col min="11273" max="11273" width="15.1796875" style="17" customWidth="1"/>
    <col min="11274" max="11274" width="16" style="17" customWidth="1"/>
    <col min="11275" max="11275" width="19" style="17" customWidth="1"/>
    <col min="11276" max="11277" width="11.81640625" style="17" customWidth="1"/>
    <col min="11278" max="11520" width="8.81640625" style="17"/>
    <col min="11521" max="11521" width="18.7265625" style="17" bestFit="1" customWidth="1"/>
    <col min="11522" max="11522" width="17.26953125" style="17" customWidth="1"/>
    <col min="11523" max="11523" width="13.7265625" style="17" customWidth="1"/>
    <col min="11524" max="11524" width="15.26953125" style="17" customWidth="1"/>
    <col min="11525" max="11525" width="13.7265625" style="17" customWidth="1"/>
    <col min="11526" max="11526" width="15.54296875" style="17" customWidth="1"/>
    <col min="11527" max="11527" width="14.54296875" style="17" customWidth="1"/>
    <col min="11528" max="11528" width="13.7265625" style="17" customWidth="1"/>
    <col min="11529" max="11529" width="15.1796875" style="17" customWidth="1"/>
    <col min="11530" max="11530" width="16" style="17" customWidth="1"/>
    <col min="11531" max="11531" width="19" style="17" customWidth="1"/>
    <col min="11532" max="11533" width="11.81640625" style="17" customWidth="1"/>
    <col min="11534" max="11776" width="8.81640625" style="17"/>
    <col min="11777" max="11777" width="18.7265625" style="17" bestFit="1" customWidth="1"/>
    <col min="11778" max="11778" width="17.26953125" style="17" customWidth="1"/>
    <col min="11779" max="11779" width="13.7265625" style="17" customWidth="1"/>
    <col min="11780" max="11780" width="15.26953125" style="17" customWidth="1"/>
    <col min="11781" max="11781" width="13.7265625" style="17" customWidth="1"/>
    <col min="11782" max="11782" width="15.54296875" style="17" customWidth="1"/>
    <col min="11783" max="11783" width="14.54296875" style="17" customWidth="1"/>
    <col min="11784" max="11784" width="13.7265625" style="17" customWidth="1"/>
    <col min="11785" max="11785" width="15.1796875" style="17" customWidth="1"/>
    <col min="11786" max="11786" width="16" style="17" customWidth="1"/>
    <col min="11787" max="11787" width="19" style="17" customWidth="1"/>
    <col min="11788" max="11789" width="11.81640625" style="17" customWidth="1"/>
    <col min="11790" max="12032" width="8.81640625" style="17"/>
    <col min="12033" max="12033" width="18.7265625" style="17" bestFit="1" customWidth="1"/>
    <col min="12034" max="12034" width="17.26953125" style="17" customWidth="1"/>
    <col min="12035" max="12035" width="13.7265625" style="17" customWidth="1"/>
    <col min="12036" max="12036" width="15.26953125" style="17" customWidth="1"/>
    <col min="12037" max="12037" width="13.7265625" style="17" customWidth="1"/>
    <col min="12038" max="12038" width="15.54296875" style="17" customWidth="1"/>
    <col min="12039" max="12039" width="14.54296875" style="17" customWidth="1"/>
    <col min="12040" max="12040" width="13.7265625" style="17" customWidth="1"/>
    <col min="12041" max="12041" width="15.1796875" style="17" customWidth="1"/>
    <col min="12042" max="12042" width="16" style="17" customWidth="1"/>
    <col min="12043" max="12043" width="19" style="17" customWidth="1"/>
    <col min="12044" max="12045" width="11.81640625" style="17" customWidth="1"/>
    <col min="12046" max="12288" width="8.81640625" style="17"/>
    <col min="12289" max="12289" width="18.7265625" style="17" bestFit="1" customWidth="1"/>
    <col min="12290" max="12290" width="17.26953125" style="17" customWidth="1"/>
    <col min="12291" max="12291" width="13.7265625" style="17" customWidth="1"/>
    <col min="12292" max="12292" width="15.26953125" style="17" customWidth="1"/>
    <col min="12293" max="12293" width="13.7265625" style="17" customWidth="1"/>
    <col min="12294" max="12294" width="15.54296875" style="17" customWidth="1"/>
    <col min="12295" max="12295" width="14.54296875" style="17" customWidth="1"/>
    <col min="12296" max="12296" width="13.7265625" style="17" customWidth="1"/>
    <col min="12297" max="12297" width="15.1796875" style="17" customWidth="1"/>
    <col min="12298" max="12298" width="16" style="17" customWidth="1"/>
    <col min="12299" max="12299" width="19" style="17" customWidth="1"/>
    <col min="12300" max="12301" width="11.81640625" style="17" customWidth="1"/>
    <col min="12302" max="12544" width="8.81640625" style="17"/>
    <col min="12545" max="12545" width="18.7265625" style="17" bestFit="1" customWidth="1"/>
    <col min="12546" max="12546" width="17.26953125" style="17" customWidth="1"/>
    <col min="12547" max="12547" width="13.7265625" style="17" customWidth="1"/>
    <col min="12548" max="12548" width="15.26953125" style="17" customWidth="1"/>
    <col min="12549" max="12549" width="13.7265625" style="17" customWidth="1"/>
    <col min="12550" max="12550" width="15.54296875" style="17" customWidth="1"/>
    <col min="12551" max="12551" width="14.54296875" style="17" customWidth="1"/>
    <col min="12552" max="12552" width="13.7265625" style="17" customWidth="1"/>
    <col min="12553" max="12553" width="15.1796875" style="17" customWidth="1"/>
    <col min="12554" max="12554" width="16" style="17" customWidth="1"/>
    <col min="12555" max="12555" width="19" style="17" customWidth="1"/>
    <col min="12556" max="12557" width="11.81640625" style="17" customWidth="1"/>
    <col min="12558" max="12800" width="8.81640625" style="17"/>
    <col min="12801" max="12801" width="18.7265625" style="17" bestFit="1" customWidth="1"/>
    <col min="12802" max="12802" width="17.26953125" style="17" customWidth="1"/>
    <col min="12803" max="12803" width="13.7265625" style="17" customWidth="1"/>
    <col min="12804" max="12804" width="15.26953125" style="17" customWidth="1"/>
    <col min="12805" max="12805" width="13.7265625" style="17" customWidth="1"/>
    <col min="12806" max="12806" width="15.54296875" style="17" customWidth="1"/>
    <col min="12807" max="12807" width="14.54296875" style="17" customWidth="1"/>
    <col min="12808" max="12808" width="13.7265625" style="17" customWidth="1"/>
    <col min="12809" max="12809" width="15.1796875" style="17" customWidth="1"/>
    <col min="12810" max="12810" width="16" style="17" customWidth="1"/>
    <col min="12811" max="12811" width="19" style="17" customWidth="1"/>
    <col min="12812" max="12813" width="11.81640625" style="17" customWidth="1"/>
    <col min="12814" max="13056" width="8.81640625" style="17"/>
    <col min="13057" max="13057" width="18.7265625" style="17" bestFit="1" customWidth="1"/>
    <col min="13058" max="13058" width="17.26953125" style="17" customWidth="1"/>
    <col min="13059" max="13059" width="13.7265625" style="17" customWidth="1"/>
    <col min="13060" max="13060" width="15.26953125" style="17" customWidth="1"/>
    <col min="13061" max="13061" width="13.7265625" style="17" customWidth="1"/>
    <col min="13062" max="13062" width="15.54296875" style="17" customWidth="1"/>
    <col min="13063" max="13063" width="14.54296875" style="17" customWidth="1"/>
    <col min="13064" max="13064" width="13.7265625" style="17" customWidth="1"/>
    <col min="13065" max="13065" width="15.1796875" style="17" customWidth="1"/>
    <col min="13066" max="13066" width="16" style="17" customWidth="1"/>
    <col min="13067" max="13067" width="19" style="17" customWidth="1"/>
    <col min="13068" max="13069" width="11.81640625" style="17" customWidth="1"/>
    <col min="13070" max="13312" width="8.81640625" style="17"/>
    <col min="13313" max="13313" width="18.7265625" style="17" bestFit="1" customWidth="1"/>
    <col min="13314" max="13314" width="17.26953125" style="17" customWidth="1"/>
    <col min="13315" max="13315" width="13.7265625" style="17" customWidth="1"/>
    <col min="13316" max="13316" width="15.26953125" style="17" customWidth="1"/>
    <col min="13317" max="13317" width="13.7265625" style="17" customWidth="1"/>
    <col min="13318" max="13318" width="15.54296875" style="17" customWidth="1"/>
    <col min="13319" max="13319" width="14.54296875" style="17" customWidth="1"/>
    <col min="13320" max="13320" width="13.7265625" style="17" customWidth="1"/>
    <col min="13321" max="13321" width="15.1796875" style="17" customWidth="1"/>
    <col min="13322" max="13322" width="16" style="17" customWidth="1"/>
    <col min="13323" max="13323" width="19" style="17" customWidth="1"/>
    <col min="13324" max="13325" width="11.81640625" style="17" customWidth="1"/>
    <col min="13326" max="13568" width="8.81640625" style="17"/>
    <col min="13569" max="13569" width="18.7265625" style="17" bestFit="1" customWidth="1"/>
    <col min="13570" max="13570" width="17.26953125" style="17" customWidth="1"/>
    <col min="13571" max="13571" width="13.7265625" style="17" customWidth="1"/>
    <col min="13572" max="13572" width="15.26953125" style="17" customWidth="1"/>
    <col min="13573" max="13573" width="13.7265625" style="17" customWidth="1"/>
    <col min="13574" max="13574" width="15.54296875" style="17" customWidth="1"/>
    <col min="13575" max="13575" width="14.54296875" style="17" customWidth="1"/>
    <col min="13576" max="13576" width="13.7265625" style="17" customWidth="1"/>
    <col min="13577" max="13577" width="15.1796875" style="17" customWidth="1"/>
    <col min="13578" max="13578" width="16" style="17" customWidth="1"/>
    <col min="13579" max="13579" width="19" style="17" customWidth="1"/>
    <col min="13580" max="13581" width="11.81640625" style="17" customWidth="1"/>
    <col min="13582" max="13824" width="8.81640625" style="17"/>
    <col min="13825" max="13825" width="18.7265625" style="17" bestFit="1" customWidth="1"/>
    <col min="13826" max="13826" width="17.26953125" style="17" customWidth="1"/>
    <col min="13827" max="13827" width="13.7265625" style="17" customWidth="1"/>
    <col min="13828" max="13828" width="15.26953125" style="17" customWidth="1"/>
    <col min="13829" max="13829" width="13.7265625" style="17" customWidth="1"/>
    <col min="13830" max="13830" width="15.54296875" style="17" customWidth="1"/>
    <col min="13831" max="13831" width="14.54296875" style="17" customWidth="1"/>
    <col min="13832" max="13832" width="13.7265625" style="17" customWidth="1"/>
    <col min="13833" max="13833" width="15.1796875" style="17" customWidth="1"/>
    <col min="13834" max="13834" width="16" style="17" customWidth="1"/>
    <col min="13835" max="13835" width="19" style="17" customWidth="1"/>
    <col min="13836" max="13837" width="11.81640625" style="17" customWidth="1"/>
    <col min="13838" max="14080" width="8.81640625" style="17"/>
    <col min="14081" max="14081" width="18.7265625" style="17" bestFit="1" customWidth="1"/>
    <col min="14082" max="14082" width="17.26953125" style="17" customWidth="1"/>
    <col min="14083" max="14083" width="13.7265625" style="17" customWidth="1"/>
    <col min="14084" max="14084" width="15.26953125" style="17" customWidth="1"/>
    <col min="14085" max="14085" width="13.7265625" style="17" customWidth="1"/>
    <col min="14086" max="14086" width="15.54296875" style="17" customWidth="1"/>
    <col min="14087" max="14087" width="14.54296875" style="17" customWidth="1"/>
    <col min="14088" max="14088" width="13.7265625" style="17" customWidth="1"/>
    <col min="14089" max="14089" width="15.1796875" style="17" customWidth="1"/>
    <col min="14090" max="14090" width="16" style="17" customWidth="1"/>
    <col min="14091" max="14091" width="19" style="17" customWidth="1"/>
    <col min="14092" max="14093" width="11.81640625" style="17" customWidth="1"/>
    <col min="14094" max="14336" width="8.81640625" style="17"/>
    <col min="14337" max="14337" width="18.7265625" style="17" bestFit="1" customWidth="1"/>
    <col min="14338" max="14338" width="17.26953125" style="17" customWidth="1"/>
    <col min="14339" max="14339" width="13.7265625" style="17" customWidth="1"/>
    <col min="14340" max="14340" width="15.26953125" style="17" customWidth="1"/>
    <col min="14341" max="14341" width="13.7265625" style="17" customWidth="1"/>
    <col min="14342" max="14342" width="15.54296875" style="17" customWidth="1"/>
    <col min="14343" max="14343" width="14.54296875" style="17" customWidth="1"/>
    <col min="14344" max="14344" width="13.7265625" style="17" customWidth="1"/>
    <col min="14345" max="14345" width="15.1796875" style="17" customWidth="1"/>
    <col min="14346" max="14346" width="16" style="17" customWidth="1"/>
    <col min="14347" max="14347" width="19" style="17" customWidth="1"/>
    <col min="14348" max="14349" width="11.81640625" style="17" customWidth="1"/>
    <col min="14350" max="14592" width="8.81640625" style="17"/>
    <col min="14593" max="14593" width="18.7265625" style="17" bestFit="1" customWidth="1"/>
    <col min="14594" max="14594" width="17.26953125" style="17" customWidth="1"/>
    <col min="14595" max="14595" width="13.7265625" style="17" customWidth="1"/>
    <col min="14596" max="14596" width="15.26953125" style="17" customWidth="1"/>
    <col min="14597" max="14597" width="13.7265625" style="17" customWidth="1"/>
    <col min="14598" max="14598" width="15.54296875" style="17" customWidth="1"/>
    <col min="14599" max="14599" width="14.54296875" style="17" customWidth="1"/>
    <col min="14600" max="14600" width="13.7265625" style="17" customWidth="1"/>
    <col min="14601" max="14601" width="15.1796875" style="17" customWidth="1"/>
    <col min="14602" max="14602" width="16" style="17" customWidth="1"/>
    <col min="14603" max="14603" width="19" style="17" customWidth="1"/>
    <col min="14604" max="14605" width="11.81640625" style="17" customWidth="1"/>
    <col min="14606" max="14848" width="8.81640625" style="17"/>
    <col min="14849" max="14849" width="18.7265625" style="17" bestFit="1" customWidth="1"/>
    <col min="14850" max="14850" width="17.26953125" style="17" customWidth="1"/>
    <col min="14851" max="14851" width="13.7265625" style="17" customWidth="1"/>
    <col min="14852" max="14852" width="15.26953125" style="17" customWidth="1"/>
    <col min="14853" max="14853" width="13.7265625" style="17" customWidth="1"/>
    <col min="14854" max="14854" width="15.54296875" style="17" customWidth="1"/>
    <col min="14855" max="14855" width="14.54296875" style="17" customWidth="1"/>
    <col min="14856" max="14856" width="13.7265625" style="17" customWidth="1"/>
    <col min="14857" max="14857" width="15.1796875" style="17" customWidth="1"/>
    <col min="14858" max="14858" width="16" style="17" customWidth="1"/>
    <col min="14859" max="14859" width="19" style="17" customWidth="1"/>
    <col min="14860" max="14861" width="11.81640625" style="17" customWidth="1"/>
    <col min="14862" max="15104" width="8.81640625" style="17"/>
    <col min="15105" max="15105" width="18.7265625" style="17" bestFit="1" customWidth="1"/>
    <col min="15106" max="15106" width="17.26953125" style="17" customWidth="1"/>
    <col min="15107" max="15107" width="13.7265625" style="17" customWidth="1"/>
    <col min="15108" max="15108" width="15.26953125" style="17" customWidth="1"/>
    <col min="15109" max="15109" width="13.7265625" style="17" customWidth="1"/>
    <col min="15110" max="15110" width="15.54296875" style="17" customWidth="1"/>
    <col min="15111" max="15111" width="14.54296875" style="17" customWidth="1"/>
    <col min="15112" max="15112" width="13.7265625" style="17" customWidth="1"/>
    <col min="15113" max="15113" width="15.1796875" style="17" customWidth="1"/>
    <col min="15114" max="15114" width="16" style="17" customWidth="1"/>
    <col min="15115" max="15115" width="19" style="17" customWidth="1"/>
    <col min="15116" max="15117" width="11.81640625" style="17" customWidth="1"/>
    <col min="15118" max="15360" width="8.81640625" style="17"/>
    <col min="15361" max="15361" width="18.7265625" style="17" bestFit="1" customWidth="1"/>
    <col min="15362" max="15362" width="17.26953125" style="17" customWidth="1"/>
    <col min="15363" max="15363" width="13.7265625" style="17" customWidth="1"/>
    <col min="15364" max="15364" width="15.26953125" style="17" customWidth="1"/>
    <col min="15365" max="15365" width="13.7265625" style="17" customWidth="1"/>
    <col min="15366" max="15366" width="15.54296875" style="17" customWidth="1"/>
    <col min="15367" max="15367" width="14.54296875" style="17" customWidth="1"/>
    <col min="15368" max="15368" width="13.7265625" style="17" customWidth="1"/>
    <col min="15369" max="15369" width="15.1796875" style="17" customWidth="1"/>
    <col min="15370" max="15370" width="16" style="17" customWidth="1"/>
    <col min="15371" max="15371" width="19" style="17" customWidth="1"/>
    <col min="15372" max="15373" width="11.81640625" style="17" customWidth="1"/>
    <col min="15374" max="15616" width="8.81640625" style="17"/>
    <col min="15617" max="15617" width="18.7265625" style="17" bestFit="1" customWidth="1"/>
    <col min="15618" max="15618" width="17.26953125" style="17" customWidth="1"/>
    <col min="15619" max="15619" width="13.7265625" style="17" customWidth="1"/>
    <col min="15620" max="15620" width="15.26953125" style="17" customWidth="1"/>
    <col min="15621" max="15621" width="13.7265625" style="17" customWidth="1"/>
    <col min="15622" max="15622" width="15.54296875" style="17" customWidth="1"/>
    <col min="15623" max="15623" width="14.54296875" style="17" customWidth="1"/>
    <col min="15624" max="15624" width="13.7265625" style="17" customWidth="1"/>
    <col min="15625" max="15625" width="15.1796875" style="17" customWidth="1"/>
    <col min="15626" max="15626" width="16" style="17" customWidth="1"/>
    <col min="15627" max="15627" width="19" style="17" customWidth="1"/>
    <col min="15628" max="15629" width="11.81640625" style="17" customWidth="1"/>
    <col min="15630" max="15872" width="8.81640625" style="17"/>
    <col min="15873" max="15873" width="18.7265625" style="17" bestFit="1" customWidth="1"/>
    <col min="15874" max="15874" width="17.26953125" style="17" customWidth="1"/>
    <col min="15875" max="15875" width="13.7265625" style="17" customWidth="1"/>
    <col min="15876" max="15876" width="15.26953125" style="17" customWidth="1"/>
    <col min="15877" max="15877" width="13.7265625" style="17" customWidth="1"/>
    <col min="15878" max="15878" width="15.54296875" style="17" customWidth="1"/>
    <col min="15879" max="15879" width="14.54296875" style="17" customWidth="1"/>
    <col min="15880" max="15880" width="13.7265625" style="17" customWidth="1"/>
    <col min="15881" max="15881" width="15.1796875" style="17" customWidth="1"/>
    <col min="15882" max="15882" width="16" style="17" customWidth="1"/>
    <col min="15883" max="15883" width="19" style="17" customWidth="1"/>
    <col min="15884" max="15885" width="11.81640625" style="17" customWidth="1"/>
    <col min="15886" max="16128" width="8.81640625" style="17"/>
    <col min="16129" max="16129" width="18.7265625" style="17" bestFit="1" customWidth="1"/>
    <col min="16130" max="16130" width="17.26953125" style="17" customWidth="1"/>
    <col min="16131" max="16131" width="13.7265625" style="17" customWidth="1"/>
    <col min="16132" max="16132" width="15.26953125" style="17" customWidth="1"/>
    <col min="16133" max="16133" width="13.7265625" style="17" customWidth="1"/>
    <col min="16134" max="16134" width="15.54296875" style="17" customWidth="1"/>
    <col min="16135" max="16135" width="14.54296875" style="17" customWidth="1"/>
    <col min="16136" max="16136" width="13.7265625" style="17" customWidth="1"/>
    <col min="16137" max="16137" width="15.1796875" style="17" customWidth="1"/>
    <col min="16138" max="16138" width="16" style="17" customWidth="1"/>
    <col min="16139" max="16139" width="19" style="17" customWidth="1"/>
    <col min="16140" max="16141" width="11.81640625" style="17" customWidth="1"/>
    <col min="16142" max="16384" width="8.81640625" style="17"/>
  </cols>
  <sheetData>
    <row r="1" spans="1:28" s="53" customFormat="1" ht="25" customHeight="1" x14ac:dyDescent="0.35">
      <c r="B1" s="77"/>
      <c r="D1" s="54"/>
      <c r="H1" s="55"/>
      <c r="I1" s="56"/>
    </row>
    <row r="2" spans="1:28" customFormat="1" ht="25" customHeight="1" x14ac:dyDescent="0.25">
      <c r="A2" s="57"/>
      <c r="B2" s="58"/>
      <c r="C2" s="59"/>
      <c r="D2" s="59"/>
      <c r="E2" s="59"/>
      <c r="F2" s="59"/>
      <c r="G2" s="59"/>
      <c r="H2" s="60"/>
      <c r="I2" s="60"/>
      <c r="J2" s="60"/>
      <c r="K2" s="53"/>
      <c r="L2" s="60"/>
    </row>
    <row r="3" spans="1:28" customFormat="1" ht="25" customHeight="1" thickBot="1" x14ac:dyDescent="0.3">
      <c r="B3" s="61"/>
      <c r="C3" s="69"/>
      <c r="D3" s="69"/>
      <c r="E3" s="69"/>
      <c r="F3" s="69"/>
      <c r="G3" s="69"/>
      <c r="H3" s="69"/>
      <c r="I3" s="69"/>
      <c r="J3" s="69"/>
      <c r="K3" s="69"/>
      <c r="L3" s="69"/>
      <c r="M3" s="60"/>
      <c r="P3" s="53"/>
    </row>
    <row r="4" spans="1:28" customFormat="1" ht="25" customHeight="1" thickTop="1" x14ac:dyDescent="0.3">
      <c r="B4" s="70"/>
      <c r="C4" s="71"/>
      <c r="D4" s="72"/>
      <c r="E4" s="145"/>
      <c r="F4" s="74"/>
      <c r="G4" s="146"/>
      <c r="H4" s="74"/>
      <c r="I4" s="75"/>
      <c r="J4" s="53"/>
      <c r="K4" s="76"/>
      <c r="L4" s="60"/>
      <c r="O4" s="53"/>
    </row>
    <row r="5" spans="1:28" ht="20.149999999999999" customHeight="1" x14ac:dyDescent="0.3">
      <c r="A5" s="509" t="s">
        <v>244</v>
      </c>
      <c r="B5" s="509"/>
      <c r="C5" s="509"/>
      <c r="D5" s="509"/>
      <c r="E5" s="509"/>
      <c r="F5" s="509"/>
      <c r="G5" s="509"/>
      <c r="H5" s="509"/>
      <c r="I5" s="509"/>
      <c r="J5" s="509"/>
      <c r="K5" s="509"/>
      <c r="L5" s="510" t="s">
        <v>300</v>
      </c>
      <c r="M5" s="510"/>
    </row>
    <row r="6" spans="1:28" ht="20.149999999999999" customHeight="1" x14ac:dyDescent="0.3">
      <c r="A6" s="509"/>
      <c r="B6" s="509"/>
      <c r="C6" s="509"/>
      <c r="D6" s="509"/>
      <c r="E6" s="509"/>
      <c r="F6" s="509"/>
      <c r="G6" s="509"/>
      <c r="H6" s="509"/>
      <c r="I6" s="509"/>
      <c r="J6" s="509"/>
      <c r="K6" s="509"/>
      <c r="L6" s="511" t="s">
        <v>485</v>
      </c>
      <c r="M6" s="511"/>
    </row>
    <row r="7" spans="1:28" ht="20.149999999999999" customHeight="1" x14ac:dyDescent="0.3">
      <c r="A7" s="509"/>
      <c r="B7" s="509"/>
      <c r="C7" s="509"/>
      <c r="D7" s="509"/>
      <c r="E7" s="509"/>
      <c r="F7" s="509"/>
      <c r="G7" s="509"/>
      <c r="H7" s="509"/>
      <c r="I7" s="509"/>
      <c r="J7" s="509"/>
      <c r="K7" s="509"/>
      <c r="L7" s="510" t="s">
        <v>331</v>
      </c>
      <c r="M7" s="510"/>
    </row>
    <row r="8" spans="1:28" s="372" customFormat="1" ht="20.149999999999999" customHeight="1" x14ac:dyDescent="0.5">
      <c r="A8" s="374"/>
      <c r="B8" s="512" t="s">
        <v>301</v>
      </c>
      <c r="C8" s="512"/>
      <c r="D8" s="512"/>
      <c r="E8" s="512"/>
      <c r="F8" s="512"/>
      <c r="G8" s="512"/>
      <c r="H8" s="512"/>
      <c r="I8" s="512"/>
      <c r="J8" s="512"/>
      <c r="K8" s="512"/>
      <c r="L8" s="512"/>
      <c r="M8" s="512"/>
      <c r="N8" s="371"/>
      <c r="O8" s="371"/>
    </row>
    <row r="9" spans="1:28" ht="20.149999999999999" customHeight="1" x14ac:dyDescent="0.35">
      <c r="A9" s="369"/>
      <c r="B9" s="508" t="s">
        <v>247</v>
      </c>
      <c r="C9" s="508"/>
      <c r="D9" s="508"/>
      <c r="E9" s="508"/>
      <c r="F9" s="508"/>
      <c r="G9" s="508"/>
      <c r="H9" s="508"/>
      <c r="I9" s="508"/>
      <c r="J9" s="508"/>
      <c r="K9" s="508"/>
      <c r="L9" s="508"/>
      <c r="M9" s="508"/>
      <c r="N9" s="18"/>
      <c r="O9" s="18"/>
    </row>
    <row r="10" spans="1:28" ht="20.149999999999999" customHeight="1" x14ac:dyDescent="0.35">
      <c r="A10" s="17"/>
      <c r="B10" s="369" t="s">
        <v>406</v>
      </c>
      <c r="C10" s="370"/>
      <c r="D10" s="370"/>
      <c r="E10" s="370"/>
      <c r="F10" s="370"/>
      <c r="G10" s="370"/>
      <c r="H10" s="370"/>
      <c r="I10" s="370"/>
      <c r="J10" s="370"/>
      <c r="K10" s="370"/>
      <c r="L10" s="507"/>
      <c r="M10" s="507"/>
      <c r="N10" s="18"/>
      <c r="O10" s="18"/>
    </row>
    <row r="11" spans="1:28" s="19" customFormat="1" ht="40" customHeight="1" x14ac:dyDescent="0.3">
      <c r="A11" s="17"/>
      <c r="B11" s="380" t="s">
        <v>484</v>
      </c>
      <c r="C11" s="380"/>
      <c r="D11" s="380"/>
      <c r="E11" s="380"/>
      <c r="F11" s="380"/>
      <c r="G11" s="380"/>
      <c r="H11" s="380"/>
      <c r="I11" s="380"/>
      <c r="J11" s="373"/>
      <c r="K11" s="373"/>
      <c r="L11" s="373"/>
      <c r="M11" s="373"/>
      <c r="N11" s="18"/>
      <c r="O11" s="18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s="20" customFormat="1" ht="42.75" customHeight="1" x14ac:dyDescent="0.35">
      <c r="B12" s="405" t="s">
        <v>263</v>
      </c>
      <c r="C12" s="381" t="s">
        <v>103</v>
      </c>
      <c r="D12" s="381" t="s">
        <v>264</v>
      </c>
      <c r="E12" s="381" t="s">
        <v>281</v>
      </c>
      <c r="F12" s="381" t="s">
        <v>282</v>
      </c>
      <c r="G12" s="381" t="s">
        <v>393</v>
      </c>
      <c r="H12" s="381" t="s">
        <v>265</v>
      </c>
      <c r="I12" s="381" t="s">
        <v>266</v>
      </c>
      <c r="J12"/>
      <c r="K12"/>
      <c r="L12" s="26"/>
      <c r="M12" s="26"/>
      <c r="N12" s="25"/>
      <c r="O12" s="25"/>
    </row>
    <row r="13" spans="1:28" s="20" customFormat="1" ht="20.25" customHeight="1" x14ac:dyDescent="0.35">
      <c r="B13" s="406" t="s">
        <v>283</v>
      </c>
      <c r="C13" s="347" t="s">
        <v>486</v>
      </c>
      <c r="D13" s="347" t="s">
        <v>487</v>
      </c>
      <c r="E13" s="347" t="s">
        <v>488</v>
      </c>
      <c r="F13" s="348" t="s">
        <v>489</v>
      </c>
      <c r="G13" s="347" t="s">
        <v>490</v>
      </c>
      <c r="H13" s="347"/>
      <c r="I13" s="347" t="s">
        <v>491</v>
      </c>
      <c r="J13"/>
      <c r="K13"/>
      <c r="L13" s="26"/>
      <c r="M13" s="26"/>
      <c r="N13" s="25"/>
      <c r="O13" s="25"/>
    </row>
    <row r="14" spans="1:28" s="20" customFormat="1" ht="19.5" customHeight="1" x14ac:dyDescent="0.35">
      <c r="B14" s="406" t="s">
        <v>249</v>
      </c>
      <c r="C14" s="349" t="s">
        <v>492</v>
      </c>
      <c r="D14" s="349" t="s">
        <v>493</v>
      </c>
      <c r="E14" s="347" t="s">
        <v>494</v>
      </c>
      <c r="F14" s="347" t="s">
        <v>495</v>
      </c>
      <c r="G14" s="347"/>
      <c r="H14" s="347" t="s">
        <v>496</v>
      </c>
      <c r="I14" s="347"/>
      <c r="J14"/>
      <c r="K14"/>
      <c r="L14" s="26"/>
      <c r="M14" s="26"/>
      <c r="N14" s="25"/>
      <c r="O14" s="25"/>
    </row>
    <row r="15" spans="1:28" s="21" customFormat="1" ht="19.5" customHeight="1" x14ac:dyDescent="0.35">
      <c r="B15" s="406" t="s">
        <v>249</v>
      </c>
      <c r="C15" s="349" t="s">
        <v>435</v>
      </c>
      <c r="D15" s="349" t="s">
        <v>497</v>
      </c>
      <c r="E15" s="347" t="s">
        <v>493</v>
      </c>
      <c r="F15" s="347"/>
      <c r="G15" s="347" t="s">
        <v>498</v>
      </c>
      <c r="H15" s="347"/>
      <c r="I15" s="347" t="s">
        <v>499</v>
      </c>
      <c r="J15"/>
      <c r="K15"/>
      <c r="L15" s="26"/>
      <c r="M15" s="26"/>
      <c r="N15" s="25"/>
      <c r="O15" s="25"/>
    </row>
    <row r="16" spans="1:28" s="20" customFormat="1" ht="18" customHeight="1" x14ac:dyDescent="0.35">
      <c r="B16" s="406" t="s">
        <v>251</v>
      </c>
      <c r="C16" s="349" t="s">
        <v>437</v>
      </c>
      <c r="D16" s="349" t="s">
        <v>500</v>
      </c>
      <c r="E16" s="347" t="s">
        <v>501</v>
      </c>
      <c r="F16" s="347" t="s">
        <v>502</v>
      </c>
      <c r="G16" s="347"/>
      <c r="H16" s="347" t="s">
        <v>438</v>
      </c>
      <c r="I16" s="347"/>
      <c r="J16"/>
      <c r="K16"/>
      <c r="L16" s="26"/>
      <c r="M16" s="26"/>
      <c r="N16" s="25"/>
      <c r="O16" s="25"/>
    </row>
    <row r="17" spans="1:16" s="21" customFormat="1" ht="18" customHeight="1" x14ac:dyDescent="0.35">
      <c r="B17" s="406" t="s">
        <v>251</v>
      </c>
      <c r="C17" s="349" t="s">
        <v>503</v>
      </c>
      <c r="D17" s="349" t="s">
        <v>497</v>
      </c>
      <c r="E17" s="347"/>
      <c r="F17" s="347"/>
      <c r="G17" s="347"/>
      <c r="H17" s="347" t="s">
        <v>504</v>
      </c>
      <c r="I17" s="347" t="s">
        <v>426</v>
      </c>
      <c r="J17"/>
      <c r="K17"/>
      <c r="L17" s="26"/>
      <c r="M17" s="26"/>
      <c r="N17" s="25"/>
      <c r="O17" s="25"/>
    </row>
    <row r="18" spans="1:16" s="20" customFormat="1" ht="18" customHeight="1" x14ac:dyDescent="0.35">
      <c r="B18" s="406" t="s">
        <v>267</v>
      </c>
      <c r="C18" s="349" t="s">
        <v>505</v>
      </c>
      <c r="D18" s="349" t="s">
        <v>506</v>
      </c>
      <c r="E18" s="349" t="s">
        <v>507</v>
      </c>
      <c r="F18" s="349" t="s">
        <v>508</v>
      </c>
      <c r="G18" s="349"/>
      <c r="H18" s="349" t="s">
        <v>395</v>
      </c>
      <c r="I18" s="349" t="s">
        <v>412</v>
      </c>
      <c r="J18"/>
      <c r="K18"/>
      <c r="L18" s="26"/>
      <c r="M18" s="26"/>
      <c r="N18" s="25"/>
      <c r="O18" s="25"/>
    </row>
    <row r="19" spans="1:16" s="20" customFormat="1" ht="18" customHeight="1" x14ac:dyDescent="0.35">
      <c r="B19" s="406" t="s">
        <v>267</v>
      </c>
      <c r="C19" s="349" t="s">
        <v>494</v>
      </c>
      <c r="D19" s="350" t="s">
        <v>435</v>
      </c>
      <c r="E19" s="351"/>
      <c r="F19" s="351"/>
      <c r="G19" s="347"/>
      <c r="H19" s="351" t="s">
        <v>440</v>
      </c>
      <c r="I19" s="351" t="s">
        <v>509</v>
      </c>
      <c r="J19"/>
      <c r="K19"/>
      <c r="L19" s="26"/>
      <c r="M19" s="26"/>
      <c r="N19" s="25"/>
      <c r="O19" s="25"/>
      <c r="P19" s="379"/>
    </row>
    <row r="20" spans="1:16" s="20" customFormat="1" ht="18" customHeight="1" x14ac:dyDescent="0.35">
      <c r="B20" s="406" t="s">
        <v>267</v>
      </c>
      <c r="C20" s="349" t="s">
        <v>441</v>
      </c>
      <c r="D20" s="350" t="s">
        <v>493</v>
      </c>
      <c r="E20" s="347" t="s">
        <v>510</v>
      </c>
      <c r="F20" s="376"/>
      <c r="G20" s="347"/>
      <c r="H20" s="347" t="s">
        <v>388</v>
      </c>
      <c r="I20" s="347"/>
      <c r="J20"/>
      <c r="K20"/>
      <c r="L20" s="26"/>
      <c r="M20" s="26"/>
      <c r="N20" s="25"/>
      <c r="O20" s="25"/>
    </row>
    <row r="21" spans="1:16" s="21" customFormat="1" ht="18" customHeight="1" x14ac:dyDescent="0.35">
      <c r="B21" s="406" t="s">
        <v>267</v>
      </c>
      <c r="C21" s="349" t="s">
        <v>511</v>
      </c>
      <c r="D21" s="350" t="s">
        <v>493</v>
      </c>
      <c r="E21" s="347"/>
      <c r="F21" s="347" t="s">
        <v>512</v>
      </c>
      <c r="G21" s="349" t="s">
        <v>513</v>
      </c>
      <c r="H21" s="347"/>
      <c r="I21" s="347" t="s">
        <v>442</v>
      </c>
      <c r="J21"/>
      <c r="K21"/>
      <c r="L21" s="26"/>
      <c r="M21" s="26"/>
      <c r="N21" s="25"/>
      <c r="O21" s="25"/>
    </row>
    <row r="22" spans="1:16" s="21" customFormat="1" ht="18" customHeight="1" x14ac:dyDescent="0.35">
      <c r="B22" s="406" t="s">
        <v>268</v>
      </c>
      <c r="C22" s="349" t="s">
        <v>443</v>
      </c>
      <c r="D22" s="349" t="s">
        <v>411</v>
      </c>
      <c r="E22" s="349" t="s">
        <v>514</v>
      </c>
      <c r="F22" s="349" t="s">
        <v>515</v>
      </c>
      <c r="G22" s="347" t="s">
        <v>490</v>
      </c>
      <c r="H22" s="349" t="s">
        <v>516</v>
      </c>
      <c r="I22" s="407"/>
      <c r="J22"/>
      <c r="K22"/>
      <c r="L22" s="26"/>
      <c r="M22" s="26"/>
      <c r="N22" s="25"/>
      <c r="O22" s="25"/>
    </row>
    <row r="23" spans="1:16" s="20" customFormat="1" ht="18" customHeight="1" x14ac:dyDescent="0.35">
      <c r="B23" s="406" t="s">
        <v>269</v>
      </c>
      <c r="C23" s="349" t="s">
        <v>443</v>
      </c>
      <c r="D23" s="349" t="s">
        <v>441</v>
      </c>
      <c r="E23" s="349"/>
      <c r="F23" s="349"/>
      <c r="G23" s="347"/>
      <c r="H23" s="349" t="s">
        <v>517</v>
      </c>
      <c r="I23" s="349" t="s">
        <v>444</v>
      </c>
      <c r="J23"/>
      <c r="K23"/>
      <c r="L23" s="26"/>
      <c r="M23" s="26"/>
      <c r="N23" s="25"/>
      <c r="O23" s="25"/>
    </row>
    <row r="24" spans="1:16" s="21" customFormat="1" ht="18" customHeight="1" x14ac:dyDescent="0.35">
      <c r="B24" s="408" t="s">
        <v>269</v>
      </c>
      <c r="C24" s="349"/>
      <c r="D24" s="376"/>
      <c r="E24" s="347"/>
      <c r="F24" s="347"/>
      <c r="G24" s="347"/>
      <c r="H24" s="351"/>
      <c r="I24" s="351" t="s">
        <v>518</v>
      </c>
      <c r="J24"/>
      <c r="K24"/>
      <c r="L24" s="26"/>
      <c r="M24" s="26"/>
      <c r="N24" s="25"/>
      <c r="O24" s="25"/>
    </row>
    <row r="25" spans="1:16" s="20" customFormat="1" ht="18" customHeight="1" x14ac:dyDescent="0.35">
      <c r="B25" s="409" t="s">
        <v>270</v>
      </c>
      <c r="C25" s="352" t="s">
        <v>519</v>
      </c>
      <c r="D25" s="352" t="s">
        <v>520</v>
      </c>
      <c r="E25" s="352" t="s">
        <v>521</v>
      </c>
      <c r="F25" s="352" t="s">
        <v>522</v>
      </c>
      <c r="G25" s="352" t="s">
        <v>523</v>
      </c>
      <c r="H25" s="352" t="s">
        <v>524</v>
      </c>
      <c r="I25" s="352" t="s">
        <v>525</v>
      </c>
      <c r="J25"/>
      <c r="K25"/>
      <c r="L25" s="26"/>
      <c r="M25" s="26"/>
      <c r="N25" s="25"/>
      <c r="O25" s="25"/>
    </row>
    <row r="26" spans="1:16" s="20" customFormat="1" ht="18" customHeight="1" x14ac:dyDescent="0.35">
      <c r="B26" s="409" t="s">
        <v>271</v>
      </c>
      <c r="C26" s="353" t="s">
        <v>425</v>
      </c>
      <c r="D26" s="353" t="s">
        <v>526</v>
      </c>
      <c r="E26" s="354" t="s">
        <v>527</v>
      </c>
      <c r="F26" s="354" t="s">
        <v>445</v>
      </c>
      <c r="G26" s="354" t="s">
        <v>528</v>
      </c>
      <c r="H26" s="353" t="s">
        <v>446</v>
      </c>
      <c r="I26" s="353" t="s">
        <v>447</v>
      </c>
      <c r="J26"/>
      <c r="K26"/>
      <c r="L26" s="26"/>
      <c r="M26" s="26"/>
      <c r="N26" s="25"/>
      <c r="O26" s="25"/>
    </row>
    <row r="27" spans="1:16" s="20" customFormat="1" ht="19.5" customHeight="1" x14ac:dyDescent="0.35">
      <c r="B27" s="410" t="s">
        <v>262</v>
      </c>
      <c r="C27" s="355" t="s">
        <v>529</v>
      </c>
      <c r="D27" s="355" t="s">
        <v>530</v>
      </c>
      <c r="E27" s="353" t="s">
        <v>531</v>
      </c>
      <c r="F27" s="353" t="s">
        <v>532</v>
      </c>
      <c r="G27" s="353" t="s">
        <v>533</v>
      </c>
      <c r="H27" s="353" t="s">
        <v>534</v>
      </c>
      <c r="I27" s="354" t="s">
        <v>535</v>
      </c>
      <c r="J27"/>
      <c r="K27"/>
      <c r="L27" s="26"/>
      <c r="M27" s="26"/>
      <c r="N27" s="25"/>
      <c r="O27" s="25"/>
    </row>
    <row r="28" spans="1:16" s="20" customFormat="1" ht="18" customHeight="1" x14ac:dyDescent="0.35">
      <c r="A28" s="375"/>
      <c r="B28" s="411"/>
      <c r="C28" s="377"/>
      <c r="D28" s="377"/>
      <c r="E28" s="377"/>
      <c r="F28" s="377"/>
      <c r="G28" s="377"/>
      <c r="H28" s="377"/>
      <c r="I28" s="412"/>
      <c r="J28"/>
      <c r="K28"/>
      <c r="L28" s="29"/>
      <c r="M28" s="29"/>
      <c r="N28" s="25"/>
      <c r="O28" s="25"/>
    </row>
    <row r="29" spans="1:16" s="20" customFormat="1" ht="40" customHeight="1" x14ac:dyDescent="0.35">
      <c r="A29"/>
      <c r="B29" s="413" t="s">
        <v>263</v>
      </c>
      <c r="C29" s="381" t="s">
        <v>272</v>
      </c>
      <c r="D29" s="381" t="s">
        <v>11</v>
      </c>
      <c r="E29" s="381" t="s">
        <v>12</v>
      </c>
      <c r="F29" s="381" t="s">
        <v>24</v>
      </c>
      <c r="G29" s="382" t="s">
        <v>286</v>
      </c>
      <c r="H29" s="382" t="s">
        <v>288</v>
      </c>
      <c r="I29" s="381" t="s">
        <v>38</v>
      </c>
      <c r="J29"/>
      <c r="K29"/>
      <c r="L29" s="26"/>
      <c r="M29" s="26"/>
      <c r="N29" s="25"/>
      <c r="O29" s="25"/>
    </row>
    <row r="30" spans="1:16" s="20" customFormat="1" ht="15.5" x14ac:dyDescent="0.35">
      <c r="A30"/>
      <c r="B30" s="406" t="s">
        <v>283</v>
      </c>
      <c r="C30" s="347" t="s">
        <v>536</v>
      </c>
      <c r="D30" s="347" t="s">
        <v>537</v>
      </c>
      <c r="E30" s="347" t="s">
        <v>538</v>
      </c>
      <c r="F30" s="347" t="s">
        <v>539</v>
      </c>
      <c r="G30" s="356" t="s">
        <v>540</v>
      </c>
      <c r="H30" s="356" t="s">
        <v>541</v>
      </c>
      <c r="I30" s="347" t="s">
        <v>542</v>
      </c>
      <c r="J30"/>
      <c r="K30"/>
      <c r="L30" s="26"/>
      <c r="M30" s="26"/>
      <c r="N30" s="25"/>
      <c r="O30" s="25"/>
    </row>
    <row r="31" spans="1:16" s="21" customFormat="1" ht="21" customHeight="1" x14ac:dyDescent="0.35">
      <c r="A31"/>
      <c r="B31" s="406" t="s">
        <v>249</v>
      </c>
      <c r="C31" s="347" t="s">
        <v>396</v>
      </c>
      <c r="D31" s="347" t="s">
        <v>543</v>
      </c>
      <c r="E31" s="347" t="s">
        <v>544</v>
      </c>
      <c r="F31" s="347" t="s">
        <v>545</v>
      </c>
      <c r="G31" s="356" t="s">
        <v>449</v>
      </c>
      <c r="H31" s="356"/>
      <c r="I31" s="349" t="s">
        <v>546</v>
      </c>
      <c r="J31"/>
      <c r="K31"/>
      <c r="L31" s="26"/>
      <c r="M31" s="26"/>
      <c r="N31" s="25"/>
      <c r="O31" s="25"/>
    </row>
    <row r="32" spans="1:16" s="20" customFormat="1" ht="15" customHeight="1" x14ac:dyDescent="0.35">
      <c r="A32"/>
      <c r="B32" s="406" t="s">
        <v>267</v>
      </c>
      <c r="C32" s="349" t="s">
        <v>450</v>
      </c>
      <c r="D32" s="349" t="s">
        <v>547</v>
      </c>
      <c r="E32" s="349" t="s">
        <v>548</v>
      </c>
      <c r="F32" s="349" t="s">
        <v>549</v>
      </c>
      <c r="G32" s="357"/>
      <c r="H32" s="357" t="s">
        <v>550</v>
      </c>
      <c r="I32" s="349" t="s">
        <v>398</v>
      </c>
      <c r="J32"/>
      <c r="K32"/>
      <c r="L32" s="26"/>
      <c r="M32" s="26"/>
      <c r="N32" s="25"/>
      <c r="O32" s="25"/>
    </row>
    <row r="33" spans="1:15" s="20" customFormat="1" ht="15" customHeight="1" x14ac:dyDescent="0.35">
      <c r="A33"/>
      <c r="B33" s="406" t="s">
        <v>267</v>
      </c>
      <c r="C33" s="349" t="s">
        <v>451</v>
      </c>
      <c r="D33" s="378" t="s">
        <v>427</v>
      </c>
      <c r="E33" s="349" t="s">
        <v>551</v>
      </c>
      <c r="F33" s="349" t="s">
        <v>552</v>
      </c>
      <c r="G33" s="357" t="s">
        <v>424</v>
      </c>
      <c r="H33" s="357"/>
      <c r="I33" s="347" t="s">
        <v>407</v>
      </c>
      <c r="J33"/>
      <c r="K33"/>
      <c r="L33" s="26"/>
      <c r="M33" s="26"/>
      <c r="N33" s="25"/>
      <c r="O33" s="25"/>
    </row>
    <row r="34" spans="1:15" s="21" customFormat="1" ht="14.25" customHeight="1" x14ac:dyDescent="0.35">
      <c r="A34"/>
      <c r="B34" s="406" t="s">
        <v>268</v>
      </c>
      <c r="C34" s="347" t="s">
        <v>439</v>
      </c>
      <c r="D34" s="349" t="s">
        <v>414</v>
      </c>
      <c r="E34" s="351" t="s">
        <v>436</v>
      </c>
      <c r="F34" s="347" t="s">
        <v>553</v>
      </c>
      <c r="G34" s="356" t="s">
        <v>554</v>
      </c>
      <c r="H34" s="356" t="s">
        <v>555</v>
      </c>
      <c r="I34" s="347" t="s">
        <v>556</v>
      </c>
      <c r="J34"/>
      <c r="K34"/>
      <c r="L34" s="26"/>
      <c r="M34" s="26"/>
      <c r="N34" s="25"/>
      <c r="O34" s="25"/>
    </row>
    <row r="35" spans="1:15" s="21" customFormat="1" ht="15" customHeight="1" x14ac:dyDescent="0.35">
      <c r="A35"/>
      <c r="B35" s="406" t="s">
        <v>268</v>
      </c>
      <c r="C35" s="347" t="s">
        <v>557</v>
      </c>
      <c r="D35" s="347" t="s">
        <v>558</v>
      </c>
      <c r="E35" s="351" t="s">
        <v>559</v>
      </c>
      <c r="F35" s="347" t="s">
        <v>560</v>
      </c>
      <c r="G35" s="356" t="s">
        <v>561</v>
      </c>
      <c r="H35" s="356" t="s">
        <v>562</v>
      </c>
      <c r="I35" s="349" t="s">
        <v>452</v>
      </c>
      <c r="J35"/>
      <c r="K35"/>
      <c r="L35" s="26"/>
      <c r="M35" s="26"/>
      <c r="N35" s="25"/>
      <c r="O35" s="25"/>
    </row>
    <row r="36" spans="1:15" s="20" customFormat="1" ht="15" customHeight="1" x14ac:dyDescent="0.35">
      <c r="A36"/>
      <c r="B36" s="406" t="s">
        <v>269</v>
      </c>
      <c r="C36" s="349" t="s">
        <v>563</v>
      </c>
      <c r="D36" s="349" t="s">
        <v>564</v>
      </c>
      <c r="E36" s="349" t="s">
        <v>565</v>
      </c>
      <c r="F36" s="349" t="s">
        <v>566</v>
      </c>
      <c r="G36" s="357"/>
      <c r="H36" s="357"/>
      <c r="I36" s="347" t="s">
        <v>567</v>
      </c>
      <c r="J36"/>
      <c r="K36"/>
      <c r="L36" s="26"/>
      <c r="M36" s="26"/>
      <c r="N36" s="25"/>
      <c r="O36" s="25"/>
    </row>
    <row r="37" spans="1:15" s="21" customFormat="1" ht="18" customHeight="1" x14ac:dyDescent="0.35">
      <c r="A37"/>
      <c r="B37" s="408" t="s">
        <v>269</v>
      </c>
      <c r="C37" s="347" t="s">
        <v>453</v>
      </c>
      <c r="D37" s="347" t="s">
        <v>568</v>
      </c>
      <c r="E37" s="351" t="s">
        <v>397</v>
      </c>
      <c r="F37" s="347" t="s">
        <v>569</v>
      </c>
      <c r="G37" s="356" t="s">
        <v>570</v>
      </c>
      <c r="H37" s="356" t="s">
        <v>571</v>
      </c>
      <c r="I37" s="349" t="s">
        <v>454</v>
      </c>
      <c r="J37"/>
      <c r="K37"/>
      <c r="L37" s="26"/>
      <c r="M37" s="26"/>
      <c r="N37" s="25"/>
      <c r="O37" s="25"/>
    </row>
    <row r="38" spans="1:15" s="20" customFormat="1" ht="18" customHeight="1" x14ac:dyDescent="0.35">
      <c r="A38"/>
      <c r="B38" s="409" t="s">
        <v>270</v>
      </c>
      <c r="C38" s="358" t="s">
        <v>572</v>
      </c>
      <c r="D38" s="352" t="s">
        <v>573</v>
      </c>
      <c r="E38" s="352" t="s">
        <v>574</v>
      </c>
      <c r="F38" s="352" t="s">
        <v>460</v>
      </c>
      <c r="G38" s="359" t="s">
        <v>575</v>
      </c>
      <c r="H38" s="359" t="s">
        <v>562</v>
      </c>
      <c r="I38" s="352" t="s">
        <v>474</v>
      </c>
      <c r="J38"/>
      <c r="K38"/>
      <c r="L38" s="26"/>
      <c r="M38" s="26"/>
      <c r="N38" s="25"/>
      <c r="O38" s="25"/>
    </row>
    <row r="39" spans="1:15" s="23" customFormat="1" ht="18" customHeight="1" x14ac:dyDescent="0.35">
      <c r="A39"/>
      <c r="B39" s="409" t="s">
        <v>271</v>
      </c>
      <c r="C39" s="352" t="s">
        <v>455</v>
      </c>
      <c r="D39" s="352" t="s">
        <v>576</v>
      </c>
      <c r="E39" s="352" t="s">
        <v>456</v>
      </c>
      <c r="F39" s="352" t="s">
        <v>448</v>
      </c>
      <c r="G39" s="359" t="s">
        <v>457</v>
      </c>
      <c r="H39" s="360" t="s">
        <v>458</v>
      </c>
      <c r="I39" s="414" t="s">
        <v>459</v>
      </c>
      <c r="J39"/>
      <c r="K39"/>
      <c r="L39" s="30"/>
      <c r="M39" s="30"/>
      <c r="N39" s="22"/>
      <c r="O39" s="22"/>
    </row>
    <row r="40" spans="1:15" s="20" customFormat="1" ht="18" customHeight="1" x14ac:dyDescent="0.35">
      <c r="A40"/>
      <c r="B40" s="410" t="s">
        <v>262</v>
      </c>
      <c r="C40" s="355" t="s">
        <v>577</v>
      </c>
      <c r="D40" s="415" t="s">
        <v>578</v>
      </c>
      <c r="E40" s="415" t="s">
        <v>579</v>
      </c>
      <c r="F40" s="416" t="s">
        <v>580</v>
      </c>
      <c r="G40" s="417" t="s">
        <v>581</v>
      </c>
      <c r="H40" s="417" t="s">
        <v>582</v>
      </c>
      <c r="I40" s="415" t="s">
        <v>583</v>
      </c>
      <c r="J40"/>
      <c r="K40"/>
      <c r="L40" s="26"/>
      <c r="M40" s="26"/>
      <c r="N40" s="25"/>
      <c r="O40" s="25"/>
    </row>
    <row r="41" spans="1:15" s="20" customFormat="1" ht="18" customHeight="1" x14ac:dyDescent="0.35">
      <c r="A41"/>
      <c r="B41" s="375" t="s">
        <v>291</v>
      </c>
      <c r="C41" s="31"/>
      <c r="D41" s="31"/>
      <c r="E41" s="31"/>
      <c r="F41" s="31"/>
      <c r="G41" s="31"/>
      <c r="H41" s="31"/>
      <c r="I41" s="31"/>
      <c r="J41" s="31"/>
      <c r="K41" s="31"/>
      <c r="L41" s="32"/>
      <c r="M41" s="32"/>
      <c r="N41" s="25"/>
      <c r="O41" s="25"/>
    </row>
  </sheetData>
  <mergeCells count="7">
    <mergeCell ref="L10:M10"/>
    <mergeCell ref="B9:M9"/>
    <mergeCell ref="A5:K7"/>
    <mergeCell ref="L5:M5"/>
    <mergeCell ref="L6:M6"/>
    <mergeCell ref="L7:M7"/>
    <mergeCell ref="B8:M8"/>
  </mergeCells>
  <printOptions horizontalCentered="1" verticalCentered="1"/>
  <pageMargins left="7.874015748031496E-2" right="7.874015748031496E-2" top="0.82677165354330717" bottom="1.0236220472440944" header="0.51181102362204722" footer="0.51181102362204722"/>
  <pageSetup paperSize="9" scale="60" orientation="landscape" r:id="rId1"/>
  <headerFooter alignWithMargins="0">
    <oddFooter>Przygotował(a) Lukasz.Zaremba@ierigz.waw.pl;Tomasz.Smolenski@ierigz.waw.pl &amp;D&amp;RStrona 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showGridLines="0" topLeftCell="A14" zoomScale="75" zoomScaleNormal="75" workbookViewId="0">
      <selection activeCell="P12" sqref="P12:AD43"/>
    </sheetView>
  </sheetViews>
  <sheetFormatPr defaultRowHeight="15.5" x14ac:dyDescent="0.35"/>
  <cols>
    <col min="1" max="1" width="25.81640625" style="33" customWidth="1"/>
    <col min="2" max="2" width="27" style="33" hidden="1" customWidth="1"/>
    <col min="3" max="3" width="26.453125" style="33" hidden="1" customWidth="1"/>
    <col min="4" max="4" width="27" style="33" hidden="1" customWidth="1"/>
    <col min="5" max="5" width="23.54296875" style="33" hidden="1" customWidth="1"/>
    <col min="6" max="6" width="18.81640625" style="33" hidden="1" customWidth="1"/>
    <col min="7" max="7" width="0.1796875" style="33" hidden="1" customWidth="1"/>
    <col min="8" max="8" width="19.81640625" style="33" hidden="1" customWidth="1"/>
    <col min="9" max="9" width="18.1796875" style="33" hidden="1" customWidth="1"/>
    <col min="10" max="10" width="24.54296875" style="33" hidden="1" customWidth="1"/>
    <col min="11" max="11" width="17.7265625" style="33" hidden="1" customWidth="1"/>
    <col min="12" max="12" width="26.81640625" style="33" hidden="1" customWidth="1"/>
    <col min="13" max="13" width="29" style="33" hidden="1" customWidth="1"/>
    <col min="14" max="14" width="28.453125" style="33" hidden="1" customWidth="1"/>
    <col min="15" max="15" width="7.81640625" style="33" hidden="1" customWidth="1"/>
    <col min="16" max="16" width="26.7265625" style="33" customWidth="1"/>
    <col min="17" max="17" width="46.26953125" style="33" customWidth="1"/>
    <col min="18" max="18" width="0.1796875" style="33" customWidth="1"/>
    <col min="19" max="19" width="46.81640625" style="33" hidden="1" customWidth="1"/>
    <col min="20" max="20" width="53.81640625" style="33" hidden="1" customWidth="1"/>
    <col min="21" max="21" width="24.1796875" style="33" hidden="1" customWidth="1"/>
    <col min="22" max="22" width="40" style="33" hidden="1" customWidth="1"/>
    <col min="23" max="23" width="37.7265625" style="33" hidden="1" customWidth="1"/>
    <col min="24" max="24" width="33.453125" style="33" hidden="1" customWidth="1"/>
    <col min="25" max="25" width="39.453125" style="33" hidden="1" customWidth="1"/>
    <col min="26" max="26" width="0.54296875" style="33" hidden="1" customWidth="1"/>
    <col min="27" max="27" width="22.54296875" style="33" bestFit="1" customWidth="1"/>
    <col min="28" max="28" width="30.453125" style="33" bestFit="1" customWidth="1"/>
    <col min="29" max="29" width="17.81640625" style="33" bestFit="1" customWidth="1"/>
    <col min="30" max="30" width="49.26953125" style="33" bestFit="1" customWidth="1"/>
    <col min="31" max="255" width="8.7265625" style="33"/>
    <col min="256" max="256" width="25.81640625" style="33" customWidth="1"/>
    <col min="257" max="257" width="0.54296875" style="33" customWidth="1"/>
    <col min="258" max="271" width="0" style="33" hidden="1" customWidth="1"/>
    <col min="272" max="272" width="26.7265625" style="33" customWidth="1"/>
    <col min="273" max="273" width="46.26953125" style="33" customWidth="1"/>
    <col min="274" max="274" width="48.81640625" style="33" bestFit="1" customWidth="1"/>
    <col min="275" max="275" width="46.81640625" style="33" customWidth="1"/>
    <col min="276" max="276" width="53.81640625" style="33" customWidth="1"/>
    <col min="277" max="282" width="0" style="33" hidden="1" customWidth="1"/>
    <col min="283" max="283" width="0.453125" style="33" customWidth="1"/>
    <col min="284" max="284" width="30.453125" style="33" bestFit="1" customWidth="1"/>
    <col min="285" max="511" width="8.7265625" style="33"/>
    <col min="512" max="512" width="25.81640625" style="33" customWidth="1"/>
    <col min="513" max="513" width="0.54296875" style="33" customWidth="1"/>
    <col min="514" max="527" width="0" style="33" hidden="1" customWidth="1"/>
    <col min="528" max="528" width="26.7265625" style="33" customWidth="1"/>
    <col min="529" max="529" width="46.26953125" style="33" customWidth="1"/>
    <col min="530" max="530" width="48.81640625" style="33" bestFit="1" customWidth="1"/>
    <col min="531" max="531" width="46.81640625" style="33" customWidth="1"/>
    <col min="532" max="532" width="53.81640625" style="33" customWidth="1"/>
    <col min="533" max="538" width="0" style="33" hidden="1" customWidth="1"/>
    <col min="539" max="539" width="0.453125" style="33" customWidth="1"/>
    <col min="540" max="540" width="30.453125" style="33" bestFit="1" customWidth="1"/>
    <col min="541" max="767" width="8.7265625" style="33"/>
    <col min="768" max="768" width="25.81640625" style="33" customWidth="1"/>
    <col min="769" max="769" width="0.54296875" style="33" customWidth="1"/>
    <col min="770" max="783" width="0" style="33" hidden="1" customWidth="1"/>
    <col min="784" max="784" width="26.7265625" style="33" customWidth="1"/>
    <col min="785" max="785" width="46.26953125" style="33" customWidth="1"/>
    <col min="786" max="786" width="48.81640625" style="33" bestFit="1" customWidth="1"/>
    <col min="787" max="787" width="46.81640625" style="33" customWidth="1"/>
    <col min="788" max="788" width="53.81640625" style="33" customWidth="1"/>
    <col min="789" max="794" width="0" style="33" hidden="1" customWidth="1"/>
    <col min="795" max="795" width="0.453125" style="33" customWidth="1"/>
    <col min="796" max="796" width="30.453125" style="33" bestFit="1" customWidth="1"/>
    <col min="797" max="1023" width="8.7265625" style="33"/>
    <col min="1024" max="1024" width="25.81640625" style="33" customWidth="1"/>
    <col min="1025" max="1025" width="0.54296875" style="33" customWidth="1"/>
    <col min="1026" max="1039" width="0" style="33" hidden="1" customWidth="1"/>
    <col min="1040" max="1040" width="26.7265625" style="33" customWidth="1"/>
    <col min="1041" max="1041" width="46.26953125" style="33" customWidth="1"/>
    <col min="1042" max="1042" width="48.81640625" style="33" bestFit="1" customWidth="1"/>
    <col min="1043" max="1043" width="46.81640625" style="33" customWidth="1"/>
    <col min="1044" max="1044" width="53.81640625" style="33" customWidth="1"/>
    <col min="1045" max="1050" width="0" style="33" hidden="1" customWidth="1"/>
    <col min="1051" max="1051" width="0.453125" style="33" customWidth="1"/>
    <col min="1052" max="1052" width="30.453125" style="33" bestFit="1" customWidth="1"/>
    <col min="1053" max="1279" width="8.7265625" style="33"/>
    <col min="1280" max="1280" width="25.81640625" style="33" customWidth="1"/>
    <col min="1281" max="1281" width="0.54296875" style="33" customWidth="1"/>
    <col min="1282" max="1295" width="0" style="33" hidden="1" customWidth="1"/>
    <col min="1296" max="1296" width="26.7265625" style="33" customWidth="1"/>
    <col min="1297" max="1297" width="46.26953125" style="33" customWidth="1"/>
    <col min="1298" max="1298" width="48.81640625" style="33" bestFit="1" customWidth="1"/>
    <col min="1299" max="1299" width="46.81640625" style="33" customWidth="1"/>
    <col min="1300" max="1300" width="53.81640625" style="33" customWidth="1"/>
    <col min="1301" max="1306" width="0" style="33" hidden="1" customWidth="1"/>
    <col min="1307" max="1307" width="0.453125" style="33" customWidth="1"/>
    <col min="1308" max="1308" width="30.453125" style="33" bestFit="1" customWidth="1"/>
    <col min="1309" max="1535" width="8.7265625" style="33"/>
    <col min="1536" max="1536" width="25.81640625" style="33" customWidth="1"/>
    <col min="1537" max="1537" width="0.54296875" style="33" customWidth="1"/>
    <col min="1538" max="1551" width="0" style="33" hidden="1" customWidth="1"/>
    <col min="1552" max="1552" width="26.7265625" style="33" customWidth="1"/>
    <col min="1553" max="1553" width="46.26953125" style="33" customWidth="1"/>
    <col min="1554" max="1554" width="48.81640625" style="33" bestFit="1" customWidth="1"/>
    <col min="1555" max="1555" width="46.81640625" style="33" customWidth="1"/>
    <col min="1556" max="1556" width="53.81640625" style="33" customWidth="1"/>
    <col min="1557" max="1562" width="0" style="33" hidden="1" customWidth="1"/>
    <col min="1563" max="1563" width="0.453125" style="33" customWidth="1"/>
    <col min="1564" max="1564" width="30.453125" style="33" bestFit="1" customWidth="1"/>
    <col min="1565" max="1791" width="8.7265625" style="33"/>
    <col min="1792" max="1792" width="25.81640625" style="33" customWidth="1"/>
    <col min="1793" max="1793" width="0.54296875" style="33" customWidth="1"/>
    <col min="1794" max="1807" width="0" style="33" hidden="1" customWidth="1"/>
    <col min="1808" max="1808" width="26.7265625" style="33" customWidth="1"/>
    <col min="1809" max="1809" width="46.26953125" style="33" customWidth="1"/>
    <col min="1810" max="1810" width="48.81640625" style="33" bestFit="1" customWidth="1"/>
    <col min="1811" max="1811" width="46.81640625" style="33" customWidth="1"/>
    <col min="1812" max="1812" width="53.81640625" style="33" customWidth="1"/>
    <col min="1813" max="1818" width="0" style="33" hidden="1" customWidth="1"/>
    <col min="1819" max="1819" width="0.453125" style="33" customWidth="1"/>
    <col min="1820" max="1820" width="30.453125" style="33" bestFit="1" customWidth="1"/>
    <col min="1821" max="2047" width="8.7265625" style="33"/>
    <col min="2048" max="2048" width="25.81640625" style="33" customWidth="1"/>
    <col min="2049" max="2049" width="0.54296875" style="33" customWidth="1"/>
    <col min="2050" max="2063" width="0" style="33" hidden="1" customWidth="1"/>
    <col min="2064" max="2064" width="26.7265625" style="33" customWidth="1"/>
    <col min="2065" max="2065" width="46.26953125" style="33" customWidth="1"/>
    <col min="2066" max="2066" width="48.81640625" style="33" bestFit="1" customWidth="1"/>
    <col min="2067" max="2067" width="46.81640625" style="33" customWidth="1"/>
    <col min="2068" max="2068" width="53.81640625" style="33" customWidth="1"/>
    <col min="2069" max="2074" width="0" style="33" hidden="1" customWidth="1"/>
    <col min="2075" max="2075" width="0.453125" style="33" customWidth="1"/>
    <col min="2076" max="2076" width="30.453125" style="33" bestFit="1" customWidth="1"/>
    <col min="2077" max="2303" width="8.7265625" style="33"/>
    <col min="2304" max="2304" width="25.81640625" style="33" customWidth="1"/>
    <col min="2305" max="2305" width="0.54296875" style="33" customWidth="1"/>
    <col min="2306" max="2319" width="0" style="33" hidden="1" customWidth="1"/>
    <col min="2320" max="2320" width="26.7265625" style="33" customWidth="1"/>
    <col min="2321" max="2321" width="46.26953125" style="33" customWidth="1"/>
    <col min="2322" max="2322" width="48.81640625" style="33" bestFit="1" customWidth="1"/>
    <col min="2323" max="2323" width="46.81640625" style="33" customWidth="1"/>
    <col min="2324" max="2324" width="53.81640625" style="33" customWidth="1"/>
    <col min="2325" max="2330" width="0" style="33" hidden="1" customWidth="1"/>
    <col min="2331" max="2331" width="0.453125" style="33" customWidth="1"/>
    <col min="2332" max="2332" width="30.453125" style="33" bestFit="1" customWidth="1"/>
    <col min="2333" max="2559" width="8.7265625" style="33"/>
    <col min="2560" max="2560" width="25.81640625" style="33" customWidth="1"/>
    <col min="2561" max="2561" width="0.54296875" style="33" customWidth="1"/>
    <col min="2562" max="2575" width="0" style="33" hidden="1" customWidth="1"/>
    <col min="2576" max="2576" width="26.7265625" style="33" customWidth="1"/>
    <col min="2577" max="2577" width="46.26953125" style="33" customWidth="1"/>
    <col min="2578" max="2578" width="48.81640625" style="33" bestFit="1" customWidth="1"/>
    <col min="2579" max="2579" width="46.81640625" style="33" customWidth="1"/>
    <col min="2580" max="2580" width="53.81640625" style="33" customWidth="1"/>
    <col min="2581" max="2586" width="0" style="33" hidden="1" customWidth="1"/>
    <col min="2587" max="2587" width="0.453125" style="33" customWidth="1"/>
    <col min="2588" max="2588" width="30.453125" style="33" bestFit="1" customWidth="1"/>
    <col min="2589" max="2815" width="8.7265625" style="33"/>
    <col min="2816" max="2816" width="25.81640625" style="33" customWidth="1"/>
    <col min="2817" max="2817" width="0.54296875" style="33" customWidth="1"/>
    <col min="2818" max="2831" width="0" style="33" hidden="1" customWidth="1"/>
    <col min="2832" max="2832" width="26.7265625" style="33" customWidth="1"/>
    <col min="2833" max="2833" width="46.26953125" style="33" customWidth="1"/>
    <col min="2834" max="2834" width="48.81640625" style="33" bestFit="1" customWidth="1"/>
    <col min="2835" max="2835" width="46.81640625" style="33" customWidth="1"/>
    <col min="2836" max="2836" width="53.81640625" style="33" customWidth="1"/>
    <col min="2837" max="2842" width="0" style="33" hidden="1" customWidth="1"/>
    <col min="2843" max="2843" width="0.453125" style="33" customWidth="1"/>
    <col min="2844" max="2844" width="30.453125" style="33" bestFit="1" customWidth="1"/>
    <col min="2845" max="3071" width="8.7265625" style="33"/>
    <col min="3072" max="3072" width="25.81640625" style="33" customWidth="1"/>
    <col min="3073" max="3073" width="0.54296875" style="33" customWidth="1"/>
    <col min="3074" max="3087" width="0" style="33" hidden="1" customWidth="1"/>
    <col min="3088" max="3088" width="26.7265625" style="33" customWidth="1"/>
    <col min="3089" max="3089" width="46.26953125" style="33" customWidth="1"/>
    <col min="3090" max="3090" width="48.81640625" style="33" bestFit="1" customWidth="1"/>
    <col min="3091" max="3091" width="46.81640625" style="33" customWidth="1"/>
    <col min="3092" max="3092" width="53.81640625" style="33" customWidth="1"/>
    <col min="3093" max="3098" width="0" style="33" hidden="1" customWidth="1"/>
    <col min="3099" max="3099" width="0.453125" style="33" customWidth="1"/>
    <col min="3100" max="3100" width="30.453125" style="33" bestFit="1" customWidth="1"/>
    <col min="3101" max="3327" width="8.7265625" style="33"/>
    <col min="3328" max="3328" width="25.81640625" style="33" customWidth="1"/>
    <col min="3329" max="3329" width="0.54296875" style="33" customWidth="1"/>
    <col min="3330" max="3343" width="0" style="33" hidden="1" customWidth="1"/>
    <col min="3344" max="3344" width="26.7265625" style="33" customWidth="1"/>
    <col min="3345" max="3345" width="46.26953125" style="33" customWidth="1"/>
    <col min="3346" max="3346" width="48.81640625" style="33" bestFit="1" customWidth="1"/>
    <col min="3347" max="3347" width="46.81640625" style="33" customWidth="1"/>
    <col min="3348" max="3348" width="53.81640625" style="33" customWidth="1"/>
    <col min="3349" max="3354" width="0" style="33" hidden="1" customWidth="1"/>
    <col min="3355" max="3355" width="0.453125" style="33" customWidth="1"/>
    <col min="3356" max="3356" width="30.453125" style="33" bestFit="1" customWidth="1"/>
    <col min="3357" max="3583" width="8.7265625" style="33"/>
    <col min="3584" max="3584" width="25.81640625" style="33" customWidth="1"/>
    <col min="3585" max="3585" width="0.54296875" style="33" customWidth="1"/>
    <col min="3586" max="3599" width="0" style="33" hidden="1" customWidth="1"/>
    <col min="3600" max="3600" width="26.7265625" style="33" customWidth="1"/>
    <col min="3601" max="3601" width="46.26953125" style="33" customWidth="1"/>
    <col min="3602" max="3602" width="48.81640625" style="33" bestFit="1" customWidth="1"/>
    <col min="3603" max="3603" width="46.81640625" style="33" customWidth="1"/>
    <col min="3604" max="3604" width="53.81640625" style="33" customWidth="1"/>
    <col min="3605" max="3610" width="0" style="33" hidden="1" customWidth="1"/>
    <col min="3611" max="3611" width="0.453125" style="33" customWidth="1"/>
    <col min="3612" max="3612" width="30.453125" style="33" bestFit="1" customWidth="1"/>
    <col min="3613" max="3839" width="8.7265625" style="33"/>
    <col min="3840" max="3840" width="25.81640625" style="33" customWidth="1"/>
    <col min="3841" max="3841" width="0.54296875" style="33" customWidth="1"/>
    <col min="3842" max="3855" width="0" style="33" hidden="1" customWidth="1"/>
    <col min="3856" max="3856" width="26.7265625" style="33" customWidth="1"/>
    <col min="3857" max="3857" width="46.26953125" style="33" customWidth="1"/>
    <col min="3858" max="3858" width="48.81640625" style="33" bestFit="1" customWidth="1"/>
    <col min="3859" max="3859" width="46.81640625" style="33" customWidth="1"/>
    <col min="3860" max="3860" width="53.81640625" style="33" customWidth="1"/>
    <col min="3861" max="3866" width="0" style="33" hidden="1" customWidth="1"/>
    <col min="3867" max="3867" width="0.453125" style="33" customWidth="1"/>
    <col min="3868" max="3868" width="30.453125" style="33" bestFit="1" customWidth="1"/>
    <col min="3869" max="4095" width="8.7265625" style="33"/>
    <col min="4096" max="4096" width="25.81640625" style="33" customWidth="1"/>
    <col min="4097" max="4097" width="0.54296875" style="33" customWidth="1"/>
    <col min="4098" max="4111" width="0" style="33" hidden="1" customWidth="1"/>
    <col min="4112" max="4112" width="26.7265625" style="33" customWidth="1"/>
    <col min="4113" max="4113" width="46.26953125" style="33" customWidth="1"/>
    <col min="4114" max="4114" width="48.81640625" style="33" bestFit="1" customWidth="1"/>
    <col min="4115" max="4115" width="46.81640625" style="33" customWidth="1"/>
    <col min="4116" max="4116" width="53.81640625" style="33" customWidth="1"/>
    <col min="4117" max="4122" width="0" style="33" hidden="1" customWidth="1"/>
    <col min="4123" max="4123" width="0.453125" style="33" customWidth="1"/>
    <col min="4124" max="4124" width="30.453125" style="33" bestFit="1" customWidth="1"/>
    <col min="4125" max="4351" width="8.7265625" style="33"/>
    <col min="4352" max="4352" width="25.81640625" style="33" customWidth="1"/>
    <col min="4353" max="4353" width="0.54296875" style="33" customWidth="1"/>
    <col min="4354" max="4367" width="0" style="33" hidden="1" customWidth="1"/>
    <col min="4368" max="4368" width="26.7265625" style="33" customWidth="1"/>
    <col min="4369" max="4369" width="46.26953125" style="33" customWidth="1"/>
    <col min="4370" max="4370" width="48.81640625" style="33" bestFit="1" customWidth="1"/>
    <col min="4371" max="4371" width="46.81640625" style="33" customWidth="1"/>
    <col min="4372" max="4372" width="53.81640625" style="33" customWidth="1"/>
    <col min="4373" max="4378" width="0" style="33" hidden="1" customWidth="1"/>
    <col min="4379" max="4379" width="0.453125" style="33" customWidth="1"/>
    <col min="4380" max="4380" width="30.453125" style="33" bestFit="1" customWidth="1"/>
    <col min="4381" max="4607" width="8.7265625" style="33"/>
    <col min="4608" max="4608" width="25.81640625" style="33" customWidth="1"/>
    <col min="4609" max="4609" width="0.54296875" style="33" customWidth="1"/>
    <col min="4610" max="4623" width="0" style="33" hidden="1" customWidth="1"/>
    <col min="4624" max="4624" width="26.7265625" style="33" customWidth="1"/>
    <col min="4625" max="4625" width="46.26953125" style="33" customWidth="1"/>
    <col min="4626" max="4626" width="48.81640625" style="33" bestFit="1" customWidth="1"/>
    <col min="4627" max="4627" width="46.81640625" style="33" customWidth="1"/>
    <col min="4628" max="4628" width="53.81640625" style="33" customWidth="1"/>
    <col min="4629" max="4634" width="0" style="33" hidden="1" customWidth="1"/>
    <col min="4635" max="4635" width="0.453125" style="33" customWidth="1"/>
    <col min="4636" max="4636" width="30.453125" style="33" bestFit="1" customWidth="1"/>
    <col min="4637" max="4863" width="8.7265625" style="33"/>
    <col min="4864" max="4864" width="25.81640625" style="33" customWidth="1"/>
    <col min="4865" max="4865" width="0.54296875" style="33" customWidth="1"/>
    <col min="4866" max="4879" width="0" style="33" hidden="1" customWidth="1"/>
    <col min="4880" max="4880" width="26.7265625" style="33" customWidth="1"/>
    <col min="4881" max="4881" width="46.26953125" style="33" customWidth="1"/>
    <col min="4882" max="4882" width="48.81640625" style="33" bestFit="1" customWidth="1"/>
    <col min="4883" max="4883" width="46.81640625" style="33" customWidth="1"/>
    <col min="4884" max="4884" width="53.81640625" style="33" customWidth="1"/>
    <col min="4885" max="4890" width="0" style="33" hidden="1" customWidth="1"/>
    <col min="4891" max="4891" width="0.453125" style="33" customWidth="1"/>
    <col min="4892" max="4892" width="30.453125" style="33" bestFit="1" customWidth="1"/>
    <col min="4893" max="5119" width="8.7265625" style="33"/>
    <col min="5120" max="5120" width="25.81640625" style="33" customWidth="1"/>
    <col min="5121" max="5121" width="0.54296875" style="33" customWidth="1"/>
    <col min="5122" max="5135" width="0" style="33" hidden="1" customWidth="1"/>
    <col min="5136" max="5136" width="26.7265625" style="33" customWidth="1"/>
    <col min="5137" max="5137" width="46.26953125" style="33" customWidth="1"/>
    <col min="5138" max="5138" width="48.81640625" style="33" bestFit="1" customWidth="1"/>
    <col min="5139" max="5139" width="46.81640625" style="33" customWidth="1"/>
    <col min="5140" max="5140" width="53.81640625" style="33" customWidth="1"/>
    <col min="5141" max="5146" width="0" style="33" hidden="1" customWidth="1"/>
    <col min="5147" max="5147" width="0.453125" style="33" customWidth="1"/>
    <col min="5148" max="5148" width="30.453125" style="33" bestFit="1" customWidth="1"/>
    <col min="5149" max="5375" width="8.7265625" style="33"/>
    <col min="5376" max="5376" width="25.81640625" style="33" customWidth="1"/>
    <col min="5377" max="5377" width="0.54296875" style="33" customWidth="1"/>
    <col min="5378" max="5391" width="0" style="33" hidden="1" customWidth="1"/>
    <col min="5392" max="5392" width="26.7265625" style="33" customWidth="1"/>
    <col min="5393" max="5393" width="46.26953125" style="33" customWidth="1"/>
    <col min="5394" max="5394" width="48.81640625" style="33" bestFit="1" customWidth="1"/>
    <col min="5395" max="5395" width="46.81640625" style="33" customWidth="1"/>
    <col min="5396" max="5396" width="53.81640625" style="33" customWidth="1"/>
    <col min="5397" max="5402" width="0" style="33" hidden="1" customWidth="1"/>
    <col min="5403" max="5403" width="0.453125" style="33" customWidth="1"/>
    <col min="5404" max="5404" width="30.453125" style="33" bestFit="1" customWidth="1"/>
    <col min="5405" max="5631" width="8.7265625" style="33"/>
    <col min="5632" max="5632" width="25.81640625" style="33" customWidth="1"/>
    <col min="5633" max="5633" width="0.54296875" style="33" customWidth="1"/>
    <col min="5634" max="5647" width="0" style="33" hidden="1" customWidth="1"/>
    <col min="5648" max="5648" width="26.7265625" style="33" customWidth="1"/>
    <col min="5649" max="5649" width="46.26953125" style="33" customWidth="1"/>
    <col min="5650" max="5650" width="48.81640625" style="33" bestFit="1" customWidth="1"/>
    <col min="5651" max="5651" width="46.81640625" style="33" customWidth="1"/>
    <col min="5652" max="5652" width="53.81640625" style="33" customWidth="1"/>
    <col min="5653" max="5658" width="0" style="33" hidden="1" customWidth="1"/>
    <col min="5659" max="5659" width="0.453125" style="33" customWidth="1"/>
    <col min="5660" max="5660" width="30.453125" style="33" bestFit="1" customWidth="1"/>
    <col min="5661" max="5887" width="8.7265625" style="33"/>
    <col min="5888" max="5888" width="25.81640625" style="33" customWidth="1"/>
    <col min="5889" max="5889" width="0.54296875" style="33" customWidth="1"/>
    <col min="5890" max="5903" width="0" style="33" hidden="1" customWidth="1"/>
    <col min="5904" max="5904" width="26.7265625" style="33" customWidth="1"/>
    <col min="5905" max="5905" width="46.26953125" style="33" customWidth="1"/>
    <col min="5906" max="5906" width="48.81640625" style="33" bestFit="1" customWidth="1"/>
    <col min="5907" max="5907" width="46.81640625" style="33" customWidth="1"/>
    <col min="5908" max="5908" width="53.81640625" style="33" customWidth="1"/>
    <col min="5909" max="5914" width="0" style="33" hidden="1" customWidth="1"/>
    <col min="5915" max="5915" width="0.453125" style="33" customWidth="1"/>
    <col min="5916" max="5916" width="30.453125" style="33" bestFit="1" customWidth="1"/>
    <col min="5917" max="6143" width="8.7265625" style="33"/>
    <col min="6144" max="6144" width="25.81640625" style="33" customWidth="1"/>
    <col min="6145" max="6145" width="0.54296875" style="33" customWidth="1"/>
    <col min="6146" max="6159" width="0" style="33" hidden="1" customWidth="1"/>
    <col min="6160" max="6160" width="26.7265625" style="33" customWidth="1"/>
    <col min="6161" max="6161" width="46.26953125" style="33" customWidth="1"/>
    <col min="6162" max="6162" width="48.81640625" style="33" bestFit="1" customWidth="1"/>
    <col min="6163" max="6163" width="46.81640625" style="33" customWidth="1"/>
    <col min="6164" max="6164" width="53.81640625" style="33" customWidth="1"/>
    <col min="6165" max="6170" width="0" style="33" hidden="1" customWidth="1"/>
    <col min="6171" max="6171" width="0.453125" style="33" customWidth="1"/>
    <col min="6172" max="6172" width="30.453125" style="33" bestFit="1" customWidth="1"/>
    <col min="6173" max="6399" width="8.7265625" style="33"/>
    <col min="6400" max="6400" width="25.81640625" style="33" customWidth="1"/>
    <col min="6401" max="6401" width="0.54296875" style="33" customWidth="1"/>
    <col min="6402" max="6415" width="0" style="33" hidden="1" customWidth="1"/>
    <col min="6416" max="6416" width="26.7265625" style="33" customWidth="1"/>
    <col min="6417" max="6417" width="46.26953125" style="33" customWidth="1"/>
    <col min="6418" max="6418" width="48.81640625" style="33" bestFit="1" customWidth="1"/>
    <col min="6419" max="6419" width="46.81640625" style="33" customWidth="1"/>
    <col min="6420" max="6420" width="53.81640625" style="33" customWidth="1"/>
    <col min="6421" max="6426" width="0" style="33" hidden="1" customWidth="1"/>
    <col min="6427" max="6427" width="0.453125" style="33" customWidth="1"/>
    <col min="6428" max="6428" width="30.453125" style="33" bestFit="1" customWidth="1"/>
    <col min="6429" max="6655" width="8.7265625" style="33"/>
    <col min="6656" max="6656" width="25.81640625" style="33" customWidth="1"/>
    <col min="6657" max="6657" width="0.54296875" style="33" customWidth="1"/>
    <col min="6658" max="6671" width="0" style="33" hidden="1" customWidth="1"/>
    <col min="6672" max="6672" width="26.7265625" style="33" customWidth="1"/>
    <col min="6673" max="6673" width="46.26953125" style="33" customWidth="1"/>
    <col min="6674" max="6674" width="48.81640625" style="33" bestFit="1" customWidth="1"/>
    <col min="6675" max="6675" width="46.81640625" style="33" customWidth="1"/>
    <col min="6676" max="6676" width="53.81640625" style="33" customWidth="1"/>
    <col min="6677" max="6682" width="0" style="33" hidden="1" customWidth="1"/>
    <col min="6683" max="6683" width="0.453125" style="33" customWidth="1"/>
    <col min="6684" max="6684" width="30.453125" style="33" bestFit="1" customWidth="1"/>
    <col min="6685" max="6911" width="8.7265625" style="33"/>
    <col min="6912" max="6912" width="25.81640625" style="33" customWidth="1"/>
    <col min="6913" max="6913" width="0.54296875" style="33" customWidth="1"/>
    <col min="6914" max="6927" width="0" style="33" hidden="1" customWidth="1"/>
    <col min="6928" max="6928" width="26.7265625" style="33" customWidth="1"/>
    <col min="6929" max="6929" width="46.26953125" style="33" customWidth="1"/>
    <col min="6930" max="6930" width="48.81640625" style="33" bestFit="1" customWidth="1"/>
    <col min="6931" max="6931" width="46.81640625" style="33" customWidth="1"/>
    <col min="6932" max="6932" width="53.81640625" style="33" customWidth="1"/>
    <col min="6933" max="6938" width="0" style="33" hidden="1" customWidth="1"/>
    <col min="6939" max="6939" width="0.453125" style="33" customWidth="1"/>
    <col min="6940" max="6940" width="30.453125" style="33" bestFit="1" customWidth="1"/>
    <col min="6941" max="7167" width="8.7265625" style="33"/>
    <col min="7168" max="7168" width="25.81640625" style="33" customWidth="1"/>
    <col min="7169" max="7169" width="0.54296875" style="33" customWidth="1"/>
    <col min="7170" max="7183" width="0" style="33" hidden="1" customWidth="1"/>
    <col min="7184" max="7184" width="26.7265625" style="33" customWidth="1"/>
    <col min="7185" max="7185" width="46.26953125" style="33" customWidth="1"/>
    <col min="7186" max="7186" width="48.81640625" style="33" bestFit="1" customWidth="1"/>
    <col min="7187" max="7187" width="46.81640625" style="33" customWidth="1"/>
    <col min="7188" max="7188" width="53.81640625" style="33" customWidth="1"/>
    <col min="7189" max="7194" width="0" style="33" hidden="1" customWidth="1"/>
    <col min="7195" max="7195" width="0.453125" style="33" customWidth="1"/>
    <col min="7196" max="7196" width="30.453125" style="33" bestFit="1" customWidth="1"/>
    <col min="7197" max="7423" width="8.7265625" style="33"/>
    <col min="7424" max="7424" width="25.81640625" style="33" customWidth="1"/>
    <col min="7425" max="7425" width="0.54296875" style="33" customWidth="1"/>
    <col min="7426" max="7439" width="0" style="33" hidden="1" customWidth="1"/>
    <col min="7440" max="7440" width="26.7265625" style="33" customWidth="1"/>
    <col min="7441" max="7441" width="46.26953125" style="33" customWidth="1"/>
    <col min="7442" max="7442" width="48.81640625" style="33" bestFit="1" customWidth="1"/>
    <col min="7443" max="7443" width="46.81640625" style="33" customWidth="1"/>
    <col min="7444" max="7444" width="53.81640625" style="33" customWidth="1"/>
    <col min="7445" max="7450" width="0" style="33" hidden="1" customWidth="1"/>
    <col min="7451" max="7451" width="0.453125" style="33" customWidth="1"/>
    <col min="7452" max="7452" width="30.453125" style="33" bestFit="1" customWidth="1"/>
    <col min="7453" max="7679" width="8.7265625" style="33"/>
    <col min="7680" max="7680" width="25.81640625" style="33" customWidth="1"/>
    <col min="7681" max="7681" width="0.54296875" style="33" customWidth="1"/>
    <col min="7682" max="7695" width="0" style="33" hidden="1" customWidth="1"/>
    <col min="7696" max="7696" width="26.7265625" style="33" customWidth="1"/>
    <col min="7697" max="7697" width="46.26953125" style="33" customWidth="1"/>
    <col min="7698" max="7698" width="48.81640625" style="33" bestFit="1" customWidth="1"/>
    <col min="7699" max="7699" width="46.81640625" style="33" customWidth="1"/>
    <col min="7700" max="7700" width="53.81640625" style="33" customWidth="1"/>
    <col min="7701" max="7706" width="0" style="33" hidden="1" customWidth="1"/>
    <col min="7707" max="7707" width="0.453125" style="33" customWidth="1"/>
    <col min="7708" max="7708" width="30.453125" style="33" bestFit="1" customWidth="1"/>
    <col min="7709" max="7935" width="8.7265625" style="33"/>
    <col min="7936" max="7936" width="25.81640625" style="33" customWidth="1"/>
    <col min="7937" max="7937" width="0.54296875" style="33" customWidth="1"/>
    <col min="7938" max="7951" width="0" style="33" hidden="1" customWidth="1"/>
    <col min="7952" max="7952" width="26.7265625" style="33" customWidth="1"/>
    <col min="7953" max="7953" width="46.26953125" style="33" customWidth="1"/>
    <col min="7954" max="7954" width="48.81640625" style="33" bestFit="1" customWidth="1"/>
    <col min="7955" max="7955" width="46.81640625" style="33" customWidth="1"/>
    <col min="7956" max="7956" width="53.81640625" style="33" customWidth="1"/>
    <col min="7957" max="7962" width="0" style="33" hidden="1" customWidth="1"/>
    <col min="7963" max="7963" width="0.453125" style="33" customWidth="1"/>
    <col min="7964" max="7964" width="30.453125" style="33" bestFit="1" customWidth="1"/>
    <col min="7965" max="8191" width="8.7265625" style="33"/>
    <col min="8192" max="8192" width="25.81640625" style="33" customWidth="1"/>
    <col min="8193" max="8193" width="0.54296875" style="33" customWidth="1"/>
    <col min="8194" max="8207" width="0" style="33" hidden="1" customWidth="1"/>
    <col min="8208" max="8208" width="26.7265625" style="33" customWidth="1"/>
    <col min="8209" max="8209" width="46.26953125" style="33" customWidth="1"/>
    <col min="8210" max="8210" width="48.81640625" style="33" bestFit="1" customWidth="1"/>
    <col min="8211" max="8211" width="46.81640625" style="33" customWidth="1"/>
    <col min="8212" max="8212" width="53.81640625" style="33" customWidth="1"/>
    <col min="8213" max="8218" width="0" style="33" hidden="1" customWidth="1"/>
    <col min="8219" max="8219" width="0.453125" style="33" customWidth="1"/>
    <col min="8220" max="8220" width="30.453125" style="33" bestFit="1" customWidth="1"/>
    <col min="8221" max="8447" width="8.7265625" style="33"/>
    <col min="8448" max="8448" width="25.81640625" style="33" customWidth="1"/>
    <col min="8449" max="8449" width="0.54296875" style="33" customWidth="1"/>
    <col min="8450" max="8463" width="0" style="33" hidden="1" customWidth="1"/>
    <col min="8464" max="8464" width="26.7265625" style="33" customWidth="1"/>
    <col min="8465" max="8465" width="46.26953125" style="33" customWidth="1"/>
    <col min="8466" max="8466" width="48.81640625" style="33" bestFit="1" customWidth="1"/>
    <col min="8467" max="8467" width="46.81640625" style="33" customWidth="1"/>
    <col min="8468" max="8468" width="53.81640625" style="33" customWidth="1"/>
    <col min="8469" max="8474" width="0" style="33" hidden="1" customWidth="1"/>
    <col min="8475" max="8475" width="0.453125" style="33" customWidth="1"/>
    <col min="8476" max="8476" width="30.453125" style="33" bestFit="1" customWidth="1"/>
    <col min="8477" max="8703" width="8.7265625" style="33"/>
    <col min="8704" max="8704" width="25.81640625" style="33" customWidth="1"/>
    <col min="8705" max="8705" width="0.54296875" style="33" customWidth="1"/>
    <col min="8706" max="8719" width="0" style="33" hidden="1" customWidth="1"/>
    <col min="8720" max="8720" width="26.7265625" style="33" customWidth="1"/>
    <col min="8721" max="8721" width="46.26953125" style="33" customWidth="1"/>
    <col min="8722" max="8722" width="48.81640625" style="33" bestFit="1" customWidth="1"/>
    <col min="8723" max="8723" width="46.81640625" style="33" customWidth="1"/>
    <col min="8724" max="8724" width="53.81640625" style="33" customWidth="1"/>
    <col min="8725" max="8730" width="0" style="33" hidden="1" customWidth="1"/>
    <col min="8731" max="8731" width="0.453125" style="33" customWidth="1"/>
    <col min="8732" max="8732" width="30.453125" style="33" bestFit="1" customWidth="1"/>
    <col min="8733" max="8959" width="8.7265625" style="33"/>
    <col min="8960" max="8960" width="25.81640625" style="33" customWidth="1"/>
    <col min="8961" max="8961" width="0.54296875" style="33" customWidth="1"/>
    <col min="8962" max="8975" width="0" style="33" hidden="1" customWidth="1"/>
    <col min="8976" max="8976" width="26.7265625" style="33" customWidth="1"/>
    <col min="8977" max="8977" width="46.26953125" style="33" customWidth="1"/>
    <col min="8978" max="8978" width="48.81640625" style="33" bestFit="1" customWidth="1"/>
    <col min="8979" max="8979" width="46.81640625" style="33" customWidth="1"/>
    <col min="8980" max="8980" width="53.81640625" style="33" customWidth="1"/>
    <col min="8981" max="8986" width="0" style="33" hidden="1" customWidth="1"/>
    <col min="8987" max="8987" width="0.453125" style="33" customWidth="1"/>
    <col min="8988" max="8988" width="30.453125" style="33" bestFit="1" customWidth="1"/>
    <col min="8989" max="9215" width="8.7265625" style="33"/>
    <col min="9216" max="9216" width="25.81640625" style="33" customWidth="1"/>
    <col min="9217" max="9217" width="0.54296875" style="33" customWidth="1"/>
    <col min="9218" max="9231" width="0" style="33" hidden="1" customWidth="1"/>
    <col min="9232" max="9232" width="26.7265625" style="33" customWidth="1"/>
    <col min="9233" max="9233" width="46.26953125" style="33" customWidth="1"/>
    <col min="9234" max="9234" width="48.81640625" style="33" bestFit="1" customWidth="1"/>
    <col min="9235" max="9235" width="46.81640625" style="33" customWidth="1"/>
    <col min="9236" max="9236" width="53.81640625" style="33" customWidth="1"/>
    <col min="9237" max="9242" width="0" style="33" hidden="1" customWidth="1"/>
    <col min="9243" max="9243" width="0.453125" style="33" customWidth="1"/>
    <col min="9244" max="9244" width="30.453125" style="33" bestFit="1" customWidth="1"/>
    <col min="9245" max="9471" width="8.7265625" style="33"/>
    <col min="9472" max="9472" width="25.81640625" style="33" customWidth="1"/>
    <col min="9473" max="9473" width="0.54296875" style="33" customWidth="1"/>
    <col min="9474" max="9487" width="0" style="33" hidden="1" customWidth="1"/>
    <col min="9488" max="9488" width="26.7265625" style="33" customWidth="1"/>
    <col min="9489" max="9489" width="46.26953125" style="33" customWidth="1"/>
    <col min="9490" max="9490" width="48.81640625" style="33" bestFit="1" customWidth="1"/>
    <col min="9491" max="9491" width="46.81640625" style="33" customWidth="1"/>
    <col min="9492" max="9492" width="53.81640625" style="33" customWidth="1"/>
    <col min="9493" max="9498" width="0" style="33" hidden="1" customWidth="1"/>
    <col min="9499" max="9499" width="0.453125" style="33" customWidth="1"/>
    <col min="9500" max="9500" width="30.453125" style="33" bestFit="1" customWidth="1"/>
    <col min="9501" max="9727" width="8.7265625" style="33"/>
    <col min="9728" max="9728" width="25.81640625" style="33" customWidth="1"/>
    <col min="9729" max="9729" width="0.54296875" style="33" customWidth="1"/>
    <col min="9730" max="9743" width="0" style="33" hidden="1" customWidth="1"/>
    <col min="9744" max="9744" width="26.7265625" style="33" customWidth="1"/>
    <col min="9745" max="9745" width="46.26953125" style="33" customWidth="1"/>
    <col min="9746" max="9746" width="48.81640625" style="33" bestFit="1" customWidth="1"/>
    <col min="9747" max="9747" width="46.81640625" style="33" customWidth="1"/>
    <col min="9748" max="9748" width="53.81640625" style="33" customWidth="1"/>
    <col min="9749" max="9754" width="0" style="33" hidden="1" customWidth="1"/>
    <col min="9755" max="9755" width="0.453125" style="33" customWidth="1"/>
    <col min="9756" max="9756" width="30.453125" style="33" bestFit="1" customWidth="1"/>
    <col min="9757" max="9983" width="8.7265625" style="33"/>
    <col min="9984" max="9984" width="25.81640625" style="33" customWidth="1"/>
    <col min="9985" max="9985" width="0.54296875" style="33" customWidth="1"/>
    <col min="9986" max="9999" width="0" style="33" hidden="1" customWidth="1"/>
    <col min="10000" max="10000" width="26.7265625" style="33" customWidth="1"/>
    <col min="10001" max="10001" width="46.26953125" style="33" customWidth="1"/>
    <col min="10002" max="10002" width="48.81640625" style="33" bestFit="1" customWidth="1"/>
    <col min="10003" max="10003" width="46.81640625" style="33" customWidth="1"/>
    <col min="10004" max="10004" width="53.81640625" style="33" customWidth="1"/>
    <col min="10005" max="10010" width="0" style="33" hidden="1" customWidth="1"/>
    <col min="10011" max="10011" width="0.453125" style="33" customWidth="1"/>
    <col min="10012" max="10012" width="30.453125" style="33" bestFit="1" customWidth="1"/>
    <col min="10013" max="10239" width="8.7265625" style="33"/>
    <col min="10240" max="10240" width="25.81640625" style="33" customWidth="1"/>
    <col min="10241" max="10241" width="0.54296875" style="33" customWidth="1"/>
    <col min="10242" max="10255" width="0" style="33" hidden="1" customWidth="1"/>
    <col min="10256" max="10256" width="26.7265625" style="33" customWidth="1"/>
    <col min="10257" max="10257" width="46.26953125" style="33" customWidth="1"/>
    <col min="10258" max="10258" width="48.81640625" style="33" bestFit="1" customWidth="1"/>
    <col min="10259" max="10259" width="46.81640625" style="33" customWidth="1"/>
    <col min="10260" max="10260" width="53.81640625" style="33" customWidth="1"/>
    <col min="10261" max="10266" width="0" style="33" hidden="1" customWidth="1"/>
    <col min="10267" max="10267" width="0.453125" style="33" customWidth="1"/>
    <col min="10268" max="10268" width="30.453125" style="33" bestFit="1" customWidth="1"/>
    <col min="10269" max="10495" width="8.7265625" style="33"/>
    <col min="10496" max="10496" width="25.81640625" style="33" customWidth="1"/>
    <col min="10497" max="10497" width="0.54296875" style="33" customWidth="1"/>
    <col min="10498" max="10511" width="0" style="33" hidden="1" customWidth="1"/>
    <col min="10512" max="10512" width="26.7265625" style="33" customWidth="1"/>
    <col min="10513" max="10513" width="46.26953125" style="33" customWidth="1"/>
    <col min="10514" max="10514" width="48.81640625" style="33" bestFit="1" customWidth="1"/>
    <col min="10515" max="10515" width="46.81640625" style="33" customWidth="1"/>
    <col min="10516" max="10516" width="53.81640625" style="33" customWidth="1"/>
    <col min="10517" max="10522" width="0" style="33" hidden="1" customWidth="1"/>
    <col min="10523" max="10523" width="0.453125" style="33" customWidth="1"/>
    <col min="10524" max="10524" width="30.453125" style="33" bestFit="1" customWidth="1"/>
    <col min="10525" max="10751" width="8.7265625" style="33"/>
    <col min="10752" max="10752" width="25.81640625" style="33" customWidth="1"/>
    <col min="10753" max="10753" width="0.54296875" style="33" customWidth="1"/>
    <col min="10754" max="10767" width="0" style="33" hidden="1" customWidth="1"/>
    <col min="10768" max="10768" width="26.7265625" style="33" customWidth="1"/>
    <col min="10769" max="10769" width="46.26953125" style="33" customWidth="1"/>
    <col min="10770" max="10770" width="48.81640625" style="33" bestFit="1" customWidth="1"/>
    <col min="10771" max="10771" width="46.81640625" style="33" customWidth="1"/>
    <col min="10772" max="10772" width="53.81640625" style="33" customWidth="1"/>
    <col min="10773" max="10778" width="0" style="33" hidden="1" customWidth="1"/>
    <col min="10779" max="10779" width="0.453125" style="33" customWidth="1"/>
    <col min="10780" max="10780" width="30.453125" style="33" bestFit="1" customWidth="1"/>
    <col min="10781" max="11007" width="8.7265625" style="33"/>
    <col min="11008" max="11008" width="25.81640625" style="33" customWidth="1"/>
    <col min="11009" max="11009" width="0.54296875" style="33" customWidth="1"/>
    <col min="11010" max="11023" width="0" style="33" hidden="1" customWidth="1"/>
    <col min="11024" max="11024" width="26.7265625" style="33" customWidth="1"/>
    <col min="11025" max="11025" width="46.26953125" style="33" customWidth="1"/>
    <col min="11026" max="11026" width="48.81640625" style="33" bestFit="1" customWidth="1"/>
    <col min="11027" max="11027" width="46.81640625" style="33" customWidth="1"/>
    <col min="11028" max="11028" width="53.81640625" style="33" customWidth="1"/>
    <col min="11029" max="11034" width="0" style="33" hidden="1" customWidth="1"/>
    <col min="11035" max="11035" width="0.453125" style="33" customWidth="1"/>
    <col min="11036" max="11036" width="30.453125" style="33" bestFit="1" customWidth="1"/>
    <col min="11037" max="11263" width="8.7265625" style="33"/>
    <col min="11264" max="11264" width="25.81640625" style="33" customWidth="1"/>
    <col min="11265" max="11265" width="0.54296875" style="33" customWidth="1"/>
    <col min="11266" max="11279" width="0" style="33" hidden="1" customWidth="1"/>
    <col min="11280" max="11280" width="26.7265625" style="33" customWidth="1"/>
    <col min="11281" max="11281" width="46.26953125" style="33" customWidth="1"/>
    <col min="11282" max="11282" width="48.81640625" style="33" bestFit="1" customWidth="1"/>
    <col min="11283" max="11283" width="46.81640625" style="33" customWidth="1"/>
    <col min="11284" max="11284" width="53.81640625" style="33" customWidth="1"/>
    <col min="11285" max="11290" width="0" style="33" hidden="1" customWidth="1"/>
    <col min="11291" max="11291" width="0.453125" style="33" customWidth="1"/>
    <col min="11292" max="11292" width="30.453125" style="33" bestFit="1" customWidth="1"/>
    <col min="11293" max="11519" width="8.7265625" style="33"/>
    <col min="11520" max="11520" width="25.81640625" style="33" customWidth="1"/>
    <col min="11521" max="11521" width="0.54296875" style="33" customWidth="1"/>
    <col min="11522" max="11535" width="0" style="33" hidden="1" customWidth="1"/>
    <col min="11536" max="11536" width="26.7265625" style="33" customWidth="1"/>
    <col min="11537" max="11537" width="46.26953125" style="33" customWidth="1"/>
    <col min="11538" max="11538" width="48.81640625" style="33" bestFit="1" customWidth="1"/>
    <col min="11539" max="11539" width="46.81640625" style="33" customWidth="1"/>
    <col min="11540" max="11540" width="53.81640625" style="33" customWidth="1"/>
    <col min="11541" max="11546" width="0" style="33" hidden="1" customWidth="1"/>
    <col min="11547" max="11547" width="0.453125" style="33" customWidth="1"/>
    <col min="11548" max="11548" width="30.453125" style="33" bestFit="1" customWidth="1"/>
    <col min="11549" max="11775" width="8.7265625" style="33"/>
    <col min="11776" max="11776" width="25.81640625" style="33" customWidth="1"/>
    <col min="11777" max="11777" width="0.54296875" style="33" customWidth="1"/>
    <col min="11778" max="11791" width="0" style="33" hidden="1" customWidth="1"/>
    <col min="11792" max="11792" width="26.7265625" style="33" customWidth="1"/>
    <col min="11793" max="11793" width="46.26953125" style="33" customWidth="1"/>
    <col min="11794" max="11794" width="48.81640625" style="33" bestFit="1" customWidth="1"/>
    <col min="11795" max="11795" width="46.81640625" style="33" customWidth="1"/>
    <col min="11796" max="11796" width="53.81640625" style="33" customWidth="1"/>
    <col min="11797" max="11802" width="0" style="33" hidden="1" customWidth="1"/>
    <col min="11803" max="11803" width="0.453125" style="33" customWidth="1"/>
    <col min="11804" max="11804" width="30.453125" style="33" bestFit="1" customWidth="1"/>
    <col min="11805" max="12031" width="8.7265625" style="33"/>
    <col min="12032" max="12032" width="25.81640625" style="33" customWidth="1"/>
    <col min="12033" max="12033" width="0.54296875" style="33" customWidth="1"/>
    <col min="12034" max="12047" width="0" style="33" hidden="1" customWidth="1"/>
    <col min="12048" max="12048" width="26.7265625" style="33" customWidth="1"/>
    <col min="12049" max="12049" width="46.26953125" style="33" customWidth="1"/>
    <col min="12050" max="12050" width="48.81640625" style="33" bestFit="1" customWidth="1"/>
    <col min="12051" max="12051" width="46.81640625" style="33" customWidth="1"/>
    <col min="12052" max="12052" width="53.81640625" style="33" customWidth="1"/>
    <col min="12053" max="12058" width="0" style="33" hidden="1" customWidth="1"/>
    <col min="12059" max="12059" width="0.453125" style="33" customWidth="1"/>
    <col min="12060" max="12060" width="30.453125" style="33" bestFit="1" customWidth="1"/>
    <col min="12061" max="12287" width="8.7265625" style="33"/>
    <col min="12288" max="12288" width="25.81640625" style="33" customWidth="1"/>
    <col min="12289" max="12289" width="0.54296875" style="33" customWidth="1"/>
    <col min="12290" max="12303" width="0" style="33" hidden="1" customWidth="1"/>
    <col min="12304" max="12304" width="26.7265625" style="33" customWidth="1"/>
    <col min="12305" max="12305" width="46.26953125" style="33" customWidth="1"/>
    <col min="12306" max="12306" width="48.81640625" style="33" bestFit="1" customWidth="1"/>
    <col min="12307" max="12307" width="46.81640625" style="33" customWidth="1"/>
    <col min="12308" max="12308" width="53.81640625" style="33" customWidth="1"/>
    <col min="12309" max="12314" width="0" style="33" hidden="1" customWidth="1"/>
    <col min="12315" max="12315" width="0.453125" style="33" customWidth="1"/>
    <col min="12316" max="12316" width="30.453125" style="33" bestFit="1" customWidth="1"/>
    <col min="12317" max="12543" width="8.7265625" style="33"/>
    <col min="12544" max="12544" width="25.81640625" style="33" customWidth="1"/>
    <col min="12545" max="12545" width="0.54296875" style="33" customWidth="1"/>
    <col min="12546" max="12559" width="0" style="33" hidden="1" customWidth="1"/>
    <col min="12560" max="12560" width="26.7265625" style="33" customWidth="1"/>
    <col min="12561" max="12561" width="46.26953125" style="33" customWidth="1"/>
    <col min="12562" max="12562" width="48.81640625" style="33" bestFit="1" customWidth="1"/>
    <col min="12563" max="12563" width="46.81640625" style="33" customWidth="1"/>
    <col min="12564" max="12564" width="53.81640625" style="33" customWidth="1"/>
    <col min="12565" max="12570" width="0" style="33" hidden="1" customWidth="1"/>
    <col min="12571" max="12571" width="0.453125" style="33" customWidth="1"/>
    <col min="12572" max="12572" width="30.453125" style="33" bestFit="1" customWidth="1"/>
    <col min="12573" max="12799" width="8.7265625" style="33"/>
    <col min="12800" max="12800" width="25.81640625" style="33" customWidth="1"/>
    <col min="12801" max="12801" width="0.54296875" style="33" customWidth="1"/>
    <col min="12802" max="12815" width="0" style="33" hidden="1" customWidth="1"/>
    <col min="12816" max="12816" width="26.7265625" style="33" customWidth="1"/>
    <col min="12817" max="12817" width="46.26953125" style="33" customWidth="1"/>
    <col min="12818" max="12818" width="48.81640625" style="33" bestFit="1" customWidth="1"/>
    <col min="12819" max="12819" width="46.81640625" style="33" customWidth="1"/>
    <col min="12820" max="12820" width="53.81640625" style="33" customWidth="1"/>
    <col min="12821" max="12826" width="0" style="33" hidden="1" customWidth="1"/>
    <col min="12827" max="12827" width="0.453125" style="33" customWidth="1"/>
    <col min="12828" max="12828" width="30.453125" style="33" bestFit="1" customWidth="1"/>
    <col min="12829" max="13055" width="8.7265625" style="33"/>
    <col min="13056" max="13056" width="25.81640625" style="33" customWidth="1"/>
    <col min="13057" max="13057" width="0.54296875" style="33" customWidth="1"/>
    <col min="13058" max="13071" width="0" style="33" hidden="1" customWidth="1"/>
    <col min="13072" max="13072" width="26.7265625" style="33" customWidth="1"/>
    <col min="13073" max="13073" width="46.26953125" style="33" customWidth="1"/>
    <col min="13074" max="13074" width="48.81640625" style="33" bestFit="1" customWidth="1"/>
    <col min="13075" max="13075" width="46.81640625" style="33" customWidth="1"/>
    <col min="13076" max="13076" width="53.81640625" style="33" customWidth="1"/>
    <col min="13077" max="13082" width="0" style="33" hidden="1" customWidth="1"/>
    <col min="13083" max="13083" width="0.453125" style="33" customWidth="1"/>
    <col min="13084" max="13084" width="30.453125" style="33" bestFit="1" customWidth="1"/>
    <col min="13085" max="13311" width="8.7265625" style="33"/>
    <col min="13312" max="13312" width="25.81640625" style="33" customWidth="1"/>
    <col min="13313" max="13313" width="0.54296875" style="33" customWidth="1"/>
    <col min="13314" max="13327" width="0" style="33" hidden="1" customWidth="1"/>
    <col min="13328" max="13328" width="26.7265625" style="33" customWidth="1"/>
    <col min="13329" max="13329" width="46.26953125" style="33" customWidth="1"/>
    <col min="13330" max="13330" width="48.81640625" style="33" bestFit="1" customWidth="1"/>
    <col min="13331" max="13331" width="46.81640625" style="33" customWidth="1"/>
    <col min="13332" max="13332" width="53.81640625" style="33" customWidth="1"/>
    <col min="13333" max="13338" width="0" style="33" hidden="1" customWidth="1"/>
    <col min="13339" max="13339" width="0.453125" style="33" customWidth="1"/>
    <col min="13340" max="13340" width="30.453125" style="33" bestFit="1" customWidth="1"/>
    <col min="13341" max="13567" width="8.7265625" style="33"/>
    <col min="13568" max="13568" width="25.81640625" style="33" customWidth="1"/>
    <col min="13569" max="13569" width="0.54296875" style="33" customWidth="1"/>
    <col min="13570" max="13583" width="0" style="33" hidden="1" customWidth="1"/>
    <col min="13584" max="13584" width="26.7265625" style="33" customWidth="1"/>
    <col min="13585" max="13585" width="46.26953125" style="33" customWidth="1"/>
    <col min="13586" max="13586" width="48.81640625" style="33" bestFit="1" customWidth="1"/>
    <col min="13587" max="13587" width="46.81640625" style="33" customWidth="1"/>
    <col min="13588" max="13588" width="53.81640625" style="33" customWidth="1"/>
    <col min="13589" max="13594" width="0" style="33" hidden="1" customWidth="1"/>
    <col min="13595" max="13595" width="0.453125" style="33" customWidth="1"/>
    <col min="13596" max="13596" width="30.453125" style="33" bestFit="1" customWidth="1"/>
    <col min="13597" max="13823" width="8.7265625" style="33"/>
    <col min="13824" max="13824" width="25.81640625" style="33" customWidth="1"/>
    <col min="13825" max="13825" width="0.54296875" style="33" customWidth="1"/>
    <col min="13826" max="13839" width="0" style="33" hidden="1" customWidth="1"/>
    <col min="13840" max="13840" width="26.7265625" style="33" customWidth="1"/>
    <col min="13841" max="13841" width="46.26953125" style="33" customWidth="1"/>
    <col min="13842" max="13842" width="48.81640625" style="33" bestFit="1" customWidth="1"/>
    <col min="13843" max="13843" width="46.81640625" style="33" customWidth="1"/>
    <col min="13844" max="13844" width="53.81640625" style="33" customWidth="1"/>
    <col min="13845" max="13850" width="0" style="33" hidden="1" customWidth="1"/>
    <col min="13851" max="13851" width="0.453125" style="33" customWidth="1"/>
    <col min="13852" max="13852" width="30.453125" style="33" bestFit="1" customWidth="1"/>
    <col min="13853" max="14079" width="8.7265625" style="33"/>
    <col min="14080" max="14080" width="25.81640625" style="33" customWidth="1"/>
    <col min="14081" max="14081" width="0.54296875" style="33" customWidth="1"/>
    <col min="14082" max="14095" width="0" style="33" hidden="1" customWidth="1"/>
    <col min="14096" max="14096" width="26.7265625" style="33" customWidth="1"/>
    <col min="14097" max="14097" width="46.26953125" style="33" customWidth="1"/>
    <col min="14098" max="14098" width="48.81640625" style="33" bestFit="1" customWidth="1"/>
    <col min="14099" max="14099" width="46.81640625" style="33" customWidth="1"/>
    <col min="14100" max="14100" width="53.81640625" style="33" customWidth="1"/>
    <col min="14101" max="14106" width="0" style="33" hidden="1" customWidth="1"/>
    <col min="14107" max="14107" width="0.453125" style="33" customWidth="1"/>
    <col min="14108" max="14108" width="30.453125" style="33" bestFit="1" customWidth="1"/>
    <col min="14109" max="14335" width="8.7265625" style="33"/>
    <col min="14336" max="14336" width="25.81640625" style="33" customWidth="1"/>
    <col min="14337" max="14337" width="0.54296875" style="33" customWidth="1"/>
    <col min="14338" max="14351" width="0" style="33" hidden="1" customWidth="1"/>
    <col min="14352" max="14352" width="26.7265625" style="33" customWidth="1"/>
    <col min="14353" max="14353" width="46.26953125" style="33" customWidth="1"/>
    <col min="14354" max="14354" width="48.81640625" style="33" bestFit="1" customWidth="1"/>
    <col min="14355" max="14355" width="46.81640625" style="33" customWidth="1"/>
    <col min="14356" max="14356" width="53.81640625" style="33" customWidth="1"/>
    <col min="14357" max="14362" width="0" style="33" hidden="1" customWidth="1"/>
    <col min="14363" max="14363" width="0.453125" style="33" customWidth="1"/>
    <col min="14364" max="14364" width="30.453125" style="33" bestFit="1" customWidth="1"/>
    <col min="14365" max="14591" width="8.7265625" style="33"/>
    <col min="14592" max="14592" width="25.81640625" style="33" customWidth="1"/>
    <col min="14593" max="14593" width="0.54296875" style="33" customWidth="1"/>
    <col min="14594" max="14607" width="0" style="33" hidden="1" customWidth="1"/>
    <col min="14608" max="14608" width="26.7265625" style="33" customWidth="1"/>
    <col min="14609" max="14609" width="46.26953125" style="33" customWidth="1"/>
    <col min="14610" max="14610" width="48.81640625" style="33" bestFit="1" customWidth="1"/>
    <col min="14611" max="14611" width="46.81640625" style="33" customWidth="1"/>
    <col min="14612" max="14612" width="53.81640625" style="33" customWidth="1"/>
    <col min="14613" max="14618" width="0" style="33" hidden="1" customWidth="1"/>
    <col min="14619" max="14619" width="0.453125" style="33" customWidth="1"/>
    <col min="14620" max="14620" width="30.453125" style="33" bestFit="1" customWidth="1"/>
    <col min="14621" max="14847" width="8.7265625" style="33"/>
    <col min="14848" max="14848" width="25.81640625" style="33" customWidth="1"/>
    <col min="14849" max="14849" width="0.54296875" style="33" customWidth="1"/>
    <col min="14850" max="14863" width="0" style="33" hidden="1" customWidth="1"/>
    <col min="14864" max="14864" width="26.7265625" style="33" customWidth="1"/>
    <col min="14865" max="14865" width="46.26953125" style="33" customWidth="1"/>
    <col min="14866" max="14866" width="48.81640625" style="33" bestFit="1" customWidth="1"/>
    <col min="14867" max="14867" width="46.81640625" style="33" customWidth="1"/>
    <col min="14868" max="14868" width="53.81640625" style="33" customWidth="1"/>
    <col min="14869" max="14874" width="0" style="33" hidden="1" customWidth="1"/>
    <col min="14875" max="14875" width="0.453125" style="33" customWidth="1"/>
    <col min="14876" max="14876" width="30.453125" style="33" bestFit="1" customWidth="1"/>
    <col min="14877" max="15103" width="8.7265625" style="33"/>
    <col min="15104" max="15104" width="25.81640625" style="33" customWidth="1"/>
    <col min="15105" max="15105" width="0.54296875" style="33" customWidth="1"/>
    <col min="15106" max="15119" width="0" style="33" hidden="1" customWidth="1"/>
    <col min="15120" max="15120" width="26.7265625" style="33" customWidth="1"/>
    <col min="15121" max="15121" width="46.26953125" style="33" customWidth="1"/>
    <col min="15122" max="15122" width="48.81640625" style="33" bestFit="1" customWidth="1"/>
    <col min="15123" max="15123" width="46.81640625" style="33" customWidth="1"/>
    <col min="15124" max="15124" width="53.81640625" style="33" customWidth="1"/>
    <col min="15125" max="15130" width="0" style="33" hidden="1" customWidth="1"/>
    <col min="15131" max="15131" width="0.453125" style="33" customWidth="1"/>
    <col min="15132" max="15132" width="30.453125" style="33" bestFit="1" customWidth="1"/>
    <col min="15133" max="15359" width="8.7265625" style="33"/>
    <col min="15360" max="15360" width="25.81640625" style="33" customWidth="1"/>
    <col min="15361" max="15361" width="0.54296875" style="33" customWidth="1"/>
    <col min="15362" max="15375" width="0" style="33" hidden="1" customWidth="1"/>
    <col min="15376" max="15376" width="26.7265625" style="33" customWidth="1"/>
    <col min="15377" max="15377" width="46.26953125" style="33" customWidth="1"/>
    <col min="15378" max="15378" width="48.81640625" style="33" bestFit="1" customWidth="1"/>
    <col min="15379" max="15379" width="46.81640625" style="33" customWidth="1"/>
    <col min="15380" max="15380" width="53.81640625" style="33" customWidth="1"/>
    <col min="15381" max="15386" width="0" style="33" hidden="1" customWidth="1"/>
    <col min="15387" max="15387" width="0.453125" style="33" customWidth="1"/>
    <col min="15388" max="15388" width="30.453125" style="33" bestFit="1" customWidth="1"/>
    <col min="15389" max="15615" width="8.7265625" style="33"/>
    <col min="15616" max="15616" width="25.81640625" style="33" customWidth="1"/>
    <col min="15617" max="15617" width="0.54296875" style="33" customWidth="1"/>
    <col min="15618" max="15631" width="0" style="33" hidden="1" customWidth="1"/>
    <col min="15632" max="15632" width="26.7265625" style="33" customWidth="1"/>
    <col min="15633" max="15633" width="46.26953125" style="33" customWidth="1"/>
    <col min="15634" max="15634" width="48.81640625" style="33" bestFit="1" customWidth="1"/>
    <col min="15635" max="15635" width="46.81640625" style="33" customWidth="1"/>
    <col min="15636" max="15636" width="53.81640625" style="33" customWidth="1"/>
    <col min="15637" max="15642" width="0" style="33" hidden="1" customWidth="1"/>
    <col min="15643" max="15643" width="0.453125" style="33" customWidth="1"/>
    <col min="15644" max="15644" width="30.453125" style="33" bestFit="1" customWidth="1"/>
    <col min="15645" max="15871" width="8.7265625" style="33"/>
    <col min="15872" max="15872" width="25.81640625" style="33" customWidth="1"/>
    <col min="15873" max="15873" width="0.54296875" style="33" customWidth="1"/>
    <col min="15874" max="15887" width="0" style="33" hidden="1" customWidth="1"/>
    <col min="15888" max="15888" width="26.7265625" style="33" customWidth="1"/>
    <col min="15889" max="15889" width="46.26953125" style="33" customWidth="1"/>
    <col min="15890" max="15890" width="48.81640625" style="33" bestFit="1" customWidth="1"/>
    <col min="15891" max="15891" width="46.81640625" style="33" customWidth="1"/>
    <col min="15892" max="15892" width="53.81640625" style="33" customWidth="1"/>
    <col min="15893" max="15898" width="0" style="33" hidden="1" customWidth="1"/>
    <col min="15899" max="15899" width="0.453125" style="33" customWidth="1"/>
    <col min="15900" max="15900" width="30.453125" style="33" bestFit="1" customWidth="1"/>
    <col min="15901" max="16127" width="8.7265625" style="33"/>
    <col min="16128" max="16128" width="25.81640625" style="33" customWidth="1"/>
    <col min="16129" max="16129" width="0.54296875" style="33" customWidth="1"/>
    <col min="16130" max="16143" width="0" style="33" hidden="1" customWidth="1"/>
    <col min="16144" max="16144" width="26.7265625" style="33" customWidth="1"/>
    <col min="16145" max="16145" width="46.26953125" style="33" customWidth="1"/>
    <col min="16146" max="16146" width="48.81640625" style="33" bestFit="1" customWidth="1"/>
    <col min="16147" max="16147" width="46.81640625" style="33" customWidth="1"/>
    <col min="16148" max="16148" width="53.81640625" style="33" customWidth="1"/>
    <col min="16149" max="16154" width="0" style="33" hidden="1" customWidth="1"/>
    <col min="16155" max="16155" width="0.453125" style="33" customWidth="1"/>
    <col min="16156" max="16156" width="30.453125" style="33" bestFit="1" customWidth="1"/>
    <col min="16157" max="16384" width="8.7265625" style="33"/>
  </cols>
  <sheetData>
    <row r="1" spans="1:30" s="53" customFormat="1" ht="25" customHeight="1" x14ac:dyDescent="0.25">
      <c r="C1" s="54"/>
      <c r="G1" s="55"/>
      <c r="H1" s="56"/>
    </row>
    <row r="2" spans="1:30" customFormat="1" ht="25" customHeight="1" x14ac:dyDescent="0.25">
      <c r="A2" s="57"/>
      <c r="B2" s="59"/>
      <c r="C2" s="59"/>
      <c r="D2" s="59"/>
      <c r="E2" s="59"/>
      <c r="F2" s="59"/>
      <c r="G2" s="60"/>
      <c r="H2" s="60"/>
      <c r="I2" s="60"/>
      <c r="J2" s="53"/>
      <c r="K2" s="60"/>
    </row>
    <row r="3" spans="1:30" customFormat="1" ht="25" customHeight="1" thickBot="1" x14ac:dyDescent="0.3">
      <c r="B3" s="69"/>
      <c r="C3" s="61"/>
      <c r="D3" s="69"/>
      <c r="E3" s="61"/>
      <c r="F3" s="69"/>
      <c r="G3" s="61"/>
      <c r="H3" s="69"/>
      <c r="I3" s="61"/>
      <c r="J3" s="69"/>
      <c r="K3" s="61"/>
      <c r="L3" s="69"/>
      <c r="M3" s="61"/>
      <c r="N3" s="69"/>
      <c r="O3" s="61"/>
      <c r="P3" s="69"/>
      <c r="Q3" s="61"/>
      <c r="R3" s="69"/>
      <c r="S3" s="61"/>
      <c r="T3" s="69"/>
      <c r="U3" s="61"/>
      <c r="V3" s="69"/>
      <c r="W3" s="61"/>
      <c r="X3" s="69"/>
      <c r="Y3" s="61"/>
      <c r="Z3" s="69"/>
      <c r="AA3" s="61"/>
      <c r="AB3" s="69"/>
      <c r="AC3" s="61"/>
      <c r="AD3" s="69"/>
    </row>
    <row r="4" spans="1:30" customFormat="1" ht="25" customHeight="1" thickTop="1" x14ac:dyDescent="0.3">
      <c r="B4" s="71"/>
      <c r="C4" s="72"/>
      <c r="D4" s="73"/>
      <c r="E4" s="74"/>
      <c r="F4" s="74"/>
      <c r="G4" s="74"/>
      <c r="H4" s="75"/>
      <c r="I4" s="53"/>
      <c r="J4" s="76"/>
      <c r="K4" s="60"/>
      <c r="N4" s="53"/>
    </row>
    <row r="5" spans="1:30" ht="20.149999999999999" customHeight="1" x14ac:dyDescent="0.35">
      <c r="A5" s="515" t="s">
        <v>244</v>
      </c>
      <c r="B5" s="515"/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515"/>
      <c r="P5" s="515"/>
      <c r="Q5" s="515"/>
      <c r="R5" s="515"/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39"/>
      <c r="AD5" s="39"/>
    </row>
    <row r="6" spans="1:30" ht="19.5" customHeight="1" x14ac:dyDescent="0.35">
      <c r="A6" s="515"/>
      <c r="B6" s="515"/>
      <c r="C6" s="515"/>
      <c r="D6" s="515"/>
      <c r="E6" s="515"/>
      <c r="F6" s="515"/>
      <c r="G6" s="515"/>
      <c r="H6" s="515"/>
      <c r="I6" s="515"/>
      <c r="J6" s="515"/>
      <c r="K6" s="515"/>
      <c r="L6" s="515"/>
      <c r="M6" s="515"/>
      <c r="N6" s="515"/>
      <c r="O6" s="515"/>
      <c r="P6" s="515"/>
      <c r="Q6" s="515"/>
      <c r="R6" s="515"/>
      <c r="S6" s="515"/>
      <c r="T6" s="515"/>
      <c r="U6" s="515"/>
      <c r="V6" s="515"/>
      <c r="W6" s="515"/>
      <c r="X6" s="515"/>
      <c r="Y6" s="515"/>
      <c r="Z6" s="515"/>
      <c r="AA6" s="515"/>
      <c r="AB6" s="515"/>
      <c r="AC6" s="39"/>
      <c r="AD6" s="39"/>
    </row>
    <row r="7" spans="1:30" ht="20.149999999999999" customHeight="1" x14ac:dyDescent="0.35">
      <c r="A7" s="515"/>
      <c r="B7" s="515"/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  <c r="O7" s="515"/>
      <c r="P7" s="515"/>
      <c r="Q7" s="515"/>
      <c r="R7" s="515"/>
      <c r="S7" s="515"/>
      <c r="T7" s="515"/>
      <c r="U7" s="515"/>
      <c r="V7" s="515"/>
      <c r="W7" s="515"/>
      <c r="X7" s="515"/>
      <c r="Y7" s="515"/>
      <c r="Z7" s="515"/>
      <c r="AA7" s="515"/>
      <c r="AB7" s="515"/>
      <c r="AC7" s="39"/>
      <c r="AD7" s="39"/>
    </row>
    <row r="8" spans="1:30" ht="20.149999999999999" customHeight="1" x14ac:dyDescent="0.5">
      <c r="A8" s="516" t="s">
        <v>245</v>
      </c>
      <c r="B8" s="516"/>
      <c r="C8" s="516"/>
      <c r="D8" s="516"/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6"/>
      <c r="P8" s="516"/>
      <c r="Q8" s="516"/>
      <c r="R8" s="516"/>
      <c r="S8" s="516"/>
      <c r="T8" s="516"/>
      <c r="U8" s="516"/>
      <c r="V8" s="516"/>
      <c r="W8" s="516"/>
      <c r="X8" s="516"/>
      <c r="Y8" s="516"/>
      <c r="Z8" s="516"/>
      <c r="AA8" s="514"/>
      <c r="AB8" s="514"/>
      <c r="AC8" s="39"/>
      <c r="AD8" s="39"/>
    </row>
    <row r="9" spans="1:30" ht="20.149999999999999" customHeight="1" x14ac:dyDescent="0.35">
      <c r="A9" s="513" t="s">
        <v>246</v>
      </c>
      <c r="B9" s="513"/>
      <c r="C9" s="513"/>
      <c r="D9" s="513"/>
      <c r="E9" s="513"/>
      <c r="F9" s="513"/>
      <c r="G9" s="513"/>
      <c r="H9" s="513"/>
      <c r="I9" s="513"/>
      <c r="J9" s="513"/>
      <c r="K9" s="513"/>
      <c r="L9" s="513"/>
      <c r="M9" s="513"/>
      <c r="N9" s="513"/>
      <c r="O9" s="513"/>
      <c r="P9" s="513"/>
      <c r="Q9" s="513"/>
      <c r="R9" s="513"/>
      <c r="S9" s="513"/>
      <c r="T9" s="513"/>
      <c r="U9" s="513"/>
      <c r="V9" s="513"/>
      <c r="W9" s="513"/>
      <c r="X9" s="513"/>
      <c r="Y9" s="513"/>
      <c r="Z9" s="513"/>
      <c r="AA9" s="514"/>
      <c r="AB9" s="514"/>
      <c r="AC9" s="39"/>
      <c r="AD9" s="39"/>
    </row>
    <row r="10" spans="1:30" ht="20.149999999999999" customHeight="1" x14ac:dyDescent="0.35">
      <c r="A10" s="513" t="s">
        <v>247</v>
      </c>
      <c r="B10" s="513"/>
      <c r="C10" s="513"/>
      <c r="D10" s="513"/>
      <c r="E10" s="513"/>
      <c r="F10" s="513"/>
      <c r="G10" s="513"/>
      <c r="H10" s="513"/>
      <c r="I10" s="513"/>
      <c r="J10" s="513"/>
      <c r="K10" s="513"/>
      <c r="L10" s="513"/>
      <c r="M10" s="513"/>
      <c r="N10" s="513"/>
      <c r="O10" s="513"/>
      <c r="P10" s="513"/>
      <c r="Q10" s="513"/>
      <c r="R10" s="513"/>
      <c r="S10" s="513"/>
      <c r="T10" s="513"/>
      <c r="U10" s="513"/>
      <c r="V10" s="513"/>
      <c r="W10" s="513"/>
      <c r="X10" s="513"/>
      <c r="Y10" s="513"/>
      <c r="Z10" s="513"/>
      <c r="AA10" s="514"/>
      <c r="AB10" s="514"/>
      <c r="AC10" s="39"/>
      <c r="AD10" s="39"/>
    </row>
    <row r="11" spans="1:30" s="447" customFormat="1" ht="40" customHeight="1" thickBot="1" x14ac:dyDescent="0.3">
      <c r="A11" s="448" t="s">
        <v>584</v>
      </c>
      <c r="B11" s="448"/>
      <c r="C11" s="448"/>
      <c r="D11" s="448"/>
      <c r="E11" s="448"/>
      <c r="F11" s="448"/>
      <c r="G11" s="448"/>
      <c r="H11" s="448"/>
      <c r="I11" s="448"/>
      <c r="J11" s="448"/>
      <c r="K11" s="448"/>
      <c r="L11" s="448"/>
      <c r="M11" s="448"/>
      <c r="N11" s="448"/>
      <c r="O11" s="448"/>
      <c r="P11" s="448"/>
      <c r="Q11" s="448"/>
      <c r="R11" s="448"/>
      <c r="S11" s="448"/>
      <c r="T11" s="448"/>
      <c r="U11" s="448"/>
      <c r="V11" s="448"/>
      <c r="W11" s="448"/>
      <c r="X11" s="448"/>
      <c r="Y11" s="448"/>
      <c r="Z11" s="448"/>
      <c r="AA11" s="448"/>
      <c r="AB11" s="448"/>
      <c r="AC11" s="449"/>
      <c r="AD11" s="449"/>
    </row>
    <row r="12" spans="1:30" ht="20.149999999999999" customHeight="1" x14ac:dyDescent="0.35">
      <c r="A12" s="395"/>
      <c r="B12" s="384"/>
      <c r="C12" s="384"/>
      <c r="D12" s="384"/>
      <c r="E12" s="384"/>
      <c r="F12" s="384"/>
      <c r="G12" s="384"/>
      <c r="H12" s="384"/>
      <c r="I12" s="384"/>
      <c r="J12" s="384"/>
      <c r="K12" s="385" t="s">
        <v>31</v>
      </c>
      <c r="L12" s="384"/>
      <c r="M12" s="384"/>
      <c r="N12" s="384"/>
      <c r="O12" s="384"/>
      <c r="P12" s="463" t="s">
        <v>305</v>
      </c>
      <c r="Q12" s="464" t="s">
        <v>319</v>
      </c>
      <c r="R12" s="462"/>
      <c r="S12" s="462"/>
      <c r="T12" s="462"/>
      <c r="U12" s="462"/>
      <c r="V12" s="465"/>
      <c r="W12" s="466"/>
      <c r="X12" s="466"/>
      <c r="Y12" s="466"/>
      <c r="Z12" s="466"/>
      <c r="AA12" s="464" t="s">
        <v>24</v>
      </c>
      <c r="AB12" s="463" t="s">
        <v>329</v>
      </c>
      <c r="AC12" s="463" t="s">
        <v>7</v>
      </c>
      <c r="AD12" s="467" t="s">
        <v>31</v>
      </c>
    </row>
    <row r="13" spans="1:30" ht="20.149999999999999" customHeight="1" thickBot="1" x14ac:dyDescent="0.4">
      <c r="A13" s="396"/>
      <c r="B13" s="393"/>
      <c r="C13" s="393"/>
      <c r="D13" s="393"/>
      <c r="E13" s="393"/>
      <c r="F13" s="393"/>
      <c r="G13" s="393"/>
      <c r="H13" s="393"/>
      <c r="I13" s="393"/>
      <c r="J13" s="393"/>
      <c r="K13" s="394" t="s">
        <v>322</v>
      </c>
      <c r="L13" s="393"/>
      <c r="M13" s="393"/>
      <c r="N13" s="393"/>
      <c r="O13" s="393"/>
      <c r="P13" s="468" t="s">
        <v>306</v>
      </c>
      <c r="Q13" s="469" t="s">
        <v>320</v>
      </c>
      <c r="R13" s="462"/>
      <c r="S13" s="462"/>
      <c r="T13" s="462"/>
      <c r="U13" s="462"/>
      <c r="V13" s="465"/>
      <c r="W13" s="466"/>
      <c r="X13" s="466"/>
      <c r="Y13" s="466"/>
      <c r="Z13" s="466"/>
      <c r="AA13" s="469"/>
      <c r="AB13" s="468" t="s">
        <v>330</v>
      </c>
      <c r="AC13" s="468" t="s">
        <v>313</v>
      </c>
      <c r="AD13" s="470" t="s">
        <v>312</v>
      </c>
    </row>
    <row r="14" spans="1:30" x14ac:dyDescent="0.35">
      <c r="A14" s="397" t="s">
        <v>248</v>
      </c>
      <c r="B14" s="383"/>
      <c r="C14" s="383"/>
      <c r="D14" s="383"/>
      <c r="E14" s="383"/>
      <c r="F14" s="383"/>
      <c r="G14" s="383"/>
      <c r="H14" s="383"/>
      <c r="I14" s="383"/>
      <c r="J14" s="383"/>
      <c r="K14" s="392"/>
      <c r="L14" s="383"/>
      <c r="M14" s="383"/>
      <c r="N14" s="383"/>
      <c r="O14" s="383"/>
      <c r="P14" s="471"/>
      <c r="Q14" s="472"/>
      <c r="R14" s="462"/>
      <c r="S14" s="462"/>
      <c r="T14" s="462"/>
      <c r="U14" s="462"/>
      <c r="V14" s="465"/>
      <c r="W14" s="466"/>
      <c r="X14" s="466"/>
      <c r="Y14" s="466"/>
      <c r="Z14" s="466"/>
      <c r="AA14" s="472"/>
      <c r="AB14" s="471"/>
      <c r="AC14" s="471"/>
      <c r="AD14" s="473"/>
    </row>
    <row r="15" spans="1:30" x14ac:dyDescent="0.35">
      <c r="A15" s="398" t="s">
        <v>248</v>
      </c>
      <c r="B15" s="383"/>
      <c r="C15" s="383"/>
      <c r="D15" s="383"/>
      <c r="E15" s="383"/>
      <c r="F15" s="383"/>
      <c r="G15" s="383"/>
      <c r="H15" s="383"/>
      <c r="I15" s="383"/>
      <c r="J15" s="383"/>
      <c r="K15" s="40"/>
      <c r="L15" s="383"/>
      <c r="M15" s="383"/>
      <c r="N15" s="383"/>
      <c r="O15" s="383"/>
      <c r="P15" s="471" t="s">
        <v>400</v>
      </c>
      <c r="Q15" s="472"/>
      <c r="R15" s="462"/>
      <c r="S15" s="462"/>
      <c r="T15" s="462"/>
      <c r="U15" s="462"/>
      <c r="V15" s="465"/>
      <c r="W15" s="466"/>
      <c r="X15" s="466"/>
      <c r="Y15" s="466"/>
      <c r="Z15" s="466"/>
      <c r="AA15" s="472"/>
      <c r="AB15" s="471"/>
      <c r="AC15" s="471"/>
      <c r="AD15" s="473"/>
    </row>
    <row r="16" spans="1:30" x14ac:dyDescent="0.35">
      <c r="A16" s="398" t="s">
        <v>248</v>
      </c>
      <c r="B16" s="383"/>
      <c r="C16" s="383"/>
      <c r="D16" s="383"/>
      <c r="E16" s="383"/>
      <c r="F16" s="383"/>
      <c r="G16" s="383"/>
      <c r="H16" s="383"/>
      <c r="I16" s="383"/>
      <c r="J16" s="383"/>
      <c r="K16" s="40"/>
      <c r="L16" s="383"/>
      <c r="M16" s="383"/>
      <c r="N16" s="383"/>
      <c r="O16" s="383"/>
      <c r="P16" s="471"/>
      <c r="Q16" s="472"/>
      <c r="R16" s="462"/>
      <c r="S16" s="462"/>
      <c r="T16" s="462"/>
      <c r="U16" s="462"/>
      <c r="V16" s="465"/>
      <c r="W16" s="466"/>
      <c r="X16" s="466"/>
      <c r="Y16" s="466"/>
      <c r="Z16" s="466"/>
      <c r="AA16" s="472"/>
      <c r="AB16" s="471"/>
      <c r="AC16" s="471"/>
      <c r="AD16" s="473"/>
    </row>
    <row r="17" spans="1:30" x14ac:dyDescent="0.35">
      <c r="A17" s="398" t="s">
        <v>248</v>
      </c>
      <c r="B17" s="383"/>
      <c r="C17" s="383"/>
      <c r="D17" s="383"/>
      <c r="E17" s="383"/>
      <c r="F17" s="383"/>
      <c r="G17" s="383"/>
      <c r="H17" s="383"/>
      <c r="I17" s="383"/>
      <c r="J17" s="383"/>
      <c r="K17" s="40"/>
      <c r="L17" s="383"/>
      <c r="M17" s="383"/>
      <c r="N17" s="383"/>
      <c r="O17" s="383"/>
      <c r="P17" s="471" t="s">
        <v>585</v>
      </c>
      <c r="Q17" s="472" t="s">
        <v>415</v>
      </c>
      <c r="R17" s="462"/>
      <c r="S17" s="462"/>
      <c r="T17" s="462"/>
      <c r="U17" s="462"/>
      <c r="V17" s="465"/>
      <c r="W17" s="466"/>
      <c r="X17" s="466"/>
      <c r="Y17" s="466"/>
      <c r="Z17" s="466"/>
      <c r="AA17" s="472" t="s">
        <v>462</v>
      </c>
      <c r="AB17" s="471" t="s">
        <v>463</v>
      </c>
      <c r="AC17" s="471" t="s">
        <v>428</v>
      </c>
      <c r="AD17" s="473"/>
    </row>
    <row r="18" spans="1:30" x14ac:dyDescent="0.35">
      <c r="A18" s="398" t="s">
        <v>249</v>
      </c>
      <c r="B18" s="383"/>
      <c r="C18" s="383"/>
      <c r="D18" s="383"/>
      <c r="E18" s="383"/>
      <c r="F18" s="383"/>
      <c r="G18" s="383"/>
      <c r="H18" s="383"/>
      <c r="I18" s="383"/>
      <c r="J18" s="383"/>
      <c r="K18" s="40" t="s">
        <v>323</v>
      </c>
      <c r="L18" s="383"/>
      <c r="M18" s="383"/>
      <c r="N18" s="383"/>
      <c r="O18" s="383"/>
      <c r="P18" s="471"/>
      <c r="Q18" s="472"/>
      <c r="R18" s="462"/>
      <c r="S18" s="462"/>
      <c r="T18" s="462"/>
      <c r="U18" s="462"/>
      <c r="V18" s="465"/>
      <c r="W18" s="466"/>
      <c r="X18" s="466"/>
      <c r="Y18" s="466"/>
      <c r="Z18" s="466"/>
      <c r="AA18" s="472"/>
      <c r="AB18" s="471"/>
      <c r="AC18" s="471"/>
      <c r="AD18" s="473" t="s">
        <v>464</v>
      </c>
    </row>
    <row r="19" spans="1:30" x14ac:dyDescent="0.35">
      <c r="A19" s="398" t="s">
        <v>249</v>
      </c>
      <c r="B19" s="383"/>
      <c r="C19" s="383"/>
      <c r="D19" s="383"/>
      <c r="E19" s="383"/>
      <c r="F19" s="383"/>
      <c r="G19" s="383"/>
      <c r="H19" s="383"/>
      <c r="I19" s="383"/>
      <c r="J19" s="383"/>
      <c r="K19" s="40"/>
      <c r="L19" s="383"/>
      <c r="M19" s="383"/>
      <c r="N19" s="383"/>
      <c r="O19" s="383"/>
      <c r="P19" s="471"/>
      <c r="Q19" s="472" t="s">
        <v>390</v>
      </c>
      <c r="R19" s="462"/>
      <c r="S19" s="462"/>
      <c r="T19" s="462"/>
      <c r="U19" s="462"/>
      <c r="V19" s="465"/>
      <c r="W19" s="466"/>
      <c r="X19" s="466"/>
      <c r="Y19" s="466"/>
      <c r="Z19" s="466"/>
      <c r="AA19" s="472"/>
      <c r="AB19" s="471"/>
      <c r="AC19" s="471"/>
      <c r="AD19" s="473"/>
    </row>
    <row r="20" spans="1:30" x14ac:dyDescent="0.35">
      <c r="A20" s="398" t="s">
        <v>249</v>
      </c>
      <c r="B20" s="383"/>
      <c r="C20" s="383"/>
      <c r="D20" s="383"/>
      <c r="E20" s="383"/>
      <c r="F20" s="383"/>
      <c r="G20" s="383"/>
      <c r="H20" s="383"/>
      <c r="I20" s="383"/>
      <c r="J20" s="383"/>
      <c r="K20" s="40"/>
      <c r="L20" s="383"/>
      <c r="M20" s="383"/>
      <c r="N20" s="383"/>
      <c r="O20" s="383"/>
      <c r="P20" s="471" t="s">
        <v>465</v>
      </c>
      <c r="Q20" s="472"/>
      <c r="R20" s="462"/>
      <c r="S20" s="462"/>
      <c r="T20" s="462"/>
      <c r="U20" s="462"/>
      <c r="V20" s="465"/>
      <c r="W20" s="466"/>
      <c r="X20" s="466"/>
      <c r="Y20" s="466"/>
      <c r="Z20" s="466"/>
      <c r="AA20" s="472"/>
      <c r="AB20" s="471"/>
      <c r="AC20" s="471" t="s">
        <v>389</v>
      </c>
      <c r="AD20" s="473" t="s">
        <v>391</v>
      </c>
    </row>
    <row r="21" spans="1:30" x14ac:dyDescent="0.35">
      <c r="A21" s="398" t="s">
        <v>249</v>
      </c>
      <c r="B21" s="383"/>
      <c r="C21" s="383"/>
      <c r="D21" s="383"/>
      <c r="E21" s="383"/>
      <c r="F21" s="383"/>
      <c r="G21" s="383"/>
      <c r="H21" s="383"/>
      <c r="I21" s="383"/>
      <c r="J21" s="383"/>
      <c r="K21" s="40"/>
      <c r="L21" s="383"/>
      <c r="M21" s="383"/>
      <c r="N21" s="383"/>
      <c r="O21" s="383"/>
      <c r="P21" s="471"/>
      <c r="Q21" s="472"/>
      <c r="R21" s="462"/>
      <c r="S21" s="462"/>
      <c r="T21" s="462"/>
      <c r="U21" s="462"/>
      <c r="V21" s="465"/>
      <c r="W21" s="466"/>
      <c r="X21" s="466"/>
      <c r="Y21" s="466"/>
      <c r="Z21" s="466"/>
      <c r="AA21" s="472" t="s">
        <v>586</v>
      </c>
      <c r="AB21" s="471" t="s">
        <v>587</v>
      </c>
      <c r="AC21" s="471"/>
      <c r="AD21" s="473" t="s">
        <v>392</v>
      </c>
    </row>
    <row r="22" spans="1:30" x14ac:dyDescent="0.35">
      <c r="A22" s="398" t="s">
        <v>249</v>
      </c>
      <c r="B22" s="383"/>
      <c r="C22" s="383"/>
      <c r="D22" s="383"/>
      <c r="E22" s="383"/>
      <c r="F22" s="383"/>
      <c r="G22" s="383"/>
      <c r="H22" s="383"/>
      <c r="I22" s="383"/>
      <c r="J22" s="383"/>
      <c r="K22" s="40"/>
      <c r="L22" s="383"/>
      <c r="M22" s="383"/>
      <c r="N22" s="383"/>
      <c r="O22" s="383"/>
      <c r="P22" s="471"/>
      <c r="Q22" s="472"/>
      <c r="R22" s="462"/>
      <c r="S22" s="462"/>
      <c r="T22" s="462"/>
      <c r="U22" s="462"/>
      <c r="V22" s="465"/>
      <c r="W22" s="466"/>
      <c r="X22" s="466"/>
      <c r="Y22" s="466"/>
      <c r="Z22" s="466"/>
      <c r="AA22" s="472"/>
      <c r="AB22" s="471"/>
      <c r="AC22" s="471"/>
      <c r="AD22" s="473"/>
    </row>
    <row r="23" spans="1:30" x14ac:dyDescent="0.35">
      <c r="A23" s="398" t="s">
        <v>250</v>
      </c>
      <c r="B23" s="383"/>
      <c r="C23" s="383"/>
      <c r="D23" s="383"/>
      <c r="E23" s="383"/>
      <c r="F23" s="383"/>
      <c r="G23" s="383"/>
      <c r="H23" s="383"/>
      <c r="I23" s="383"/>
      <c r="J23" s="383"/>
      <c r="K23" s="40"/>
      <c r="L23" s="383"/>
      <c r="M23" s="383"/>
      <c r="N23" s="383"/>
      <c r="O23" s="383"/>
      <c r="P23" s="471"/>
      <c r="Q23" s="472"/>
      <c r="R23" s="462"/>
      <c r="S23" s="462"/>
      <c r="T23" s="462"/>
      <c r="U23" s="462"/>
      <c r="V23" s="465"/>
      <c r="W23" s="466"/>
      <c r="X23" s="466"/>
      <c r="Y23" s="466"/>
      <c r="Z23" s="466"/>
      <c r="AA23" s="472"/>
      <c r="AB23" s="471" t="s">
        <v>399</v>
      </c>
      <c r="AC23" s="471"/>
      <c r="AD23" s="473"/>
    </row>
    <row r="24" spans="1:30" x14ac:dyDescent="0.35">
      <c r="A24" s="398" t="s">
        <v>251</v>
      </c>
      <c r="B24" s="383"/>
      <c r="C24" s="383"/>
      <c r="D24" s="383"/>
      <c r="E24" s="383"/>
      <c r="F24" s="383"/>
      <c r="G24" s="383"/>
      <c r="H24" s="383"/>
      <c r="I24" s="383"/>
      <c r="J24" s="383"/>
      <c r="K24" s="40"/>
      <c r="L24" s="383"/>
      <c r="M24" s="383"/>
      <c r="N24" s="383"/>
      <c r="O24" s="383"/>
      <c r="P24" s="471"/>
      <c r="Q24" s="472"/>
      <c r="R24" s="462"/>
      <c r="S24" s="462"/>
      <c r="T24" s="462"/>
      <c r="U24" s="462"/>
      <c r="V24" s="465"/>
      <c r="W24" s="466"/>
      <c r="X24" s="466"/>
      <c r="Y24" s="466"/>
      <c r="Z24" s="466"/>
      <c r="AA24" s="472"/>
      <c r="AB24" s="471"/>
      <c r="AC24" s="471" t="s">
        <v>588</v>
      </c>
      <c r="AD24" s="473" t="s">
        <v>390</v>
      </c>
    </row>
    <row r="25" spans="1:30" x14ac:dyDescent="0.35">
      <c r="A25" s="398" t="s">
        <v>251</v>
      </c>
      <c r="B25" s="383"/>
      <c r="C25" s="383"/>
      <c r="D25" s="383"/>
      <c r="E25" s="383"/>
      <c r="F25" s="383"/>
      <c r="G25" s="383"/>
      <c r="H25" s="383"/>
      <c r="I25" s="383"/>
      <c r="J25" s="383"/>
      <c r="K25" s="40"/>
      <c r="L25" s="383"/>
      <c r="M25" s="383"/>
      <c r="N25" s="383"/>
      <c r="O25" s="383"/>
      <c r="P25" s="471"/>
      <c r="Q25" s="472"/>
      <c r="R25" s="462"/>
      <c r="S25" s="462"/>
      <c r="T25" s="462"/>
      <c r="U25" s="462"/>
      <c r="V25" s="465"/>
      <c r="W25" s="466"/>
      <c r="X25" s="466"/>
      <c r="Y25" s="466"/>
      <c r="Z25" s="466"/>
      <c r="AA25" s="472" t="s">
        <v>429</v>
      </c>
      <c r="AB25" s="471"/>
      <c r="AC25" s="471"/>
      <c r="AD25" s="473"/>
    </row>
    <row r="26" spans="1:30" x14ac:dyDescent="0.35">
      <c r="A26" s="398" t="s">
        <v>252</v>
      </c>
      <c r="B26" s="383"/>
      <c r="C26" s="383"/>
      <c r="D26" s="383"/>
      <c r="E26" s="383"/>
      <c r="F26" s="383"/>
      <c r="G26" s="383"/>
      <c r="H26" s="383"/>
      <c r="I26" s="383"/>
      <c r="J26" s="383"/>
      <c r="K26" s="40" t="s">
        <v>324</v>
      </c>
      <c r="L26" s="383"/>
      <c r="M26" s="383"/>
      <c r="N26" s="383"/>
      <c r="O26" s="383"/>
      <c r="P26" s="471"/>
      <c r="Q26" s="472" t="s">
        <v>589</v>
      </c>
      <c r="R26" s="462"/>
      <c r="S26" s="462"/>
      <c r="T26" s="462"/>
      <c r="U26" s="462"/>
      <c r="V26" s="465"/>
      <c r="W26" s="466"/>
      <c r="X26" s="466"/>
      <c r="Y26" s="466"/>
      <c r="Z26" s="466"/>
      <c r="AA26" s="472"/>
      <c r="AB26" s="471"/>
      <c r="AC26" s="471"/>
      <c r="AD26" s="473"/>
    </row>
    <row r="27" spans="1:30" x14ac:dyDescent="0.35">
      <c r="A27" s="398" t="s">
        <v>253</v>
      </c>
      <c r="B27" s="383"/>
      <c r="C27" s="383"/>
      <c r="D27" s="383"/>
      <c r="E27" s="383"/>
      <c r="F27" s="383"/>
      <c r="G27" s="383"/>
      <c r="H27" s="383"/>
      <c r="I27" s="383"/>
      <c r="J27" s="383"/>
      <c r="K27" s="40"/>
      <c r="L27" s="383"/>
      <c r="M27" s="383"/>
      <c r="N27" s="383"/>
      <c r="O27" s="383"/>
      <c r="P27" s="471"/>
      <c r="Q27" s="472"/>
      <c r="R27" s="462"/>
      <c r="S27" s="462"/>
      <c r="T27" s="462"/>
      <c r="U27" s="462"/>
      <c r="V27" s="465"/>
      <c r="W27" s="466"/>
      <c r="X27" s="466"/>
      <c r="Y27" s="466"/>
      <c r="Z27" s="466"/>
      <c r="AA27" s="472"/>
      <c r="AB27" s="471"/>
      <c r="AC27" s="471"/>
      <c r="AD27" s="473" t="s">
        <v>590</v>
      </c>
    </row>
    <row r="28" spans="1:30" x14ac:dyDescent="0.35">
      <c r="A28" s="398" t="s">
        <v>253</v>
      </c>
      <c r="B28" s="383"/>
      <c r="C28" s="383"/>
      <c r="D28" s="383"/>
      <c r="E28" s="383"/>
      <c r="F28" s="383"/>
      <c r="G28" s="383"/>
      <c r="H28" s="383"/>
      <c r="I28" s="383"/>
      <c r="J28" s="383"/>
      <c r="K28" s="40" t="s">
        <v>325</v>
      </c>
      <c r="L28" s="399"/>
      <c r="M28" s="399"/>
      <c r="N28" s="399"/>
      <c r="O28" s="399"/>
      <c r="P28" s="471"/>
      <c r="Q28" s="472"/>
      <c r="R28" s="462"/>
      <c r="S28" s="462"/>
      <c r="T28" s="462"/>
      <c r="U28" s="462"/>
      <c r="V28" s="465"/>
      <c r="W28" s="466"/>
      <c r="X28" s="466"/>
      <c r="Y28" s="466"/>
      <c r="Z28" s="466"/>
      <c r="AA28" s="472"/>
      <c r="AB28" s="471"/>
      <c r="AC28" s="471"/>
      <c r="AD28" s="473"/>
    </row>
    <row r="29" spans="1:30" x14ac:dyDescent="0.35">
      <c r="A29" s="398" t="s">
        <v>254</v>
      </c>
      <c r="B29" s="383"/>
      <c r="C29" s="383"/>
      <c r="D29" s="383"/>
      <c r="E29" s="383"/>
      <c r="F29" s="383"/>
      <c r="G29" s="383"/>
      <c r="H29" s="383"/>
      <c r="I29" s="383"/>
      <c r="J29" s="383"/>
      <c r="K29" s="40"/>
      <c r="L29" s="383"/>
      <c r="M29" s="383"/>
      <c r="N29" s="383"/>
      <c r="O29" s="383"/>
      <c r="P29" s="471"/>
      <c r="Q29" s="472"/>
      <c r="R29" s="462"/>
      <c r="S29" s="462"/>
      <c r="T29" s="462"/>
      <c r="U29" s="462"/>
      <c r="V29" s="465"/>
      <c r="W29" s="466"/>
      <c r="X29" s="466"/>
      <c r="Y29" s="466"/>
      <c r="Z29" s="466"/>
      <c r="AA29" s="472"/>
      <c r="AB29" s="471"/>
      <c r="AC29" s="471"/>
      <c r="AD29" s="473"/>
    </row>
    <row r="30" spans="1:30" x14ac:dyDescent="0.35">
      <c r="A30" s="398" t="s">
        <v>254</v>
      </c>
      <c r="B30" s="383"/>
      <c r="C30" s="383"/>
      <c r="D30" s="383"/>
      <c r="E30" s="383"/>
      <c r="F30" s="383"/>
      <c r="G30" s="383"/>
      <c r="H30" s="383"/>
      <c r="I30" s="383"/>
      <c r="J30" s="383"/>
      <c r="K30" s="40"/>
      <c r="L30" s="383"/>
      <c r="M30" s="383"/>
      <c r="N30" s="383"/>
      <c r="O30" s="383"/>
      <c r="P30" s="471"/>
      <c r="Q30" s="472"/>
      <c r="R30" s="462"/>
      <c r="S30" s="462"/>
      <c r="T30" s="462"/>
      <c r="U30" s="462"/>
      <c r="V30" s="465"/>
      <c r="W30" s="466"/>
      <c r="X30" s="466"/>
      <c r="Y30" s="466"/>
      <c r="Z30" s="466"/>
      <c r="AA30" s="472"/>
      <c r="AB30" s="471"/>
      <c r="AC30" s="471"/>
      <c r="AD30" s="473"/>
    </row>
    <row r="31" spans="1:30" x14ac:dyDescent="0.35">
      <c r="A31" s="398" t="s">
        <v>255</v>
      </c>
      <c r="B31" s="383"/>
      <c r="C31" s="383"/>
      <c r="D31" s="383"/>
      <c r="E31" s="383"/>
      <c r="F31" s="383"/>
      <c r="G31" s="383"/>
      <c r="H31" s="383"/>
      <c r="I31" s="383"/>
      <c r="J31" s="383"/>
      <c r="K31" s="40" t="s">
        <v>326</v>
      </c>
      <c r="L31" s="383"/>
      <c r="M31" s="383"/>
      <c r="N31" s="383"/>
      <c r="O31" s="383"/>
      <c r="P31" s="471"/>
      <c r="Q31" s="472"/>
      <c r="R31" s="462"/>
      <c r="S31" s="462"/>
      <c r="T31" s="462"/>
      <c r="U31" s="462"/>
      <c r="V31" s="465"/>
      <c r="W31" s="466"/>
      <c r="X31" s="466"/>
      <c r="Y31" s="466"/>
      <c r="Z31" s="466"/>
      <c r="AA31" s="472"/>
      <c r="AB31" s="471"/>
      <c r="AC31" s="471"/>
      <c r="AD31" s="473"/>
    </row>
    <row r="32" spans="1:30" x14ac:dyDescent="0.35">
      <c r="A32" s="398" t="s">
        <v>255</v>
      </c>
      <c r="B32" s="383"/>
      <c r="C32" s="383"/>
      <c r="D32" s="383"/>
      <c r="E32" s="383"/>
      <c r="F32" s="383"/>
      <c r="G32" s="383"/>
      <c r="H32" s="383"/>
      <c r="I32" s="383"/>
      <c r="J32" s="383"/>
      <c r="K32" s="40"/>
      <c r="L32" s="383"/>
      <c r="M32" s="383"/>
      <c r="N32" s="383"/>
      <c r="O32" s="383"/>
      <c r="P32" s="471"/>
      <c r="Q32" s="472"/>
      <c r="R32" s="462"/>
      <c r="S32" s="462"/>
      <c r="T32" s="462"/>
      <c r="U32" s="462"/>
      <c r="V32" s="465"/>
      <c r="W32" s="466"/>
      <c r="X32" s="466"/>
      <c r="Y32" s="466"/>
      <c r="Z32" s="466"/>
      <c r="AA32" s="472"/>
      <c r="AB32" s="471"/>
      <c r="AC32" s="471"/>
      <c r="AD32" s="473"/>
    </row>
    <row r="33" spans="1:30" x14ac:dyDescent="0.35">
      <c r="A33" s="398" t="s">
        <v>256</v>
      </c>
      <c r="B33" s="383"/>
      <c r="C33" s="383"/>
      <c r="D33" s="383"/>
      <c r="E33" s="383"/>
      <c r="F33" s="383"/>
      <c r="G33" s="383"/>
      <c r="H33" s="383"/>
      <c r="I33" s="383"/>
      <c r="J33" s="383"/>
      <c r="K33" s="40"/>
      <c r="L33" s="383"/>
      <c r="M33" s="383"/>
      <c r="N33" s="383"/>
      <c r="O33" s="383"/>
      <c r="P33" s="471"/>
      <c r="Q33" s="472"/>
      <c r="R33" s="462"/>
      <c r="S33" s="462"/>
      <c r="T33" s="462"/>
      <c r="U33" s="462"/>
      <c r="V33" s="465"/>
      <c r="W33" s="466"/>
      <c r="X33" s="466"/>
      <c r="Y33" s="466"/>
      <c r="Z33" s="466"/>
      <c r="AA33" s="472"/>
      <c r="AB33" s="471"/>
      <c r="AC33" s="471"/>
      <c r="AD33" s="473"/>
    </row>
    <row r="34" spans="1:30" x14ac:dyDescent="0.35">
      <c r="A34" s="398" t="s">
        <v>257</v>
      </c>
      <c r="B34" s="383"/>
      <c r="C34" s="383"/>
      <c r="D34" s="383"/>
      <c r="E34" s="383"/>
      <c r="F34" s="383"/>
      <c r="G34" s="383"/>
      <c r="H34" s="383"/>
      <c r="I34" s="383"/>
      <c r="J34" s="383"/>
      <c r="K34" s="40"/>
      <c r="L34" s="383"/>
      <c r="M34" s="383"/>
      <c r="N34" s="383"/>
      <c r="O34" s="383"/>
      <c r="P34" s="471"/>
      <c r="Q34" s="472"/>
      <c r="R34" s="462"/>
      <c r="S34" s="462"/>
      <c r="T34" s="462"/>
      <c r="U34" s="462"/>
      <c r="V34" s="465"/>
      <c r="W34" s="466"/>
      <c r="X34" s="466"/>
      <c r="Y34" s="466"/>
      <c r="Z34" s="466"/>
      <c r="AA34" s="472"/>
      <c r="AB34" s="471" t="s">
        <v>361</v>
      </c>
      <c r="AC34" s="471"/>
      <c r="AD34" s="473"/>
    </row>
    <row r="35" spans="1:30" x14ac:dyDescent="0.35">
      <c r="A35" s="398" t="s">
        <v>258</v>
      </c>
      <c r="B35" s="383"/>
      <c r="C35" s="383"/>
      <c r="D35" s="383"/>
      <c r="E35" s="383"/>
      <c r="F35" s="383"/>
      <c r="G35" s="383"/>
      <c r="H35" s="383"/>
      <c r="I35" s="383"/>
      <c r="J35" s="383"/>
      <c r="K35" s="40"/>
      <c r="L35" s="383"/>
      <c r="M35" s="383"/>
      <c r="N35" s="383"/>
      <c r="O35" s="383"/>
      <c r="P35" s="471" t="s">
        <v>466</v>
      </c>
      <c r="Q35" s="472"/>
      <c r="R35" s="462"/>
      <c r="S35" s="462"/>
      <c r="T35" s="462"/>
      <c r="U35" s="462"/>
      <c r="V35" s="465"/>
      <c r="W35" s="466"/>
      <c r="X35" s="466"/>
      <c r="Y35" s="466"/>
      <c r="Z35" s="466"/>
      <c r="AA35" s="472"/>
      <c r="AB35" s="471"/>
      <c r="AC35" s="471"/>
      <c r="AD35" s="473"/>
    </row>
    <row r="36" spans="1:30" x14ac:dyDescent="0.35">
      <c r="A36" s="400" t="s">
        <v>258</v>
      </c>
      <c r="B36" s="383"/>
      <c r="C36" s="383"/>
      <c r="D36" s="383"/>
      <c r="E36" s="383"/>
      <c r="F36" s="383"/>
      <c r="G36" s="383"/>
      <c r="H36" s="383"/>
      <c r="I36" s="383"/>
      <c r="J36" s="383"/>
      <c r="K36" s="41"/>
      <c r="L36" s="383"/>
      <c r="M36" s="383"/>
      <c r="N36" s="383"/>
      <c r="O36" s="383"/>
      <c r="P36" s="474" t="s">
        <v>461</v>
      </c>
      <c r="Q36" s="475"/>
      <c r="R36" s="462"/>
      <c r="S36" s="462"/>
      <c r="T36" s="462"/>
      <c r="U36" s="462"/>
      <c r="V36" s="465"/>
      <c r="W36" s="466"/>
      <c r="X36" s="466"/>
      <c r="Y36" s="466"/>
      <c r="Z36" s="466"/>
      <c r="AA36" s="475"/>
      <c r="AB36" s="474"/>
      <c r="AC36" s="474"/>
      <c r="AD36" s="476"/>
    </row>
    <row r="37" spans="1:30" ht="16" thickBot="1" x14ac:dyDescent="0.4">
      <c r="A37" s="400" t="s">
        <v>259</v>
      </c>
      <c r="B37" s="383"/>
      <c r="C37" s="383"/>
      <c r="D37" s="383"/>
      <c r="E37" s="383"/>
      <c r="F37" s="383"/>
      <c r="G37" s="383"/>
      <c r="H37" s="383"/>
      <c r="I37" s="383"/>
      <c r="J37" s="383"/>
      <c r="K37" s="41"/>
      <c r="L37" s="383"/>
      <c r="M37" s="383"/>
      <c r="N37" s="383"/>
      <c r="O37" s="383"/>
      <c r="P37" s="477"/>
      <c r="Q37" s="478"/>
      <c r="R37" s="462"/>
      <c r="S37" s="462"/>
      <c r="T37" s="462"/>
      <c r="U37" s="462"/>
      <c r="V37" s="465"/>
      <c r="W37" s="466"/>
      <c r="X37" s="466"/>
      <c r="Y37" s="466"/>
      <c r="Z37" s="466"/>
      <c r="AA37" s="478"/>
      <c r="AB37" s="477"/>
      <c r="AC37" s="477"/>
      <c r="AD37" s="479"/>
    </row>
    <row r="38" spans="1:30" ht="16" thickTop="1" x14ac:dyDescent="0.35">
      <c r="A38" s="391"/>
      <c r="B38" s="387"/>
      <c r="C38" s="387"/>
      <c r="D38" s="387"/>
      <c r="E38" s="387"/>
      <c r="F38" s="387"/>
      <c r="G38" s="387"/>
      <c r="H38" s="387"/>
      <c r="I38" s="387"/>
      <c r="J38" s="387"/>
      <c r="K38" s="390"/>
      <c r="L38" s="387"/>
      <c r="M38" s="387"/>
      <c r="N38" s="387"/>
      <c r="O38" s="387"/>
      <c r="P38" s="480"/>
      <c r="Q38" s="481"/>
      <c r="R38" s="462"/>
      <c r="S38" s="462"/>
      <c r="T38" s="462"/>
      <c r="U38" s="462"/>
      <c r="V38" s="465"/>
      <c r="W38" s="466"/>
      <c r="X38" s="466"/>
      <c r="Y38" s="466"/>
      <c r="Z38" s="466"/>
      <c r="AA38" s="481"/>
      <c r="AB38" s="480"/>
      <c r="AC38" s="480"/>
      <c r="AD38" s="482"/>
    </row>
    <row r="39" spans="1:30" ht="16" thickBot="1" x14ac:dyDescent="0.4">
      <c r="A39" s="401" t="s">
        <v>260</v>
      </c>
      <c r="B39" s="383"/>
      <c r="C39" s="383"/>
      <c r="D39" s="383"/>
      <c r="E39" s="383"/>
      <c r="F39" s="383"/>
      <c r="G39" s="383"/>
      <c r="H39" s="383"/>
      <c r="I39" s="383"/>
      <c r="J39" s="383"/>
      <c r="K39" s="386" t="s">
        <v>323</v>
      </c>
      <c r="L39" s="383"/>
      <c r="M39" s="383"/>
      <c r="N39" s="383"/>
      <c r="O39" s="383"/>
      <c r="P39" s="483" t="s">
        <v>591</v>
      </c>
      <c r="Q39" s="484" t="s">
        <v>592</v>
      </c>
      <c r="R39" s="462"/>
      <c r="S39" s="462"/>
      <c r="T39" s="462"/>
      <c r="U39" s="462"/>
      <c r="V39" s="465"/>
      <c r="W39" s="466"/>
      <c r="X39" s="466"/>
      <c r="Y39" s="466"/>
      <c r="Z39" s="466"/>
      <c r="AA39" s="484" t="s">
        <v>593</v>
      </c>
      <c r="AB39" s="483" t="s">
        <v>594</v>
      </c>
      <c r="AC39" s="483" t="s">
        <v>588</v>
      </c>
      <c r="AD39" s="485" t="s">
        <v>595</v>
      </c>
    </row>
    <row r="40" spans="1:30" ht="16" thickTop="1" x14ac:dyDescent="0.35">
      <c r="A40" s="389"/>
      <c r="B40" s="387"/>
      <c r="C40" s="387"/>
      <c r="D40" s="387"/>
      <c r="E40" s="387"/>
      <c r="F40" s="387"/>
      <c r="G40" s="387"/>
      <c r="H40" s="387"/>
      <c r="I40" s="387"/>
      <c r="J40" s="387"/>
      <c r="K40" s="390"/>
      <c r="L40" s="387"/>
      <c r="M40" s="387"/>
      <c r="N40" s="387"/>
      <c r="O40" s="387"/>
      <c r="P40" s="480"/>
      <c r="Q40" s="481"/>
      <c r="R40" s="462"/>
      <c r="S40" s="462"/>
      <c r="T40" s="462"/>
      <c r="U40" s="462"/>
      <c r="V40" s="465"/>
      <c r="W40" s="466"/>
      <c r="X40" s="466"/>
      <c r="Y40" s="466"/>
      <c r="Z40" s="466"/>
      <c r="AA40" s="481"/>
      <c r="AB40" s="480"/>
      <c r="AC40" s="480"/>
      <c r="AD40" s="482"/>
    </row>
    <row r="41" spans="1:30" ht="16" thickBot="1" x14ac:dyDescent="0.4">
      <c r="A41" s="401" t="s">
        <v>261</v>
      </c>
      <c r="B41" s="383"/>
      <c r="C41" s="383"/>
      <c r="D41" s="383"/>
      <c r="E41" s="383"/>
      <c r="F41" s="383"/>
      <c r="G41" s="383"/>
      <c r="H41" s="383"/>
      <c r="I41" s="383"/>
      <c r="J41" s="383"/>
      <c r="K41" s="386" t="s">
        <v>323</v>
      </c>
      <c r="L41" s="383"/>
      <c r="M41" s="383"/>
      <c r="N41" s="383"/>
      <c r="O41" s="383"/>
      <c r="P41" s="486" t="s">
        <v>465</v>
      </c>
      <c r="Q41" s="487" t="s">
        <v>467</v>
      </c>
      <c r="R41" s="462"/>
      <c r="S41" s="462"/>
      <c r="T41" s="462"/>
      <c r="U41" s="462"/>
      <c r="V41" s="465"/>
      <c r="W41" s="466"/>
      <c r="X41" s="466"/>
      <c r="Y41" s="466"/>
      <c r="Z41" s="466"/>
      <c r="AA41" s="487" t="s">
        <v>468</v>
      </c>
      <c r="AB41" s="486" t="s">
        <v>469</v>
      </c>
      <c r="AC41" s="486" t="s">
        <v>430</v>
      </c>
      <c r="AD41" s="488" t="s">
        <v>470</v>
      </c>
    </row>
    <row r="42" spans="1:30" ht="16" thickTop="1" x14ac:dyDescent="0.35">
      <c r="A42" s="389"/>
      <c r="B42" s="387"/>
      <c r="C42" s="387"/>
      <c r="D42" s="387"/>
      <c r="E42" s="387"/>
      <c r="F42" s="387"/>
      <c r="G42" s="387"/>
      <c r="H42" s="387"/>
      <c r="I42" s="387"/>
      <c r="J42" s="387"/>
      <c r="K42" s="388"/>
      <c r="L42" s="387"/>
      <c r="M42" s="387"/>
      <c r="N42" s="387"/>
      <c r="O42" s="387"/>
      <c r="P42" s="489"/>
      <c r="Q42" s="490"/>
      <c r="R42" s="462"/>
      <c r="S42" s="462"/>
      <c r="T42" s="462"/>
      <c r="U42" s="462"/>
      <c r="V42" s="465"/>
      <c r="W42" s="466"/>
      <c r="X42" s="466"/>
      <c r="Y42" s="466"/>
      <c r="Z42" s="466"/>
      <c r="AA42" s="490"/>
      <c r="AB42" s="489"/>
      <c r="AC42" s="489"/>
      <c r="AD42" s="491"/>
    </row>
    <row r="43" spans="1:30" ht="16" thickBot="1" x14ac:dyDescent="0.4">
      <c r="A43" s="402" t="s">
        <v>262</v>
      </c>
      <c r="B43" s="403"/>
      <c r="C43" s="403"/>
      <c r="D43" s="403"/>
      <c r="E43" s="403"/>
      <c r="F43" s="403"/>
      <c r="G43" s="403"/>
      <c r="H43" s="403"/>
      <c r="I43" s="403"/>
      <c r="J43" s="403"/>
      <c r="K43" s="404" t="s">
        <v>327</v>
      </c>
      <c r="L43" s="403"/>
      <c r="M43" s="403"/>
      <c r="N43" s="403"/>
      <c r="O43" s="403"/>
      <c r="P43" s="492" t="s">
        <v>596</v>
      </c>
      <c r="Q43" s="493" t="s">
        <v>597</v>
      </c>
      <c r="R43" s="462"/>
      <c r="S43" s="462"/>
      <c r="T43" s="462"/>
      <c r="U43" s="462"/>
      <c r="V43" s="465"/>
      <c r="W43" s="466"/>
      <c r="X43" s="466"/>
      <c r="Y43" s="466"/>
      <c r="Z43" s="466"/>
      <c r="AA43" s="493" t="s">
        <v>598</v>
      </c>
      <c r="AB43" s="492" t="s">
        <v>599</v>
      </c>
      <c r="AC43" s="492" t="s">
        <v>600</v>
      </c>
      <c r="AD43" s="494" t="s">
        <v>601</v>
      </c>
    </row>
  </sheetData>
  <mergeCells count="7">
    <mergeCell ref="A10:Z10"/>
    <mergeCell ref="AA10:AB10"/>
    <mergeCell ref="A5:AB7"/>
    <mergeCell ref="A8:Z8"/>
    <mergeCell ref="AA8:AB8"/>
    <mergeCell ref="A9:Z9"/>
    <mergeCell ref="AA9:AB9"/>
  </mergeCells>
  <printOptions horizontalCentered="1" verticalCentered="1"/>
  <pageMargins left="0.27559055118110237" right="0.19685039370078741" top="0.98425196850393704" bottom="1.1023622047244095" header="0.51181102362204722" footer="0.51181102362204722"/>
  <pageSetup paperSize="9" scale="85" orientation="landscape" r:id="rId1"/>
  <headerFooter alignWithMargins="0">
    <oddHeader xml:space="preserve">&amp;C3
</oddHeader>
    <oddFooter>&amp;L&amp;8Przygotowali:
mgr inż. Tomasz Smoleński
IERiGŻ-PIB
Zakład Ekonomiki Ogrodnictwa&amp;R&amp;8Przedruk możliwy po uzgodnieniu
 z Zakładem Ekonomiki Ogrodnictwa IERiGŻ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showGridLines="0" zoomScale="75" zoomScaleNormal="75" workbookViewId="0">
      <selection activeCell="H12" sqref="H12"/>
    </sheetView>
  </sheetViews>
  <sheetFormatPr defaultRowHeight="12.5" x14ac:dyDescent="0.25"/>
  <cols>
    <col min="1" max="1" width="10.7265625" customWidth="1"/>
    <col min="2" max="5" width="20.7265625" customWidth="1"/>
    <col min="6" max="19" width="10.7265625" customWidth="1"/>
    <col min="250" max="250" width="21" customWidth="1"/>
    <col min="251" max="251" width="16.453125" customWidth="1"/>
    <col min="252" max="252" width="17.54296875" customWidth="1"/>
    <col min="253" max="253" width="13.1796875" customWidth="1"/>
    <col min="254" max="254" width="11.26953125" customWidth="1"/>
    <col min="255" max="255" width="13.7265625" customWidth="1"/>
    <col min="506" max="506" width="21" customWidth="1"/>
    <col min="507" max="507" width="16.453125" customWidth="1"/>
    <col min="508" max="508" width="17.54296875" customWidth="1"/>
    <col min="509" max="509" width="13.1796875" customWidth="1"/>
    <col min="510" max="510" width="11.26953125" customWidth="1"/>
    <col min="511" max="511" width="13.7265625" customWidth="1"/>
    <col min="762" max="762" width="21" customWidth="1"/>
    <col min="763" max="763" width="16.453125" customWidth="1"/>
    <col min="764" max="764" width="17.54296875" customWidth="1"/>
    <col min="765" max="765" width="13.1796875" customWidth="1"/>
    <col min="766" max="766" width="11.26953125" customWidth="1"/>
    <col min="767" max="767" width="13.7265625" customWidth="1"/>
    <col min="1018" max="1018" width="21" customWidth="1"/>
    <col min="1019" max="1019" width="16.453125" customWidth="1"/>
    <col min="1020" max="1020" width="17.54296875" customWidth="1"/>
    <col min="1021" max="1021" width="13.1796875" customWidth="1"/>
    <col min="1022" max="1022" width="11.26953125" customWidth="1"/>
    <col min="1023" max="1023" width="13.7265625" customWidth="1"/>
    <col min="1274" max="1274" width="21" customWidth="1"/>
    <col min="1275" max="1275" width="16.453125" customWidth="1"/>
    <col min="1276" max="1276" width="17.54296875" customWidth="1"/>
    <col min="1277" max="1277" width="13.1796875" customWidth="1"/>
    <col min="1278" max="1278" width="11.26953125" customWidth="1"/>
    <col min="1279" max="1279" width="13.7265625" customWidth="1"/>
    <col min="1530" max="1530" width="21" customWidth="1"/>
    <col min="1531" max="1531" width="16.453125" customWidth="1"/>
    <col min="1532" max="1532" width="17.54296875" customWidth="1"/>
    <col min="1533" max="1533" width="13.1796875" customWidth="1"/>
    <col min="1534" max="1534" width="11.26953125" customWidth="1"/>
    <col min="1535" max="1535" width="13.7265625" customWidth="1"/>
    <col min="1786" max="1786" width="21" customWidth="1"/>
    <col min="1787" max="1787" width="16.453125" customWidth="1"/>
    <col min="1788" max="1788" width="17.54296875" customWidth="1"/>
    <col min="1789" max="1789" width="13.1796875" customWidth="1"/>
    <col min="1790" max="1790" width="11.26953125" customWidth="1"/>
    <col min="1791" max="1791" width="13.7265625" customWidth="1"/>
    <col min="2042" max="2042" width="21" customWidth="1"/>
    <col min="2043" max="2043" width="16.453125" customWidth="1"/>
    <col min="2044" max="2044" width="17.54296875" customWidth="1"/>
    <col min="2045" max="2045" width="13.1796875" customWidth="1"/>
    <col min="2046" max="2046" width="11.26953125" customWidth="1"/>
    <col min="2047" max="2047" width="13.7265625" customWidth="1"/>
    <col min="2298" max="2298" width="21" customWidth="1"/>
    <col min="2299" max="2299" width="16.453125" customWidth="1"/>
    <col min="2300" max="2300" width="17.54296875" customWidth="1"/>
    <col min="2301" max="2301" width="13.1796875" customWidth="1"/>
    <col min="2302" max="2302" width="11.26953125" customWidth="1"/>
    <col min="2303" max="2303" width="13.7265625" customWidth="1"/>
    <col min="2554" max="2554" width="21" customWidth="1"/>
    <col min="2555" max="2555" width="16.453125" customWidth="1"/>
    <col min="2556" max="2556" width="17.54296875" customWidth="1"/>
    <col min="2557" max="2557" width="13.1796875" customWidth="1"/>
    <col min="2558" max="2558" width="11.26953125" customWidth="1"/>
    <col min="2559" max="2559" width="13.7265625" customWidth="1"/>
    <col min="2810" max="2810" width="21" customWidth="1"/>
    <col min="2811" max="2811" width="16.453125" customWidth="1"/>
    <col min="2812" max="2812" width="17.54296875" customWidth="1"/>
    <col min="2813" max="2813" width="13.1796875" customWidth="1"/>
    <col min="2814" max="2814" width="11.26953125" customWidth="1"/>
    <col min="2815" max="2815" width="13.7265625" customWidth="1"/>
    <col min="3066" max="3066" width="21" customWidth="1"/>
    <col min="3067" max="3067" width="16.453125" customWidth="1"/>
    <col min="3068" max="3068" width="17.54296875" customWidth="1"/>
    <col min="3069" max="3069" width="13.1796875" customWidth="1"/>
    <col min="3070" max="3070" width="11.26953125" customWidth="1"/>
    <col min="3071" max="3071" width="13.7265625" customWidth="1"/>
    <col min="3322" max="3322" width="21" customWidth="1"/>
    <col min="3323" max="3323" width="16.453125" customWidth="1"/>
    <col min="3324" max="3324" width="17.54296875" customWidth="1"/>
    <col min="3325" max="3325" width="13.1796875" customWidth="1"/>
    <col min="3326" max="3326" width="11.26953125" customWidth="1"/>
    <col min="3327" max="3327" width="13.7265625" customWidth="1"/>
    <col min="3578" max="3578" width="21" customWidth="1"/>
    <col min="3579" max="3579" width="16.453125" customWidth="1"/>
    <col min="3580" max="3580" width="17.54296875" customWidth="1"/>
    <col min="3581" max="3581" width="13.1796875" customWidth="1"/>
    <col min="3582" max="3582" width="11.26953125" customWidth="1"/>
    <col min="3583" max="3583" width="13.7265625" customWidth="1"/>
    <col min="3834" max="3834" width="21" customWidth="1"/>
    <col min="3835" max="3835" width="16.453125" customWidth="1"/>
    <col min="3836" max="3836" width="17.54296875" customWidth="1"/>
    <col min="3837" max="3837" width="13.1796875" customWidth="1"/>
    <col min="3838" max="3838" width="11.26953125" customWidth="1"/>
    <col min="3839" max="3839" width="13.7265625" customWidth="1"/>
    <col min="4090" max="4090" width="21" customWidth="1"/>
    <col min="4091" max="4091" width="16.453125" customWidth="1"/>
    <col min="4092" max="4092" width="17.54296875" customWidth="1"/>
    <col min="4093" max="4093" width="13.1796875" customWidth="1"/>
    <col min="4094" max="4094" width="11.26953125" customWidth="1"/>
    <col min="4095" max="4095" width="13.7265625" customWidth="1"/>
    <col min="4346" max="4346" width="21" customWidth="1"/>
    <col min="4347" max="4347" width="16.453125" customWidth="1"/>
    <col min="4348" max="4348" width="17.54296875" customWidth="1"/>
    <col min="4349" max="4349" width="13.1796875" customWidth="1"/>
    <col min="4350" max="4350" width="11.26953125" customWidth="1"/>
    <col min="4351" max="4351" width="13.7265625" customWidth="1"/>
    <col min="4602" max="4602" width="21" customWidth="1"/>
    <col min="4603" max="4603" width="16.453125" customWidth="1"/>
    <col min="4604" max="4604" width="17.54296875" customWidth="1"/>
    <col min="4605" max="4605" width="13.1796875" customWidth="1"/>
    <col min="4606" max="4606" width="11.26953125" customWidth="1"/>
    <col min="4607" max="4607" width="13.7265625" customWidth="1"/>
    <col min="4858" max="4858" width="21" customWidth="1"/>
    <col min="4859" max="4859" width="16.453125" customWidth="1"/>
    <col min="4860" max="4860" width="17.54296875" customWidth="1"/>
    <col min="4861" max="4861" width="13.1796875" customWidth="1"/>
    <col min="4862" max="4862" width="11.26953125" customWidth="1"/>
    <col min="4863" max="4863" width="13.7265625" customWidth="1"/>
    <col min="5114" max="5114" width="21" customWidth="1"/>
    <col min="5115" max="5115" width="16.453125" customWidth="1"/>
    <col min="5116" max="5116" width="17.54296875" customWidth="1"/>
    <col min="5117" max="5117" width="13.1796875" customWidth="1"/>
    <col min="5118" max="5118" width="11.26953125" customWidth="1"/>
    <col min="5119" max="5119" width="13.7265625" customWidth="1"/>
    <col min="5370" max="5370" width="21" customWidth="1"/>
    <col min="5371" max="5371" width="16.453125" customWidth="1"/>
    <col min="5372" max="5372" width="17.54296875" customWidth="1"/>
    <col min="5373" max="5373" width="13.1796875" customWidth="1"/>
    <col min="5374" max="5374" width="11.26953125" customWidth="1"/>
    <col min="5375" max="5375" width="13.7265625" customWidth="1"/>
    <col min="5626" max="5626" width="21" customWidth="1"/>
    <col min="5627" max="5627" width="16.453125" customWidth="1"/>
    <col min="5628" max="5628" width="17.54296875" customWidth="1"/>
    <col min="5629" max="5629" width="13.1796875" customWidth="1"/>
    <col min="5630" max="5630" width="11.26953125" customWidth="1"/>
    <col min="5631" max="5631" width="13.7265625" customWidth="1"/>
    <col min="5882" max="5882" width="21" customWidth="1"/>
    <col min="5883" max="5883" width="16.453125" customWidth="1"/>
    <col min="5884" max="5884" width="17.54296875" customWidth="1"/>
    <col min="5885" max="5885" width="13.1796875" customWidth="1"/>
    <col min="5886" max="5886" width="11.26953125" customWidth="1"/>
    <col min="5887" max="5887" width="13.7265625" customWidth="1"/>
    <col min="6138" max="6138" width="21" customWidth="1"/>
    <col min="6139" max="6139" width="16.453125" customWidth="1"/>
    <col min="6140" max="6140" width="17.54296875" customWidth="1"/>
    <col min="6141" max="6141" width="13.1796875" customWidth="1"/>
    <col min="6142" max="6142" width="11.26953125" customWidth="1"/>
    <col min="6143" max="6143" width="13.7265625" customWidth="1"/>
    <col min="6394" max="6394" width="21" customWidth="1"/>
    <col min="6395" max="6395" width="16.453125" customWidth="1"/>
    <col min="6396" max="6396" width="17.54296875" customWidth="1"/>
    <col min="6397" max="6397" width="13.1796875" customWidth="1"/>
    <col min="6398" max="6398" width="11.26953125" customWidth="1"/>
    <col min="6399" max="6399" width="13.7265625" customWidth="1"/>
    <col min="6650" max="6650" width="21" customWidth="1"/>
    <col min="6651" max="6651" width="16.453125" customWidth="1"/>
    <col min="6652" max="6652" width="17.54296875" customWidth="1"/>
    <col min="6653" max="6653" width="13.1796875" customWidth="1"/>
    <col min="6654" max="6654" width="11.26953125" customWidth="1"/>
    <col min="6655" max="6655" width="13.7265625" customWidth="1"/>
    <col min="6906" max="6906" width="21" customWidth="1"/>
    <col min="6907" max="6907" width="16.453125" customWidth="1"/>
    <col min="6908" max="6908" width="17.54296875" customWidth="1"/>
    <col min="6909" max="6909" width="13.1796875" customWidth="1"/>
    <col min="6910" max="6910" width="11.26953125" customWidth="1"/>
    <col min="6911" max="6911" width="13.7265625" customWidth="1"/>
    <col min="7162" max="7162" width="21" customWidth="1"/>
    <col min="7163" max="7163" width="16.453125" customWidth="1"/>
    <col min="7164" max="7164" width="17.54296875" customWidth="1"/>
    <col min="7165" max="7165" width="13.1796875" customWidth="1"/>
    <col min="7166" max="7166" width="11.26953125" customWidth="1"/>
    <col min="7167" max="7167" width="13.7265625" customWidth="1"/>
    <col min="7418" max="7418" width="21" customWidth="1"/>
    <col min="7419" max="7419" width="16.453125" customWidth="1"/>
    <col min="7420" max="7420" width="17.54296875" customWidth="1"/>
    <col min="7421" max="7421" width="13.1796875" customWidth="1"/>
    <col min="7422" max="7422" width="11.26953125" customWidth="1"/>
    <col min="7423" max="7423" width="13.7265625" customWidth="1"/>
    <col min="7674" max="7674" width="21" customWidth="1"/>
    <col min="7675" max="7675" width="16.453125" customWidth="1"/>
    <col min="7676" max="7676" width="17.54296875" customWidth="1"/>
    <col min="7677" max="7677" width="13.1796875" customWidth="1"/>
    <col min="7678" max="7678" width="11.26953125" customWidth="1"/>
    <col min="7679" max="7679" width="13.7265625" customWidth="1"/>
    <col min="7930" max="7930" width="21" customWidth="1"/>
    <col min="7931" max="7931" width="16.453125" customWidth="1"/>
    <col min="7932" max="7932" width="17.54296875" customWidth="1"/>
    <col min="7933" max="7933" width="13.1796875" customWidth="1"/>
    <col min="7934" max="7934" width="11.26953125" customWidth="1"/>
    <col min="7935" max="7935" width="13.7265625" customWidth="1"/>
    <col min="8186" max="8186" width="21" customWidth="1"/>
    <col min="8187" max="8187" width="16.453125" customWidth="1"/>
    <col min="8188" max="8188" width="17.54296875" customWidth="1"/>
    <col min="8189" max="8189" width="13.1796875" customWidth="1"/>
    <col min="8190" max="8190" width="11.26953125" customWidth="1"/>
    <col min="8191" max="8191" width="13.7265625" customWidth="1"/>
    <col min="8442" max="8442" width="21" customWidth="1"/>
    <col min="8443" max="8443" width="16.453125" customWidth="1"/>
    <col min="8444" max="8444" width="17.54296875" customWidth="1"/>
    <col min="8445" max="8445" width="13.1796875" customWidth="1"/>
    <col min="8446" max="8446" width="11.26953125" customWidth="1"/>
    <col min="8447" max="8447" width="13.7265625" customWidth="1"/>
    <col min="8698" max="8698" width="21" customWidth="1"/>
    <col min="8699" max="8699" width="16.453125" customWidth="1"/>
    <col min="8700" max="8700" width="17.54296875" customWidth="1"/>
    <col min="8701" max="8701" width="13.1796875" customWidth="1"/>
    <col min="8702" max="8702" width="11.26953125" customWidth="1"/>
    <col min="8703" max="8703" width="13.7265625" customWidth="1"/>
    <col min="8954" max="8954" width="21" customWidth="1"/>
    <col min="8955" max="8955" width="16.453125" customWidth="1"/>
    <col min="8956" max="8956" width="17.54296875" customWidth="1"/>
    <col min="8957" max="8957" width="13.1796875" customWidth="1"/>
    <col min="8958" max="8958" width="11.26953125" customWidth="1"/>
    <col min="8959" max="8959" width="13.7265625" customWidth="1"/>
    <col min="9210" max="9210" width="21" customWidth="1"/>
    <col min="9211" max="9211" width="16.453125" customWidth="1"/>
    <col min="9212" max="9212" width="17.54296875" customWidth="1"/>
    <col min="9213" max="9213" width="13.1796875" customWidth="1"/>
    <col min="9214" max="9214" width="11.26953125" customWidth="1"/>
    <col min="9215" max="9215" width="13.7265625" customWidth="1"/>
    <col min="9466" max="9466" width="21" customWidth="1"/>
    <col min="9467" max="9467" width="16.453125" customWidth="1"/>
    <col min="9468" max="9468" width="17.54296875" customWidth="1"/>
    <col min="9469" max="9469" width="13.1796875" customWidth="1"/>
    <col min="9470" max="9470" width="11.26953125" customWidth="1"/>
    <col min="9471" max="9471" width="13.7265625" customWidth="1"/>
    <col min="9722" max="9722" width="21" customWidth="1"/>
    <col min="9723" max="9723" width="16.453125" customWidth="1"/>
    <col min="9724" max="9724" width="17.54296875" customWidth="1"/>
    <col min="9725" max="9725" width="13.1796875" customWidth="1"/>
    <col min="9726" max="9726" width="11.26953125" customWidth="1"/>
    <col min="9727" max="9727" width="13.7265625" customWidth="1"/>
    <col min="9978" max="9978" width="21" customWidth="1"/>
    <col min="9979" max="9979" width="16.453125" customWidth="1"/>
    <col min="9980" max="9980" width="17.54296875" customWidth="1"/>
    <col min="9981" max="9981" width="13.1796875" customWidth="1"/>
    <col min="9982" max="9982" width="11.26953125" customWidth="1"/>
    <col min="9983" max="9983" width="13.7265625" customWidth="1"/>
    <col min="10234" max="10234" width="21" customWidth="1"/>
    <col min="10235" max="10235" width="16.453125" customWidth="1"/>
    <col min="10236" max="10236" width="17.54296875" customWidth="1"/>
    <col min="10237" max="10237" width="13.1796875" customWidth="1"/>
    <col min="10238" max="10238" width="11.26953125" customWidth="1"/>
    <col min="10239" max="10239" width="13.7265625" customWidth="1"/>
    <col min="10490" max="10490" width="21" customWidth="1"/>
    <col min="10491" max="10491" width="16.453125" customWidth="1"/>
    <col min="10492" max="10492" width="17.54296875" customWidth="1"/>
    <col min="10493" max="10493" width="13.1796875" customWidth="1"/>
    <col min="10494" max="10494" width="11.26953125" customWidth="1"/>
    <col min="10495" max="10495" width="13.7265625" customWidth="1"/>
    <col min="10746" max="10746" width="21" customWidth="1"/>
    <col min="10747" max="10747" width="16.453125" customWidth="1"/>
    <col min="10748" max="10748" width="17.54296875" customWidth="1"/>
    <col min="10749" max="10749" width="13.1796875" customWidth="1"/>
    <col min="10750" max="10750" width="11.26953125" customWidth="1"/>
    <col min="10751" max="10751" width="13.7265625" customWidth="1"/>
    <col min="11002" max="11002" width="21" customWidth="1"/>
    <col min="11003" max="11003" width="16.453125" customWidth="1"/>
    <col min="11004" max="11004" width="17.54296875" customWidth="1"/>
    <col min="11005" max="11005" width="13.1796875" customWidth="1"/>
    <col min="11006" max="11006" width="11.26953125" customWidth="1"/>
    <col min="11007" max="11007" width="13.7265625" customWidth="1"/>
    <col min="11258" max="11258" width="21" customWidth="1"/>
    <col min="11259" max="11259" width="16.453125" customWidth="1"/>
    <col min="11260" max="11260" width="17.54296875" customWidth="1"/>
    <col min="11261" max="11261" width="13.1796875" customWidth="1"/>
    <col min="11262" max="11262" width="11.26953125" customWidth="1"/>
    <col min="11263" max="11263" width="13.7265625" customWidth="1"/>
    <col min="11514" max="11514" width="21" customWidth="1"/>
    <col min="11515" max="11515" width="16.453125" customWidth="1"/>
    <col min="11516" max="11516" width="17.54296875" customWidth="1"/>
    <col min="11517" max="11517" width="13.1796875" customWidth="1"/>
    <col min="11518" max="11518" width="11.26953125" customWidth="1"/>
    <col min="11519" max="11519" width="13.7265625" customWidth="1"/>
    <col min="11770" max="11770" width="21" customWidth="1"/>
    <col min="11771" max="11771" width="16.453125" customWidth="1"/>
    <col min="11772" max="11772" width="17.54296875" customWidth="1"/>
    <col min="11773" max="11773" width="13.1796875" customWidth="1"/>
    <col min="11774" max="11774" width="11.26953125" customWidth="1"/>
    <col min="11775" max="11775" width="13.7265625" customWidth="1"/>
    <col min="12026" max="12026" width="21" customWidth="1"/>
    <col min="12027" max="12027" width="16.453125" customWidth="1"/>
    <col min="12028" max="12028" width="17.54296875" customWidth="1"/>
    <col min="12029" max="12029" width="13.1796875" customWidth="1"/>
    <col min="12030" max="12030" width="11.26953125" customWidth="1"/>
    <col min="12031" max="12031" width="13.7265625" customWidth="1"/>
    <col min="12282" max="12282" width="21" customWidth="1"/>
    <col min="12283" max="12283" width="16.453125" customWidth="1"/>
    <col min="12284" max="12284" width="17.54296875" customWidth="1"/>
    <col min="12285" max="12285" width="13.1796875" customWidth="1"/>
    <col min="12286" max="12286" width="11.26953125" customWidth="1"/>
    <col min="12287" max="12287" width="13.7265625" customWidth="1"/>
    <col min="12538" max="12538" width="21" customWidth="1"/>
    <col min="12539" max="12539" width="16.453125" customWidth="1"/>
    <col min="12540" max="12540" width="17.54296875" customWidth="1"/>
    <col min="12541" max="12541" width="13.1796875" customWidth="1"/>
    <col min="12542" max="12542" width="11.26953125" customWidth="1"/>
    <col min="12543" max="12543" width="13.7265625" customWidth="1"/>
    <col min="12794" max="12794" width="21" customWidth="1"/>
    <col min="12795" max="12795" width="16.453125" customWidth="1"/>
    <col min="12796" max="12796" width="17.54296875" customWidth="1"/>
    <col min="12797" max="12797" width="13.1796875" customWidth="1"/>
    <col min="12798" max="12798" width="11.26953125" customWidth="1"/>
    <col min="12799" max="12799" width="13.7265625" customWidth="1"/>
    <col min="13050" max="13050" width="21" customWidth="1"/>
    <col min="13051" max="13051" width="16.453125" customWidth="1"/>
    <col min="13052" max="13052" width="17.54296875" customWidth="1"/>
    <col min="13053" max="13053" width="13.1796875" customWidth="1"/>
    <col min="13054" max="13054" width="11.26953125" customWidth="1"/>
    <col min="13055" max="13055" width="13.7265625" customWidth="1"/>
    <col min="13306" max="13306" width="21" customWidth="1"/>
    <col min="13307" max="13307" width="16.453125" customWidth="1"/>
    <col min="13308" max="13308" width="17.54296875" customWidth="1"/>
    <col min="13309" max="13309" width="13.1796875" customWidth="1"/>
    <col min="13310" max="13310" width="11.26953125" customWidth="1"/>
    <col min="13311" max="13311" width="13.7265625" customWidth="1"/>
    <col min="13562" max="13562" width="21" customWidth="1"/>
    <col min="13563" max="13563" width="16.453125" customWidth="1"/>
    <col min="13564" max="13564" width="17.54296875" customWidth="1"/>
    <col min="13565" max="13565" width="13.1796875" customWidth="1"/>
    <col min="13566" max="13566" width="11.26953125" customWidth="1"/>
    <col min="13567" max="13567" width="13.7265625" customWidth="1"/>
    <col min="13818" max="13818" width="21" customWidth="1"/>
    <col min="13819" max="13819" width="16.453125" customWidth="1"/>
    <col min="13820" max="13820" width="17.54296875" customWidth="1"/>
    <col min="13821" max="13821" width="13.1796875" customWidth="1"/>
    <col min="13822" max="13822" width="11.26953125" customWidth="1"/>
    <col min="13823" max="13823" width="13.7265625" customWidth="1"/>
    <col min="14074" max="14074" width="21" customWidth="1"/>
    <col min="14075" max="14075" width="16.453125" customWidth="1"/>
    <col min="14076" max="14076" width="17.54296875" customWidth="1"/>
    <col min="14077" max="14077" width="13.1796875" customWidth="1"/>
    <col min="14078" max="14078" width="11.26953125" customWidth="1"/>
    <col min="14079" max="14079" width="13.7265625" customWidth="1"/>
    <col min="14330" max="14330" width="21" customWidth="1"/>
    <col min="14331" max="14331" width="16.453125" customWidth="1"/>
    <col min="14332" max="14332" width="17.54296875" customWidth="1"/>
    <col min="14333" max="14333" width="13.1796875" customWidth="1"/>
    <col min="14334" max="14334" width="11.26953125" customWidth="1"/>
    <col min="14335" max="14335" width="13.7265625" customWidth="1"/>
    <col min="14586" max="14586" width="21" customWidth="1"/>
    <col min="14587" max="14587" width="16.453125" customWidth="1"/>
    <col min="14588" max="14588" width="17.54296875" customWidth="1"/>
    <col min="14589" max="14589" width="13.1796875" customWidth="1"/>
    <col min="14590" max="14590" width="11.26953125" customWidth="1"/>
    <col min="14591" max="14591" width="13.7265625" customWidth="1"/>
    <col min="14842" max="14842" width="21" customWidth="1"/>
    <col min="14843" max="14843" width="16.453125" customWidth="1"/>
    <col min="14844" max="14844" width="17.54296875" customWidth="1"/>
    <col min="14845" max="14845" width="13.1796875" customWidth="1"/>
    <col min="14846" max="14846" width="11.26953125" customWidth="1"/>
    <col min="14847" max="14847" width="13.7265625" customWidth="1"/>
    <col min="15098" max="15098" width="21" customWidth="1"/>
    <col min="15099" max="15099" width="16.453125" customWidth="1"/>
    <col min="15100" max="15100" width="17.54296875" customWidth="1"/>
    <col min="15101" max="15101" width="13.1796875" customWidth="1"/>
    <col min="15102" max="15102" width="11.26953125" customWidth="1"/>
    <col min="15103" max="15103" width="13.7265625" customWidth="1"/>
    <col min="15354" max="15354" width="21" customWidth="1"/>
    <col min="15355" max="15355" width="16.453125" customWidth="1"/>
    <col min="15356" max="15356" width="17.54296875" customWidth="1"/>
    <col min="15357" max="15357" width="13.1796875" customWidth="1"/>
    <col min="15358" max="15358" width="11.26953125" customWidth="1"/>
    <col min="15359" max="15359" width="13.7265625" customWidth="1"/>
    <col min="15610" max="15610" width="21" customWidth="1"/>
    <col min="15611" max="15611" width="16.453125" customWidth="1"/>
    <col min="15612" max="15612" width="17.54296875" customWidth="1"/>
    <col min="15613" max="15613" width="13.1796875" customWidth="1"/>
    <col min="15614" max="15614" width="11.26953125" customWidth="1"/>
    <col min="15615" max="15615" width="13.7265625" customWidth="1"/>
    <col min="15866" max="15866" width="21" customWidth="1"/>
    <col min="15867" max="15867" width="16.453125" customWidth="1"/>
    <col min="15868" max="15868" width="17.54296875" customWidth="1"/>
    <col min="15869" max="15869" width="13.1796875" customWidth="1"/>
    <col min="15870" max="15870" width="11.26953125" customWidth="1"/>
    <col min="15871" max="15871" width="13.7265625" customWidth="1"/>
    <col min="16122" max="16122" width="21" customWidth="1"/>
    <col min="16123" max="16123" width="16.453125" customWidth="1"/>
    <col min="16124" max="16124" width="17.54296875" customWidth="1"/>
    <col min="16125" max="16125" width="13.1796875" customWidth="1"/>
    <col min="16126" max="16126" width="11.26953125" customWidth="1"/>
    <col min="16127" max="16127" width="13.7265625" customWidth="1"/>
    <col min="16378" max="16384" width="9.1796875" customWidth="1"/>
  </cols>
  <sheetData>
    <row r="1" spans="1:16" s="53" customFormat="1" ht="25" customHeight="1" x14ac:dyDescent="0.35">
      <c r="B1" s="77"/>
      <c r="D1" s="54"/>
      <c r="H1" s="55"/>
      <c r="I1" s="56"/>
    </row>
    <row r="2" spans="1:16" ht="25" customHeight="1" x14ac:dyDescent="0.25">
      <c r="A2" s="57"/>
      <c r="B2" s="58"/>
      <c r="C2" s="59"/>
      <c r="D2" s="59"/>
      <c r="E2" s="59"/>
      <c r="F2" s="59"/>
      <c r="G2" s="59"/>
      <c r="H2" s="60"/>
      <c r="I2" s="60"/>
      <c r="J2" s="60"/>
      <c r="K2" s="53"/>
      <c r="L2" s="60"/>
    </row>
    <row r="3" spans="1:16" ht="25" customHeight="1" thickBot="1" x14ac:dyDescent="0.3">
      <c r="B3" s="61"/>
      <c r="C3" s="69"/>
      <c r="D3" s="69"/>
      <c r="E3" s="69"/>
      <c r="F3" s="69"/>
      <c r="G3" s="69"/>
      <c r="H3" s="69"/>
      <c r="I3" s="69"/>
      <c r="J3" s="69"/>
      <c r="K3" s="69"/>
      <c r="L3" s="69"/>
      <c r="M3" s="60"/>
      <c r="P3" s="53"/>
    </row>
    <row r="4" spans="1:16" ht="25" customHeight="1" thickTop="1" x14ac:dyDescent="0.3">
      <c r="B4" s="70"/>
      <c r="C4" s="71"/>
      <c r="D4" s="72"/>
      <c r="E4" s="145"/>
      <c r="F4" s="74"/>
      <c r="G4" s="146"/>
      <c r="H4" s="74"/>
      <c r="I4" s="75"/>
      <c r="J4" s="53"/>
      <c r="K4" s="76"/>
      <c r="L4" s="60"/>
      <c r="O4" s="53"/>
    </row>
    <row r="5" spans="1:16" ht="43.5" customHeight="1" x14ac:dyDescent="0.25">
      <c r="B5" s="427" t="s">
        <v>263</v>
      </c>
      <c r="C5" s="428" t="s">
        <v>314</v>
      </c>
      <c r="D5" s="429" t="s">
        <v>315</v>
      </c>
      <c r="E5" s="429" t="s">
        <v>18</v>
      </c>
    </row>
    <row r="6" spans="1:16" ht="20.149999999999999" customHeight="1" x14ac:dyDescent="0.35">
      <c r="B6" s="423" t="s">
        <v>283</v>
      </c>
      <c r="C6" s="418" t="s">
        <v>602</v>
      </c>
      <c r="D6" s="34"/>
      <c r="E6" s="224"/>
    </row>
    <row r="7" spans="1:16" ht="20.149999999999999" customHeight="1" x14ac:dyDescent="0.35">
      <c r="B7" s="423" t="s">
        <v>249</v>
      </c>
      <c r="C7" s="419" t="s">
        <v>603</v>
      </c>
      <c r="D7" s="36" t="s">
        <v>413</v>
      </c>
      <c r="E7" s="36"/>
    </row>
    <row r="8" spans="1:16" ht="20.149999999999999" customHeight="1" x14ac:dyDescent="0.35">
      <c r="B8" s="423" t="s">
        <v>251</v>
      </c>
      <c r="C8" s="419" t="s">
        <v>604</v>
      </c>
      <c r="D8" s="36"/>
      <c r="E8" s="36" t="s">
        <v>605</v>
      </c>
    </row>
    <row r="9" spans="1:16" ht="20.149999999999999" customHeight="1" x14ac:dyDescent="0.35">
      <c r="B9" s="423" t="s">
        <v>251</v>
      </c>
      <c r="C9" s="419" t="s">
        <v>606</v>
      </c>
      <c r="D9" s="36" t="s">
        <v>394</v>
      </c>
      <c r="E9" s="36" t="s">
        <v>431</v>
      </c>
    </row>
    <row r="10" spans="1:16" ht="20.149999999999999" customHeight="1" x14ac:dyDescent="0.35">
      <c r="B10" s="423" t="s">
        <v>251</v>
      </c>
      <c r="C10" s="419"/>
      <c r="D10" s="36"/>
      <c r="E10" s="36"/>
    </row>
    <row r="11" spans="1:16" ht="20.149999999999999" customHeight="1" x14ac:dyDescent="0.35">
      <c r="B11" s="423" t="s">
        <v>252</v>
      </c>
      <c r="C11" s="419" t="s">
        <v>408</v>
      </c>
      <c r="D11" s="36"/>
      <c r="E11" s="36" t="s">
        <v>607</v>
      </c>
    </row>
    <row r="12" spans="1:16" ht="20.149999999999999" customHeight="1" x14ac:dyDescent="0.35">
      <c r="B12" s="423" t="s">
        <v>252</v>
      </c>
      <c r="C12" s="419" t="s">
        <v>608</v>
      </c>
      <c r="D12" s="36" t="s">
        <v>387</v>
      </c>
      <c r="E12" s="36"/>
    </row>
    <row r="13" spans="1:16" ht="20.149999999999999" customHeight="1" x14ac:dyDescent="0.35">
      <c r="B13" s="423" t="s">
        <v>252</v>
      </c>
      <c r="C13" s="419" t="s">
        <v>471</v>
      </c>
      <c r="D13" s="36" t="s">
        <v>409</v>
      </c>
      <c r="E13" s="36" t="s">
        <v>417</v>
      </c>
    </row>
    <row r="14" spans="1:16" ht="20.149999999999999" customHeight="1" x14ac:dyDescent="0.35">
      <c r="B14" s="423" t="s">
        <v>252</v>
      </c>
      <c r="C14" s="419"/>
      <c r="D14" s="35"/>
      <c r="E14" s="36"/>
    </row>
    <row r="15" spans="1:16" ht="20.149999999999999" customHeight="1" x14ac:dyDescent="0.35">
      <c r="B15" s="423" t="s">
        <v>252</v>
      </c>
      <c r="C15" s="419"/>
      <c r="D15" s="35" t="s">
        <v>386</v>
      </c>
      <c r="E15" s="36"/>
    </row>
    <row r="16" spans="1:16" ht="20.149999999999999" customHeight="1" x14ac:dyDescent="0.35">
      <c r="B16" s="424" t="s">
        <v>268</v>
      </c>
      <c r="C16" s="419" t="s">
        <v>432</v>
      </c>
      <c r="D16" s="35"/>
      <c r="E16" s="36" t="s">
        <v>609</v>
      </c>
    </row>
    <row r="17" spans="2:5" ht="20.149999999999999" customHeight="1" x14ac:dyDescent="0.35">
      <c r="B17" s="424" t="s">
        <v>269</v>
      </c>
      <c r="C17" s="419" t="s">
        <v>416</v>
      </c>
      <c r="D17" s="35" t="s">
        <v>386</v>
      </c>
      <c r="E17" s="225"/>
    </row>
    <row r="18" spans="2:5" ht="20.149999999999999" customHeight="1" x14ac:dyDescent="0.35">
      <c r="B18" s="424" t="s">
        <v>269</v>
      </c>
      <c r="C18" s="419"/>
      <c r="D18" s="35"/>
      <c r="E18" s="36" t="s">
        <v>610</v>
      </c>
    </row>
    <row r="19" spans="2:5" ht="20.149999999999999" customHeight="1" x14ac:dyDescent="0.35">
      <c r="B19" s="425" t="s">
        <v>270</v>
      </c>
      <c r="C19" s="420" t="s">
        <v>611</v>
      </c>
      <c r="D19" s="37" t="s">
        <v>387</v>
      </c>
      <c r="E19" s="226" t="s">
        <v>612</v>
      </c>
    </row>
    <row r="20" spans="2:5" ht="20.149999999999999" customHeight="1" x14ac:dyDescent="0.35">
      <c r="B20" s="425" t="s">
        <v>271</v>
      </c>
      <c r="C20" s="421" t="s">
        <v>472</v>
      </c>
      <c r="D20" s="38" t="s">
        <v>385</v>
      </c>
      <c r="E20" s="227" t="s">
        <v>473</v>
      </c>
    </row>
    <row r="21" spans="2:5" ht="20.149999999999999" customHeight="1" x14ac:dyDescent="0.35">
      <c r="B21" s="426" t="s">
        <v>262</v>
      </c>
      <c r="C21" s="422" t="s">
        <v>613</v>
      </c>
      <c r="D21" s="228" t="s">
        <v>474</v>
      </c>
      <c r="E21" s="228" t="s">
        <v>475</v>
      </c>
    </row>
    <row r="22" spans="2:5" ht="20.149999999999999" customHeight="1" x14ac:dyDescent="0.35">
      <c r="B22" s="229" t="s">
        <v>273</v>
      </c>
      <c r="C22" s="229"/>
      <c r="D22" s="229"/>
      <c r="E22" s="229"/>
    </row>
  </sheetData>
  <pageMargins left="0.74803149606299213" right="0.74803149606299213" top="0.98425196850393704" bottom="0.98425196850393704" header="0.51181102362204722" footer="0.51181102362204722"/>
  <pageSetup paperSize="9" scale="130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2"/>
  <sheetViews>
    <sheetView showGridLines="0" zoomScaleNormal="100" workbookViewId="0">
      <selection activeCell="L29" sqref="L29"/>
    </sheetView>
  </sheetViews>
  <sheetFormatPr defaultColWidth="9.1796875" defaultRowHeight="14.5" x14ac:dyDescent="0.35"/>
  <cols>
    <col min="1" max="1" width="9.1796875" style="337"/>
    <col min="2" max="2" width="44" style="337" customWidth="1"/>
    <col min="3" max="11" width="10.7265625" style="337" customWidth="1"/>
    <col min="12" max="16384" width="9.1796875" style="337"/>
  </cols>
  <sheetData>
    <row r="1" spans="2:14" ht="20.149999999999999" customHeight="1" x14ac:dyDescent="0.35">
      <c r="B1" s="441"/>
      <c r="C1" s="520" t="s">
        <v>284</v>
      </c>
      <c r="D1" s="520"/>
      <c r="E1" s="520"/>
      <c r="F1" s="520"/>
      <c r="G1" s="520"/>
      <c r="H1" s="520"/>
      <c r="I1" s="520"/>
      <c r="J1" s="520"/>
      <c r="K1" s="520"/>
    </row>
    <row r="2" spans="2:14" ht="20.149999999999999" customHeight="1" x14ac:dyDescent="0.35">
      <c r="B2" s="442" t="s">
        <v>614</v>
      </c>
      <c r="C2" s="521" t="s">
        <v>212</v>
      </c>
      <c r="D2" s="521"/>
      <c r="E2" s="521"/>
      <c r="F2" s="521"/>
      <c r="G2" s="521"/>
      <c r="H2" s="521"/>
      <c r="I2" s="521"/>
      <c r="J2" s="521"/>
      <c r="K2" s="521"/>
    </row>
    <row r="3" spans="2:14" ht="20.149999999999999" customHeight="1" x14ac:dyDescent="0.5">
      <c r="B3" s="445" t="s">
        <v>615</v>
      </c>
      <c r="C3" s="522" t="s">
        <v>213</v>
      </c>
      <c r="D3" s="522"/>
      <c r="E3" s="522"/>
      <c r="F3" s="522"/>
      <c r="G3" s="522"/>
      <c r="H3" s="522"/>
      <c r="I3" s="522"/>
      <c r="J3" s="522"/>
      <c r="K3" s="522"/>
    </row>
    <row r="4" spans="2:14" ht="20.149999999999999" customHeight="1" x14ac:dyDescent="0.35">
      <c r="B4" s="443"/>
      <c r="C4" s="523" t="s">
        <v>214</v>
      </c>
      <c r="D4" s="523"/>
      <c r="E4" s="523"/>
      <c r="F4" s="523"/>
      <c r="G4" s="523"/>
      <c r="H4" s="523"/>
      <c r="I4" s="523"/>
      <c r="J4" s="523"/>
      <c r="K4" s="523"/>
    </row>
    <row r="5" spans="2:14" ht="20.149999999999999" customHeight="1" x14ac:dyDescent="0.35">
      <c r="B5" s="444"/>
      <c r="C5" s="523" t="s">
        <v>215</v>
      </c>
      <c r="D5" s="523"/>
      <c r="E5" s="523"/>
      <c r="F5" s="523"/>
      <c r="G5" s="523"/>
      <c r="H5" s="523"/>
      <c r="I5" s="523"/>
      <c r="J5" s="523"/>
      <c r="K5" s="523"/>
    </row>
    <row r="6" spans="2:14" ht="20.149999999999999" customHeight="1" x14ac:dyDescent="0.35">
      <c r="B6" s="524" t="s">
        <v>216</v>
      </c>
      <c r="C6" s="524"/>
      <c r="D6" s="524"/>
      <c r="E6" s="524"/>
      <c r="F6" s="524"/>
      <c r="G6" s="524"/>
      <c r="H6" s="524"/>
      <c r="I6" s="524"/>
      <c r="J6" s="524"/>
      <c r="K6" s="524"/>
    </row>
    <row r="7" spans="2:14" ht="15.5" x14ac:dyDescent="0.35">
      <c r="B7" s="430"/>
      <c r="C7" s="430"/>
      <c r="D7" s="430"/>
      <c r="E7" s="430"/>
      <c r="F7" s="430"/>
      <c r="G7" s="430"/>
      <c r="H7" s="430"/>
      <c r="I7" s="430"/>
      <c r="J7" s="430"/>
      <c r="K7" s="430"/>
    </row>
    <row r="8" spans="2:14" ht="21" customHeight="1" x14ac:dyDescent="0.35">
      <c r="B8" s="432" t="s">
        <v>217</v>
      </c>
      <c r="C8" s="517" t="s">
        <v>218</v>
      </c>
      <c r="D8" s="517"/>
      <c r="E8" s="517"/>
      <c r="F8" s="518" t="s">
        <v>219</v>
      </c>
      <c r="G8" s="518"/>
      <c r="H8" s="518"/>
      <c r="I8" s="518" t="s">
        <v>220</v>
      </c>
      <c r="J8" s="518"/>
      <c r="K8" s="519"/>
    </row>
    <row r="9" spans="2:14" ht="60" customHeight="1" x14ac:dyDescent="0.35">
      <c r="B9" s="436"/>
      <c r="C9" s="433" t="s">
        <v>616</v>
      </c>
      <c r="D9" s="433" t="s">
        <v>476</v>
      </c>
      <c r="E9" s="434" t="s">
        <v>221</v>
      </c>
      <c r="F9" s="433" t="s">
        <v>616</v>
      </c>
      <c r="G9" s="433" t="s">
        <v>476</v>
      </c>
      <c r="H9" s="434" t="s">
        <v>221</v>
      </c>
      <c r="I9" s="433" t="s">
        <v>616</v>
      </c>
      <c r="J9" s="433" t="s">
        <v>476</v>
      </c>
      <c r="K9" s="438" t="s">
        <v>221</v>
      </c>
      <c r="N9" s="450"/>
    </row>
    <row r="10" spans="2:14" ht="30" customHeight="1" x14ac:dyDescent="0.35">
      <c r="B10" s="439" t="s">
        <v>222</v>
      </c>
      <c r="C10" s="435"/>
      <c r="D10" s="435"/>
      <c r="E10" s="455" t="s">
        <v>207</v>
      </c>
      <c r="F10" s="435">
        <v>1.45</v>
      </c>
      <c r="G10" s="435">
        <v>1.45</v>
      </c>
      <c r="H10" s="455">
        <f t="shared" ref="H10" si="0">((F10-G10)/G10)*100</f>
        <v>0</v>
      </c>
      <c r="I10" s="435" t="s">
        <v>207</v>
      </c>
      <c r="J10" s="435" t="s">
        <v>207</v>
      </c>
      <c r="K10" s="456" t="s">
        <v>207</v>
      </c>
    </row>
    <row r="11" spans="2:14" ht="30" customHeight="1" x14ac:dyDescent="0.35">
      <c r="B11" s="439" t="s">
        <v>223</v>
      </c>
      <c r="C11" s="435">
        <v>1.65</v>
      </c>
      <c r="D11" s="435">
        <v>2</v>
      </c>
      <c r="E11" s="455">
        <f t="shared" ref="E11:E16" si="1">((C11-D11)/D11)*100</f>
        <v>-17.500000000000004</v>
      </c>
      <c r="F11" s="435" t="s">
        <v>207</v>
      </c>
      <c r="G11" s="435" t="s">
        <v>207</v>
      </c>
      <c r="H11" s="455" t="s">
        <v>207</v>
      </c>
      <c r="I11" s="435" t="s">
        <v>207</v>
      </c>
      <c r="J11" s="435" t="s">
        <v>207</v>
      </c>
      <c r="K11" s="456" t="s">
        <v>207</v>
      </c>
      <c r="N11" s="338"/>
    </row>
    <row r="12" spans="2:14" ht="20.149999999999999" customHeight="1" x14ac:dyDescent="0.35">
      <c r="B12" s="439" t="s">
        <v>224</v>
      </c>
      <c r="C12" s="435">
        <v>2</v>
      </c>
      <c r="D12" s="435">
        <v>2</v>
      </c>
      <c r="E12" s="455">
        <f t="shared" si="1"/>
        <v>0</v>
      </c>
      <c r="F12" s="435">
        <v>1.35</v>
      </c>
      <c r="G12" s="435">
        <v>1.25</v>
      </c>
      <c r="H12" s="455">
        <f t="shared" ref="H12:H31" si="2">((F12-G12)/G12)*100</f>
        <v>8.0000000000000071</v>
      </c>
      <c r="I12" s="435" t="s">
        <v>207</v>
      </c>
      <c r="J12" s="435" t="s">
        <v>207</v>
      </c>
      <c r="K12" s="456" t="s">
        <v>207</v>
      </c>
    </row>
    <row r="13" spans="2:14" ht="20.149999999999999" customHeight="1" x14ac:dyDescent="0.35">
      <c r="B13" s="439" t="s">
        <v>225</v>
      </c>
      <c r="C13" s="435">
        <v>2</v>
      </c>
      <c r="D13" s="435">
        <v>2</v>
      </c>
      <c r="E13" s="455">
        <f t="shared" si="1"/>
        <v>0</v>
      </c>
      <c r="F13" s="435">
        <v>1.45</v>
      </c>
      <c r="G13" s="435">
        <v>1.45</v>
      </c>
      <c r="H13" s="457">
        <f t="shared" si="2"/>
        <v>0</v>
      </c>
      <c r="I13" s="435" t="s">
        <v>207</v>
      </c>
      <c r="J13" s="435" t="s">
        <v>207</v>
      </c>
      <c r="K13" s="456" t="s">
        <v>207</v>
      </c>
    </row>
    <row r="14" spans="2:14" ht="20.149999999999999" customHeight="1" x14ac:dyDescent="0.35">
      <c r="B14" s="439" t="s">
        <v>226</v>
      </c>
      <c r="C14" s="435">
        <v>2.65</v>
      </c>
      <c r="D14" s="435">
        <v>3</v>
      </c>
      <c r="E14" s="455">
        <f t="shared" si="1"/>
        <v>-11.66666666666667</v>
      </c>
      <c r="F14" s="435">
        <v>1.7</v>
      </c>
      <c r="G14" s="435">
        <v>1.9</v>
      </c>
      <c r="H14" s="455">
        <f t="shared" si="2"/>
        <v>-10.526315789473681</v>
      </c>
      <c r="I14" s="435" t="s">
        <v>207</v>
      </c>
      <c r="J14" s="435" t="s">
        <v>207</v>
      </c>
      <c r="K14" s="456" t="s">
        <v>207</v>
      </c>
    </row>
    <row r="15" spans="2:14" ht="20.149999999999999" customHeight="1" x14ac:dyDescent="0.35">
      <c r="B15" s="439" t="s">
        <v>227</v>
      </c>
      <c r="C15" s="435">
        <v>2</v>
      </c>
      <c r="D15" s="435">
        <v>2</v>
      </c>
      <c r="E15" s="455">
        <f t="shared" si="1"/>
        <v>0</v>
      </c>
      <c r="F15" s="435" t="s">
        <v>207</v>
      </c>
      <c r="G15" s="435" t="s">
        <v>207</v>
      </c>
      <c r="H15" s="455" t="s">
        <v>207</v>
      </c>
      <c r="I15" s="435" t="s">
        <v>207</v>
      </c>
      <c r="J15" s="435" t="s">
        <v>207</v>
      </c>
      <c r="K15" s="456" t="s">
        <v>207</v>
      </c>
    </row>
    <row r="16" spans="2:14" ht="20.149999999999999" customHeight="1" x14ac:dyDescent="0.35">
      <c r="B16" s="439" t="s">
        <v>228</v>
      </c>
      <c r="C16" s="435">
        <v>5</v>
      </c>
      <c r="D16" s="435">
        <v>5</v>
      </c>
      <c r="E16" s="455">
        <f t="shared" si="1"/>
        <v>0</v>
      </c>
      <c r="F16" s="435">
        <v>4.5999999999999996</v>
      </c>
      <c r="G16" s="435">
        <v>4.12</v>
      </c>
      <c r="H16" s="455">
        <f t="shared" si="2"/>
        <v>11.650485436893192</v>
      </c>
      <c r="I16" s="435" t="s">
        <v>207</v>
      </c>
      <c r="J16" s="435" t="s">
        <v>207</v>
      </c>
      <c r="K16" s="456" t="s">
        <v>207</v>
      </c>
    </row>
    <row r="17" spans="2:14" ht="20.149999999999999" customHeight="1" x14ac:dyDescent="0.35">
      <c r="B17" s="439" t="s">
        <v>229</v>
      </c>
      <c r="C17" s="435" t="s">
        <v>207</v>
      </c>
      <c r="D17" s="435" t="s">
        <v>207</v>
      </c>
      <c r="E17" s="455" t="s">
        <v>207</v>
      </c>
      <c r="F17" s="435" t="s">
        <v>207</v>
      </c>
      <c r="G17" s="435" t="s">
        <v>207</v>
      </c>
      <c r="H17" s="455" t="s">
        <v>207</v>
      </c>
      <c r="I17" s="435" t="s">
        <v>207</v>
      </c>
      <c r="J17" s="435" t="s">
        <v>207</v>
      </c>
      <c r="K17" s="456" t="s">
        <v>207</v>
      </c>
    </row>
    <row r="18" spans="2:14" ht="20.149999999999999" customHeight="1" x14ac:dyDescent="0.35">
      <c r="B18" s="439" t="s">
        <v>230</v>
      </c>
      <c r="C18" s="435">
        <v>0.85</v>
      </c>
      <c r="D18" s="435">
        <v>0.86</v>
      </c>
      <c r="E18" s="455">
        <f t="shared" ref="E18:E19" si="3">((C18-D18)/D18)*100</f>
        <v>-1.1627906976744196</v>
      </c>
      <c r="F18" s="435">
        <v>0.9</v>
      </c>
      <c r="G18" s="435">
        <v>0.9</v>
      </c>
      <c r="H18" s="455">
        <f t="shared" si="2"/>
        <v>0</v>
      </c>
      <c r="I18" s="435">
        <v>1</v>
      </c>
      <c r="J18" s="435">
        <v>0.86912492359635596</v>
      </c>
      <c r="K18" s="456">
        <f t="shared" ref="K18:K23" si="4">((I18-J18)/J18)*100</f>
        <v>15.058258352791848</v>
      </c>
    </row>
    <row r="19" spans="2:14" ht="30" customHeight="1" x14ac:dyDescent="0.35">
      <c r="B19" s="439" t="s">
        <v>231</v>
      </c>
      <c r="C19" s="435">
        <v>1.42</v>
      </c>
      <c r="D19" s="435">
        <v>1.43</v>
      </c>
      <c r="E19" s="455">
        <f t="shared" si="3"/>
        <v>-0.69930069930070005</v>
      </c>
      <c r="F19" s="435">
        <v>0.85</v>
      </c>
      <c r="G19" s="435">
        <v>0.95</v>
      </c>
      <c r="H19" s="455">
        <f t="shared" si="2"/>
        <v>-10.526315789473681</v>
      </c>
      <c r="I19" s="435">
        <v>1</v>
      </c>
      <c r="J19" s="435">
        <v>0.90835693506169457</v>
      </c>
      <c r="K19" s="456">
        <f t="shared" si="4"/>
        <v>10.088882618822208</v>
      </c>
    </row>
    <row r="20" spans="2:14" ht="20.149999999999999" customHeight="1" x14ac:dyDescent="0.35">
      <c r="B20" s="439" t="s">
        <v>232</v>
      </c>
      <c r="C20" s="435" t="s">
        <v>207</v>
      </c>
      <c r="D20" s="435" t="s">
        <v>207</v>
      </c>
      <c r="E20" s="455" t="s">
        <v>207</v>
      </c>
      <c r="F20" s="435">
        <v>2.5</v>
      </c>
      <c r="G20" s="435">
        <v>2.5</v>
      </c>
      <c r="H20" s="455">
        <f t="shared" si="2"/>
        <v>0</v>
      </c>
      <c r="I20" s="435">
        <v>3</v>
      </c>
      <c r="J20" s="435">
        <v>2.4989583431617683</v>
      </c>
      <c r="K20" s="456">
        <f t="shared" si="4"/>
        <v>20.050020369859244</v>
      </c>
    </row>
    <row r="21" spans="2:14" ht="20.149999999999999" customHeight="1" x14ac:dyDescent="0.35">
      <c r="B21" s="439" t="s">
        <v>233</v>
      </c>
      <c r="C21" s="435" t="s">
        <v>207</v>
      </c>
      <c r="D21" s="435" t="s">
        <v>207</v>
      </c>
      <c r="E21" s="455" t="s">
        <v>207</v>
      </c>
      <c r="F21" s="435">
        <v>13.5</v>
      </c>
      <c r="G21" s="435">
        <v>12.5</v>
      </c>
      <c r="H21" s="455">
        <f t="shared" si="2"/>
        <v>8</v>
      </c>
      <c r="I21" s="435" t="s">
        <v>207</v>
      </c>
      <c r="J21" s="435" t="s">
        <v>207</v>
      </c>
      <c r="K21" s="456" t="s">
        <v>207</v>
      </c>
    </row>
    <row r="22" spans="2:14" ht="20.149999999999999" customHeight="1" x14ac:dyDescent="0.35">
      <c r="B22" s="439" t="s">
        <v>234</v>
      </c>
      <c r="C22" s="435" t="s">
        <v>207</v>
      </c>
      <c r="D22" s="435" t="s">
        <v>207</v>
      </c>
      <c r="E22" s="458" t="s">
        <v>207</v>
      </c>
      <c r="F22" s="435" t="s">
        <v>207</v>
      </c>
      <c r="G22" s="435" t="s">
        <v>207</v>
      </c>
      <c r="H22" s="455" t="s">
        <v>207</v>
      </c>
      <c r="I22" s="435" t="s">
        <v>207</v>
      </c>
      <c r="J22" s="435" t="s">
        <v>207</v>
      </c>
      <c r="K22" s="456" t="s">
        <v>207</v>
      </c>
      <c r="N22" s="339"/>
    </row>
    <row r="23" spans="2:14" ht="20.149999999999999" customHeight="1" x14ac:dyDescent="0.35">
      <c r="B23" s="439" t="s">
        <v>235</v>
      </c>
      <c r="C23" s="435" t="s">
        <v>207</v>
      </c>
      <c r="D23" s="435" t="s">
        <v>207</v>
      </c>
      <c r="E23" s="458" t="s">
        <v>207</v>
      </c>
      <c r="F23" s="435">
        <v>1.8</v>
      </c>
      <c r="G23" s="435">
        <v>1.8</v>
      </c>
      <c r="H23" s="455">
        <f t="shared" si="2"/>
        <v>0</v>
      </c>
      <c r="I23" s="435">
        <v>1</v>
      </c>
      <c r="J23" s="435">
        <v>1.1584335423842986</v>
      </c>
      <c r="K23" s="456">
        <f t="shared" si="4"/>
        <v>-13.67653271315066</v>
      </c>
    </row>
    <row r="24" spans="2:14" ht="20.149999999999999" customHeight="1" x14ac:dyDescent="0.35">
      <c r="B24" s="439" t="s">
        <v>236</v>
      </c>
      <c r="C24" s="435" t="s">
        <v>207</v>
      </c>
      <c r="D24" s="435" t="s">
        <v>207</v>
      </c>
      <c r="E24" s="458" t="s">
        <v>207</v>
      </c>
      <c r="F24" s="435">
        <v>3.5</v>
      </c>
      <c r="G24" s="435">
        <v>3.45</v>
      </c>
      <c r="H24" s="455">
        <f t="shared" si="2"/>
        <v>1.4492753623188355</v>
      </c>
      <c r="I24" s="435" t="s">
        <v>207</v>
      </c>
      <c r="J24" s="435" t="s">
        <v>207</v>
      </c>
      <c r="K24" s="456" t="s">
        <v>207</v>
      </c>
    </row>
    <row r="25" spans="2:14" ht="20.149999999999999" customHeight="1" x14ac:dyDescent="0.35">
      <c r="B25" s="439" t="s">
        <v>237</v>
      </c>
      <c r="C25" s="435" t="s">
        <v>207</v>
      </c>
      <c r="D25" s="435" t="s">
        <v>207</v>
      </c>
      <c r="E25" s="458" t="s">
        <v>207</v>
      </c>
      <c r="F25" s="435" t="s">
        <v>207</v>
      </c>
      <c r="G25" s="435" t="s">
        <v>207</v>
      </c>
      <c r="H25" s="457" t="s">
        <v>207</v>
      </c>
      <c r="I25" s="435" t="s">
        <v>207</v>
      </c>
      <c r="J25" s="435" t="s">
        <v>207</v>
      </c>
      <c r="K25" s="456" t="s">
        <v>207</v>
      </c>
    </row>
    <row r="26" spans="2:14" ht="20.149999999999999" customHeight="1" x14ac:dyDescent="0.35">
      <c r="B26" s="439" t="s">
        <v>238</v>
      </c>
      <c r="C26" s="435" t="s">
        <v>207</v>
      </c>
      <c r="D26" s="435" t="s">
        <v>207</v>
      </c>
      <c r="E26" s="458" t="s">
        <v>207</v>
      </c>
      <c r="F26" s="435">
        <v>0.85</v>
      </c>
      <c r="G26" s="435">
        <v>0.95</v>
      </c>
      <c r="H26" s="457">
        <f t="shared" si="2"/>
        <v>-10.526315789473681</v>
      </c>
      <c r="I26" s="435">
        <v>0.9</v>
      </c>
      <c r="J26" s="435">
        <v>0.9</v>
      </c>
      <c r="K26" s="456">
        <f t="shared" ref="K26:K28" si="5">((I26-J26)/J26)*100</f>
        <v>0</v>
      </c>
    </row>
    <row r="27" spans="2:14" ht="20.149999999999999" customHeight="1" x14ac:dyDescent="0.35">
      <c r="B27" s="439" t="s">
        <v>239</v>
      </c>
      <c r="C27" s="435" t="s">
        <v>207</v>
      </c>
      <c r="D27" s="435" t="s">
        <v>207</v>
      </c>
      <c r="E27" s="458" t="s">
        <v>207</v>
      </c>
      <c r="F27" s="435" t="s">
        <v>207</v>
      </c>
      <c r="G27" s="435" t="s">
        <v>207</v>
      </c>
      <c r="H27" s="457" t="s">
        <v>207</v>
      </c>
      <c r="I27" s="435" t="s">
        <v>207</v>
      </c>
      <c r="J27" s="435" t="s">
        <v>207</v>
      </c>
      <c r="K27" s="456" t="s">
        <v>207</v>
      </c>
    </row>
    <row r="28" spans="2:14" ht="20.149999999999999" customHeight="1" x14ac:dyDescent="0.35">
      <c r="B28" s="439" t="s">
        <v>240</v>
      </c>
      <c r="C28" s="435" t="s">
        <v>207</v>
      </c>
      <c r="D28" s="435" t="s">
        <v>207</v>
      </c>
      <c r="E28" s="458" t="s">
        <v>207</v>
      </c>
      <c r="F28" s="435">
        <v>0.66</v>
      </c>
      <c r="G28" s="435">
        <v>0.76</v>
      </c>
      <c r="H28" s="457">
        <f t="shared" si="2"/>
        <v>-13.157894736842103</v>
      </c>
      <c r="I28" s="435">
        <v>0.5</v>
      </c>
      <c r="J28" s="435">
        <v>0.5</v>
      </c>
      <c r="K28" s="456">
        <f t="shared" si="5"/>
        <v>0</v>
      </c>
    </row>
    <row r="29" spans="2:14" ht="20.149999999999999" customHeight="1" x14ac:dyDescent="0.35">
      <c r="B29" s="439" t="s">
        <v>241</v>
      </c>
      <c r="C29" s="435" t="s">
        <v>207</v>
      </c>
      <c r="D29" s="435" t="s">
        <v>207</v>
      </c>
      <c r="E29" s="458" t="s">
        <v>207</v>
      </c>
      <c r="F29" s="435">
        <v>2</v>
      </c>
      <c r="G29" s="435">
        <v>2.33</v>
      </c>
      <c r="H29" s="457">
        <f t="shared" si="2"/>
        <v>-14.163090128755368</v>
      </c>
      <c r="I29" s="435" t="s">
        <v>207</v>
      </c>
      <c r="J29" s="435" t="s">
        <v>207</v>
      </c>
      <c r="K29" s="456" t="s">
        <v>207</v>
      </c>
    </row>
    <row r="30" spans="2:14" ht="20.149999999999999" customHeight="1" x14ac:dyDescent="0.35">
      <c r="B30" s="439" t="s">
        <v>242</v>
      </c>
      <c r="C30" s="435" t="s">
        <v>207</v>
      </c>
      <c r="D30" s="435" t="s">
        <v>207</v>
      </c>
      <c r="E30" s="458" t="s">
        <v>207</v>
      </c>
      <c r="F30" s="435">
        <v>0.45</v>
      </c>
      <c r="G30" s="435">
        <v>0.5</v>
      </c>
      <c r="H30" s="457">
        <f t="shared" si="2"/>
        <v>-9.9999999999999982</v>
      </c>
      <c r="I30" s="435" t="s">
        <v>207</v>
      </c>
      <c r="J30" s="435" t="s">
        <v>207</v>
      </c>
      <c r="K30" s="456" t="s">
        <v>207</v>
      </c>
    </row>
    <row r="31" spans="2:14" ht="20.149999999999999" customHeight="1" x14ac:dyDescent="0.35">
      <c r="B31" s="440" t="s">
        <v>243</v>
      </c>
      <c r="C31" s="437" t="s">
        <v>207</v>
      </c>
      <c r="D31" s="437" t="s">
        <v>207</v>
      </c>
      <c r="E31" s="459" t="s">
        <v>207</v>
      </c>
      <c r="F31" s="437">
        <v>11.15</v>
      </c>
      <c r="G31" s="437">
        <v>11.15</v>
      </c>
      <c r="H31" s="460">
        <f t="shared" si="2"/>
        <v>0</v>
      </c>
      <c r="I31" s="437">
        <v>8.8456371100164208</v>
      </c>
      <c r="J31" s="437">
        <v>7.72</v>
      </c>
      <c r="K31" s="461">
        <f t="shared" ref="K31" si="6">((I31-J31)/J31)*100</f>
        <v>14.580791580523588</v>
      </c>
    </row>
    <row r="32" spans="2:14" x14ac:dyDescent="0.35">
      <c r="E32" s="452"/>
      <c r="H32" s="446"/>
      <c r="I32" s="431"/>
      <c r="J32" s="431"/>
    </row>
  </sheetData>
  <mergeCells count="9">
    <mergeCell ref="C8:E8"/>
    <mergeCell ref="F8:H8"/>
    <mergeCell ref="I8:K8"/>
    <mergeCell ref="C1:K1"/>
    <mergeCell ref="C2:K2"/>
    <mergeCell ref="C3:K3"/>
    <mergeCell ref="C4:K4"/>
    <mergeCell ref="C5:K5"/>
    <mergeCell ref="B6:K6"/>
  </mergeCells>
  <conditionalFormatting sqref="E10:E24">
    <cfRule type="cellIs" dxfId="10" priority="4" operator="equal">
      <formula>0</formula>
    </cfRule>
  </conditionalFormatting>
  <conditionalFormatting sqref="E10:E31">
    <cfRule type="cellIs" dxfId="9" priority="3" operator="greaterThan">
      <formula>0</formula>
    </cfRule>
  </conditionalFormatting>
  <conditionalFormatting sqref="E25:E31">
    <cfRule type="cellIs" dxfId="8" priority="8" operator="equal">
      <formula>0</formula>
    </cfRule>
    <cfRule type="cellIs" dxfId="7" priority="9" operator="lessThan">
      <formula>0</formula>
    </cfRule>
    <cfRule type="cellIs" dxfId="6" priority="10" operator="greaterThan">
      <formula>0</formula>
    </cfRule>
    <cfRule type="cellIs" dxfId="5" priority="11" operator="equal">
      <formula>0</formula>
    </cfRule>
  </conditionalFormatting>
  <conditionalFormatting sqref="H10:H31">
    <cfRule type="cellIs" dxfId="4" priority="6" operator="greaterThan">
      <formula>0</formula>
    </cfRule>
    <cfRule type="cellIs" dxfId="3" priority="7" operator="equal">
      <formula>0</formula>
    </cfRule>
  </conditionalFormatting>
  <conditionalFormatting sqref="H30:H31">
    <cfRule type="cellIs" dxfId="2" priority="5" operator="greaterThan">
      <formula>0</formula>
    </cfRule>
  </conditionalFormatting>
  <conditionalFormatting sqref="K10:K31">
    <cfRule type="cellIs" dxfId="1" priority="1" operator="greaterThan">
      <formula>0</formula>
    </cfRule>
    <cfRule type="cellIs" dxfId="0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3">
    <tabColor theme="9" tint="0.39997558519241921"/>
  </sheetPr>
  <dimension ref="A1:P108"/>
  <sheetViews>
    <sheetView showGridLines="0" showZeros="0" zoomScale="85" zoomScaleNormal="85" workbookViewId="0">
      <selection activeCell="S16" sqref="S16"/>
    </sheetView>
  </sheetViews>
  <sheetFormatPr defaultColWidth="9.1796875" defaultRowHeight="12.5" x14ac:dyDescent="0.25"/>
  <cols>
    <col min="1" max="1" width="10.7265625" style="7" customWidth="1"/>
    <col min="2" max="2" width="5.7265625" style="7" customWidth="1"/>
    <col min="3" max="3" width="60.7265625" style="7" customWidth="1"/>
    <col min="4" max="13" width="10.7265625" style="7" customWidth="1"/>
    <col min="14" max="16384" width="9.1796875" style="7"/>
  </cols>
  <sheetData>
    <row r="1" spans="1:16" s="53" customFormat="1" ht="25" customHeight="1" x14ac:dyDescent="0.35">
      <c r="B1" s="77"/>
      <c r="D1" s="54"/>
      <c r="H1" s="55"/>
      <c r="I1" s="56"/>
    </row>
    <row r="2" spans="1:16" customFormat="1" ht="25" customHeight="1" x14ac:dyDescent="0.25">
      <c r="A2" s="57"/>
      <c r="B2" s="58"/>
      <c r="C2" s="59"/>
      <c r="D2" s="59"/>
      <c r="E2" s="59"/>
      <c r="F2" s="59"/>
      <c r="G2" s="59"/>
      <c r="H2" s="60"/>
      <c r="I2" s="60"/>
      <c r="J2" s="60"/>
      <c r="K2" s="53"/>
      <c r="L2" s="60"/>
    </row>
    <row r="3" spans="1:16" customFormat="1" ht="25" customHeight="1" thickBot="1" x14ac:dyDescent="0.3">
      <c r="B3" s="61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P3" s="53"/>
    </row>
    <row r="4" spans="1:16" customFormat="1" ht="25" customHeight="1" thickTop="1" thickBot="1" x14ac:dyDescent="0.35">
      <c r="B4" s="70"/>
      <c r="C4" s="71"/>
      <c r="D4" s="72"/>
      <c r="E4" s="145"/>
      <c r="F4" s="74"/>
      <c r="G4" s="146"/>
      <c r="H4" s="74"/>
      <c r="I4" s="75"/>
      <c r="J4" s="53"/>
      <c r="K4" s="76"/>
      <c r="L4" s="60"/>
      <c r="O4" s="53"/>
    </row>
    <row r="5" spans="1:16" ht="20.149999999999999" customHeight="1" x14ac:dyDescent="0.3">
      <c r="B5" s="254"/>
      <c r="C5" s="251"/>
      <c r="D5" s="247" t="s">
        <v>129</v>
      </c>
      <c r="E5" s="247"/>
      <c r="F5" s="247"/>
      <c r="G5" s="248"/>
      <c r="H5" s="247" t="s">
        <v>130</v>
      </c>
      <c r="I5" s="247"/>
      <c r="J5" s="247"/>
      <c r="K5" s="248"/>
      <c r="L5" s="247" t="s">
        <v>131</v>
      </c>
      <c r="M5" s="258"/>
    </row>
    <row r="6" spans="1:16" ht="20.149999999999999" customHeight="1" x14ac:dyDescent="0.35">
      <c r="B6" s="255" t="s">
        <v>132</v>
      </c>
      <c r="C6" s="252" t="s">
        <v>133</v>
      </c>
      <c r="D6" s="249" t="s">
        <v>109</v>
      </c>
      <c r="E6" s="249"/>
      <c r="F6" s="249" t="s">
        <v>134</v>
      </c>
      <c r="G6" s="250"/>
      <c r="H6" s="249" t="s">
        <v>109</v>
      </c>
      <c r="I6" s="249"/>
      <c r="J6" s="249" t="s">
        <v>134</v>
      </c>
      <c r="K6" s="250"/>
      <c r="L6" s="249" t="s">
        <v>109</v>
      </c>
      <c r="M6" s="259"/>
    </row>
    <row r="7" spans="1:16" ht="20.149999999999999" customHeight="1" thickBot="1" x14ac:dyDescent="0.4">
      <c r="B7" s="256"/>
      <c r="C7" s="253"/>
      <c r="D7" s="278" t="s">
        <v>303</v>
      </c>
      <c r="E7" s="279" t="s">
        <v>304</v>
      </c>
      <c r="F7" s="278" t="s">
        <v>303</v>
      </c>
      <c r="G7" s="279" t="s">
        <v>304</v>
      </c>
      <c r="H7" s="278" t="s">
        <v>303</v>
      </c>
      <c r="I7" s="279" t="s">
        <v>304</v>
      </c>
      <c r="J7" s="278" t="s">
        <v>303</v>
      </c>
      <c r="K7" s="279" t="s">
        <v>304</v>
      </c>
      <c r="L7" s="278" t="s">
        <v>303</v>
      </c>
      <c r="M7" s="280" t="s">
        <v>304</v>
      </c>
    </row>
    <row r="8" spans="1:16" ht="20.149999999999999" customHeight="1" x14ac:dyDescent="0.35">
      <c r="B8" s="257" t="s">
        <v>135</v>
      </c>
      <c r="C8" s="243" t="s">
        <v>136</v>
      </c>
      <c r="D8" s="244">
        <v>21187.311000000002</v>
      </c>
      <c r="E8" s="245">
        <v>46460.788</v>
      </c>
      <c r="F8" s="244">
        <v>52251.572999999997</v>
      </c>
      <c r="G8" s="246">
        <v>119743.264</v>
      </c>
      <c r="H8" s="244">
        <v>62246.118999999999</v>
      </c>
      <c r="I8" s="245">
        <v>63341.137999999999</v>
      </c>
      <c r="J8" s="244">
        <v>172501.84099999999</v>
      </c>
      <c r="K8" s="246">
        <v>157064.05100000001</v>
      </c>
      <c r="L8" s="244">
        <v>-41058.807999999997</v>
      </c>
      <c r="M8" s="260">
        <v>-16880.349999999999</v>
      </c>
    </row>
    <row r="9" spans="1:16" ht="20.149999999999999" customHeight="1" x14ac:dyDescent="0.35">
      <c r="B9" s="257" t="s">
        <v>137</v>
      </c>
      <c r="C9" s="243" t="s">
        <v>138</v>
      </c>
      <c r="D9" s="244">
        <v>110072.834</v>
      </c>
      <c r="E9" s="245">
        <v>118770.49</v>
      </c>
      <c r="F9" s="244">
        <v>76305.925000000003</v>
      </c>
      <c r="G9" s="246">
        <v>78265.073000000004</v>
      </c>
      <c r="H9" s="244">
        <v>438201.84399999998</v>
      </c>
      <c r="I9" s="245">
        <v>420922.978</v>
      </c>
      <c r="J9" s="244">
        <v>218513.94099999999</v>
      </c>
      <c r="K9" s="246">
        <v>246260.81200000001</v>
      </c>
      <c r="L9" s="244">
        <v>-328129.01</v>
      </c>
      <c r="M9" s="260">
        <v>-302152.48800000001</v>
      </c>
    </row>
    <row r="10" spans="1:16" ht="20.149999999999999" customHeight="1" x14ac:dyDescent="0.35">
      <c r="B10" s="257" t="s">
        <v>139</v>
      </c>
      <c r="C10" s="243" t="s">
        <v>140</v>
      </c>
      <c r="D10" s="244">
        <v>144023.30499999999</v>
      </c>
      <c r="E10" s="245">
        <v>129088.629</v>
      </c>
      <c r="F10" s="244">
        <v>166981.049</v>
      </c>
      <c r="G10" s="246">
        <v>170182.022</v>
      </c>
      <c r="H10" s="244">
        <v>122805.757</v>
      </c>
      <c r="I10" s="245">
        <v>102974.431</v>
      </c>
      <c r="J10" s="244">
        <v>223781.421</v>
      </c>
      <c r="K10" s="246">
        <v>228146.948</v>
      </c>
      <c r="L10" s="244">
        <v>21217.547999999995</v>
      </c>
      <c r="M10" s="260">
        <v>26114.198000000004</v>
      </c>
    </row>
    <row r="11" spans="1:16" ht="20.149999999999999" customHeight="1" x14ac:dyDescent="0.35">
      <c r="B11" s="257" t="s">
        <v>141</v>
      </c>
      <c r="C11" s="243" t="s">
        <v>142</v>
      </c>
      <c r="D11" s="244">
        <v>75806.63</v>
      </c>
      <c r="E11" s="245">
        <v>78418.27</v>
      </c>
      <c r="F11" s="244">
        <v>108009.167</v>
      </c>
      <c r="G11" s="246">
        <v>103773.701</v>
      </c>
      <c r="H11" s="244">
        <v>84785.892000000007</v>
      </c>
      <c r="I11" s="245">
        <v>91457.972999999998</v>
      </c>
      <c r="J11" s="244">
        <v>65273.557000000001</v>
      </c>
      <c r="K11" s="246">
        <v>85863.154999999999</v>
      </c>
      <c r="L11" s="244">
        <v>-8979.2620000000024</v>
      </c>
      <c r="M11" s="260">
        <v>-13039.702999999994</v>
      </c>
    </row>
    <row r="12" spans="1:16" ht="20.149999999999999" customHeight="1" x14ac:dyDescent="0.35">
      <c r="B12" s="257" t="s">
        <v>143</v>
      </c>
      <c r="C12" s="243" t="s">
        <v>144</v>
      </c>
      <c r="D12" s="244">
        <v>33284.881000000001</v>
      </c>
      <c r="E12" s="245">
        <v>32269.805</v>
      </c>
      <c r="F12" s="244">
        <v>24277.699000000001</v>
      </c>
      <c r="G12" s="246">
        <v>26063.481</v>
      </c>
      <c r="H12" s="244">
        <v>103530.88400000001</v>
      </c>
      <c r="I12" s="245">
        <v>97087.925000000003</v>
      </c>
      <c r="J12" s="244">
        <v>70095.582999999999</v>
      </c>
      <c r="K12" s="246">
        <v>73073.850999999995</v>
      </c>
      <c r="L12" s="244">
        <v>-70246.002999999997</v>
      </c>
      <c r="M12" s="260">
        <v>-64818.12</v>
      </c>
    </row>
    <row r="13" spans="1:16" ht="20.149999999999999" customHeight="1" x14ac:dyDescent="0.35">
      <c r="B13" s="257" t="s">
        <v>145</v>
      </c>
      <c r="C13" s="243" t="s">
        <v>146</v>
      </c>
      <c r="D13" s="244">
        <v>40089.523000000001</v>
      </c>
      <c r="E13" s="245">
        <v>42404.232000000004</v>
      </c>
      <c r="F13" s="244">
        <v>71299.740999999995</v>
      </c>
      <c r="G13" s="246">
        <v>64597.357000000004</v>
      </c>
      <c r="H13" s="244">
        <v>75423.489000000001</v>
      </c>
      <c r="I13" s="245">
        <v>78545.05</v>
      </c>
      <c r="J13" s="244">
        <v>93809.948999999993</v>
      </c>
      <c r="K13" s="246">
        <v>96386.331999999995</v>
      </c>
      <c r="L13" s="244">
        <v>-35333.966</v>
      </c>
      <c r="M13" s="260">
        <v>-36140.817999999999</v>
      </c>
    </row>
    <row r="14" spans="1:16" ht="20.149999999999999" customHeight="1" x14ac:dyDescent="0.35">
      <c r="B14" s="257" t="s">
        <v>147</v>
      </c>
      <c r="C14" s="243" t="s">
        <v>148</v>
      </c>
      <c r="D14" s="244">
        <v>27283.598999999998</v>
      </c>
      <c r="E14" s="245">
        <v>25426.210999999999</v>
      </c>
      <c r="F14" s="244">
        <v>22368.221000000001</v>
      </c>
      <c r="G14" s="246">
        <v>19346.303</v>
      </c>
      <c r="H14" s="244">
        <v>117106.47900000001</v>
      </c>
      <c r="I14" s="245">
        <v>121899.38800000001</v>
      </c>
      <c r="J14" s="244">
        <v>85553.008000000002</v>
      </c>
      <c r="K14" s="246">
        <v>106985.876</v>
      </c>
      <c r="L14" s="244">
        <v>-89822.88</v>
      </c>
      <c r="M14" s="260">
        <v>-96473.177000000011</v>
      </c>
    </row>
    <row r="15" spans="1:16" ht="20.149999999999999" customHeight="1" x14ac:dyDescent="0.35">
      <c r="B15" s="257" t="s">
        <v>149</v>
      </c>
      <c r="C15" s="243" t="s">
        <v>150</v>
      </c>
      <c r="D15" s="244">
        <v>13762.097</v>
      </c>
      <c r="E15" s="245">
        <v>15052.011</v>
      </c>
      <c r="F15" s="244">
        <v>17153.951000000001</v>
      </c>
      <c r="G15" s="246">
        <v>27324.965</v>
      </c>
      <c r="H15" s="244">
        <v>3607.0709999999999</v>
      </c>
      <c r="I15" s="245">
        <v>4006.4229999999998</v>
      </c>
      <c r="J15" s="244">
        <v>3138.7020000000002</v>
      </c>
      <c r="K15" s="246">
        <v>4157.3310000000001</v>
      </c>
      <c r="L15" s="244">
        <v>10155.026</v>
      </c>
      <c r="M15" s="260">
        <v>11045.588</v>
      </c>
    </row>
    <row r="16" spans="1:16" ht="20.149999999999999" customHeight="1" x14ac:dyDescent="0.35">
      <c r="B16" s="257" t="s">
        <v>177</v>
      </c>
      <c r="C16" s="243" t="s">
        <v>178</v>
      </c>
      <c r="D16" s="244">
        <v>637871.80799999996</v>
      </c>
      <c r="E16" s="245">
        <v>681523.48100000003</v>
      </c>
      <c r="F16" s="244">
        <v>325221.66399999999</v>
      </c>
      <c r="G16" s="246">
        <v>323321.08799999999</v>
      </c>
      <c r="H16" s="244">
        <v>337218.18599999999</v>
      </c>
      <c r="I16" s="245">
        <v>345498.75699999998</v>
      </c>
      <c r="J16" s="244">
        <v>164025.837</v>
      </c>
      <c r="K16" s="246">
        <v>168142.902</v>
      </c>
      <c r="L16" s="244">
        <v>300653.62199999997</v>
      </c>
      <c r="M16" s="260">
        <v>336024.72400000005</v>
      </c>
    </row>
    <row r="17" spans="2:13" ht="20.149999999999999" customHeight="1" x14ac:dyDescent="0.35">
      <c r="B17" s="257" t="s">
        <v>179</v>
      </c>
      <c r="C17" s="243" t="s">
        <v>180</v>
      </c>
      <c r="D17" s="244">
        <v>440139.739</v>
      </c>
      <c r="E17" s="245">
        <v>432572.37300000002</v>
      </c>
      <c r="F17" s="244">
        <v>409561.58899999998</v>
      </c>
      <c r="G17" s="246">
        <v>407308.91200000001</v>
      </c>
      <c r="H17" s="244">
        <v>73019.805999999997</v>
      </c>
      <c r="I17" s="245">
        <v>78589.331000000006</v>
      </c>
      <c r="J17" s="244">
        <v>66524.441000000006</v>
      </c>
      <c r="K17" s="246">
        <v>68252.736999999994</v>
      </c>
      <c r="L17" s="244">
        <v>367119.93300000002</v>
      </c>
      <c r="M17" s="260">
        <v>353983.04200000002</v>
      </c>
    </row>
    <row r="18" spans="2:13" ht="20.149999999999999" customHeight="1" x14ac:dyDescent="0.35">
      <c r="B18" s="257" t="s">
        <v>181</v>
      </c>
      <c r="C18" s="243" t="s">
        <v>182</v>
      </c>
      <c r="D18" s="244">
        <v>18856.876</v>
      </c>
      <c r="E18" s="245">
        <v>16368.888000000001</v>
      </c>
      <c r="F18" s="244">
        <v>10612.934999999999</v>
      </c>
      <c r="G18" s="246">
        <v>8776.6550000000007</v>
      </c>
      <c r="H18" s="244">
        <v>26571.359</v>
      </c>
      <c r="I18" s="245">
        <v>36676.991000000002</v>
      </c>
      <c r="J18" s="244">
        <v>16658.866999999998</v>
      </c>
      <c r="K18" s="246">
        <v>18377.683000000001</v>
      </c>
      <c r="L18" s="244">
        <v>-7714.4830000000002</v>
      </c>
      <c r="M18" s="260">
        <v>-20308.103000000003</v>
      </c>
    </row>
    <row r="19" spans="2:13" ht="20.149999999999999" customHeight="1" x14ac:dyDescent="0.35">
      <c r="B19" s="257" t="s">
        <v>183</v>
      </c>
      <c r="C19" s="243" t="s">
        <v>184</v>
      </c>
      <c r="D19" s="244">
        <v>102755.16499999999</v>
      </c>
      <c r="E19" s="245">
        <v>110353.245</v>
      </c>
      <c r="F19" s="244">
        <v>35094.955999999998</v>
      </c>
      <c r="G19" s="246">
        <v>45331.324000000001</v>
      </c>
      <c r="H19" s="244">
        <v>64033.726999999999</v>
      </c>
      <c r="I19" s="245">
        <v>71873.123999999996</v>
      </c>
      <c r="J19" s="244">
        <v>19368.849999999999</v>
      </c>
      <c r="K19" s="246">
        <v>22262.13</v>
      </c>
      <c r="L19" s="244">
        <v>38721.437999999995</v>
      </c>
      <c r="M19" s="260">
        <v>38480.120999999999</v>
      </c>
    </row>
    <row r="20" spans="2:13" ht="20.149999999999999" customHeight="1" x14ac:dyDescent="0.35">
      <c r="B20" s="257" t="s">
        <v>185</v>
      </c>
      <c r="C20" s="243" t="s">
        <v>186</v>
      </c>
      <c r="D20" s="244">
        <v>53099.686000000002</v>
      </c>
      <c r="E20" s="245">
        <v>55082.137999999999</v>
      </c>
      <c r="F20" s="244">
        <v>65007.025999999998</v>
      </c>
      <c r="G20" s="246">
        <v>59904.607000000004</v>
      </c>
      <c r="H20" s="244">
        <v>33257.474000000002</v>
      </c>
      <c r="I20" s="245">
        <v>39170.148999999998</v>
      </c>
      <c r="J20" s="244">
        <v>42877.37</v>
      </c>
      <c r="K20" s="246">
        <v>37214.813999999998</v>
      </c>
      <c r="L20" s="244">
        <v>19842.212</v>
      </c>
      <c r="M20" s="260">
        <v>15911.989000000001</v>
      </c>
    </row>
    <row r="21" spans="2:13" ht="20.149999999999999" customHeight="1" x14ac:dyDescent="0.35">
      <c r="B21" s="257" t="s">
        <v>187</v>
      </c>
      <c r="C21" s="243" t="s">
        <v>188</v>
      </c>
      <c r="D21" s="244">
        <v>2094.6640000000002</v>
      </c>
      <c r="E21" s="245">
        <v>2955.1080000000002</v>
      </c>
      <c r="F21" s="244">
        <v>4177.6400000000003</v>
      </c>
      <c r="G21" s="246">
        <v>5231.6530000000002</v>
      </c>
      <c r="H21" s="244">
        <v>12705.849</v>
      </c>
      <c r="I21" s="245">
        <v>15694.460999999999</v>
      </c>
      <c r="J21" s="244">
        <v>10506.623</v>
      </c>
      <c r="K21" s="246">
        <v>13292.862999999999</v>
      </c>
      <c r="L21" s="244">
        <v>-10611.184999999999</v>
      </c>
      <c r="M21" s="260">
        <v>-12739.352999999999</v>
      </c>
    </row>
    <row r="22" spans="2:13" ht="20.149999999999999" customHeight="1" x14ac:dyDescent="0.35">
      <c r="B22" s="257" t="s">
        <v>189</v>
      </c>
      <c r="C22" s="243" t="s">
        <v>190</v>
      </c>
      <c r="D22" s="244">
        <v>4133.43</v>
      </c>
      <c r="E22" s="245">
        <v>7851.5829999999996</v>
      </c>
      <c r="F22" s="244">
        <v>1020.29</v>
      </c>
      <c r="G22" s="246">
        <v>2318.8670000000002</v>
      </c>
      <c r="H22" s="244">
        <v>83914.066999999995</v>
      </c>
      <c r="I22" s="245">
        <v>110115.17</v>
      </c>
      <c r="J22" s="244">
        <v>21639.618999999999</v>
      </c>
      <c r="K22" s="246">
        <v>25099.96</v>
      </c>
      <c r="L22" s="244">
        <v>-79780.636999999988</v>
      </c>
      <c r="M22" s="260">
        <v>-102263.587</v>
      </c>
    </row>
    <row r="23" spans="2:13" ht="20.149999999999999" customHeight="1" x14ac:dyDescent="0.35">
      <c r="B23" s="257" t="s">
        <v>191</v>
      </c>
      <c r="C23" s="243" t="s">
        <v>192</v>
      </c>
      <c r="D23" s="244">
        <v>13340.715</v>
      </c>
      <c r="E23" s="245">
        <v>15313.968000000001</v>
      </c>
      <c r="F23" s="244">
        <v>3595.6669999999999</v>
      </c>
      <c r="G23" s="246">
        <v>3571.24</v>
      </c>
      <c r="H23" s="244">
        <v>190182.28099999999</v>
      </c>
      <c r="I23" s="245">
        <v>245253.53700000001</v>
      </c>
      <c r="J23" s="244">
        <v>27949.695</v>
      </c>
      <c r="K23" s="246">
        <v>35186.319000000003</v>
      </c>
      <c r="L23" s="244">
        <v>-176841.56599999999</v>
      </c>
      <c r="M23" s="260">
        <v>-229939.56900000002</v>
      </c>
    </row>
    <row r="24" spans="2:13" ht="20.149999999999999" customHeight="1" x14ac:dyDescent="0.35">
      <c r="B24" s="257" t="s">
        <v>151</v>
      </c>
      <c r="C24" s="243" t="s">
        <v>27</v>
      </c>
      <c r="D24" s="244">
        <v>36460.447</v>
      </c>
      <c r="E24" s="245">
        <v>39439.760999999999</v>
      </c>
      <c r="F24" s="244">
        <v>39321.150999999998</v>
      </c>
      <c r="G24" s="246">
        <v>42826.396000000001</v>
      </c>
      <c r="H24" s="244">
        <v>345719.4</v>
      </c>
      <c r="I24" s="245">
        <v>358825.07500000001</v>
      </c>
      <c r="J24" s="244">
        <v>494602.28700000001</v>
      </c>
      <c r="K24" s="246">
        <v>520864.96899999998</v>
      </c>
      <c r="L24" s="244">
        <v>-309258.95300000004</v>
      </c>
      <c r="M24" s="260">
        <v>-319385.31400000001</v>
      </c>
    </row>
    <row r="25" spans="2:13" ht="20.149999999999999" customHeight="1" x14ac:dyDescent="0.35">
      <c r="B25" s="257" t="s">
        <v>167</v>
      </c>
      <c r="C25" s="243" t="s">
        <v>168</v>
      </c>
      <c r="D25" s="244">
        <v>26509.171999999999</v>
      </c>
      <c r="E25" s="245">
        <v>25378.289000000001</v>
      </c>
      <c r="F25" s="244">
        <v>14029.143</v>
      </c>
      <c r="G25" s="246">
        <v>11064.236000000001</v>
      </c>
      <c r="H25" s="244">
        <v>182549.67499999999</v>
      </c>
      <c r="I25" s="245">
        <v>209006.728</v>
      </c>
      <c r="J25" s="244">
        <v>83694.251999999993</v>
      </c>
      <c r="K25" s="246">
        <v>85670.934999999998</v>
      </c>
      <c r="L25" s="244">
        <v>-156040.503</v>
      </c>
      <c r="M25" s="260">
        <v>-183628.43900000001</v>
      </c>
    </row>
    <row r="26" spans="2:13" ht="20.149999999999999" customHeight="1" x14ac:dyDescent="0.35">
      <c r="B26" s="257" t="s">
        <v>152</v>
      </c>
      <c r="C26" s="243" t="s">
        <v>153</v>
      </c>
      <c r="D26" s="244">
        <v>30395.713</v>
      </c>
      <c r="E26" s="245">
        <v>32473.885999999999</v>
      </c>
      <c r="F26" s="244">
        <v>31546.092000000001</v>
      </c>
      <c r="G26" s="246">
        <v>32746.687000000002</v>
      </c>
      <c r="H26" s="244">
        <v>522176.33100000001</v>
      </c>
      <c r="I26" s="245">
        <v>528723.62199999997</v>
      </c>
      <c r="J26" s="244">
        <v>498264.35499999998</v>
      </c>
      <c r="K26" s="246">
        <v>517739.52600000001</v>
      </c>
      <c r="L26" s="244">
        <v>-491780.61800000002</v>
      </c>
      <c r="M26" s="260">
        <v>-496249.73599999998</v>
      </c>
    </row>
    <row r="27" spans="2:13" ht="20.149999999999999" customHeight="1" x14ac:dyDescent="0.35">
      <c r="B27" s="257" t="s">
        <v>154</v>
      </c>
      <c r="C27" s="243" t="s">
        <v>155</v>
      </c>
      <c r="D27" s="244">
        <v>8336.9390000000003</v>
      </c>
      <c r="E27" s="245">
        <v>8341.9689999999991</v>
      </c>
      <c r="F27" s="244">
        <v>4403.3549999999996</v>
      </c>
      <c r="G27" s="246">
        <v>4305.21</v>
      </c>
      <c r="H27" s="244">
        <v>260088.96599999999</v>
      </c>
      <c r="I27" s="245">
        <v>285879.58100000001</v>
      </c>
      <c r="J27" s="244">
        <v>140191.09099999999</v>
      </c>
      <c r="K27" s="246">
        <v>139383.43100000001</v>
      </c>
      <c r="L27" s="244">
        <v>-251752.02699999997</v>
      </c>
      <c r="M27" s="260">
        <v>-277537.61200000002</v>
      </c>
    </row>
    <row r="28" spans="2:13" ht="20.149999999999999" customHeight="1" x14ac:dyDescent="0.35">
      <c r="B28" s="257" t="s">
        <v>156</v>
      </c>
      <c r="C28" s="243" t="s">
        <v>157</v>
      </c>
      <c r="D28" s="244">
        <v>3929.6849999999999</v>
      </c>
      <c r="E28" s="245">
        <v>2835.806</v>
      </c>
      <c r="F28" s="244">
        <v>5635.1120000000001</v>
      </c>
      <c r="G28" s="246">
        <v>3636.6849999999999</v>
      </c>
      <c r="H28" s="244">
        <v>125012.526</v>
      </c>
      <c r="I28" s="245">
        <v>144339.302</v>
      </c>
      <c r="J28" s="244">
        <v>195419.46400000001</v>
      </c>
      <c r="K28" s="246">
        <v>223717.34599999999</v>
      </c>
      <c r="L28" s="244">
        <v>-121082.841</v>
      </c>
      <c r="M28" s="260">
        <v>-141503.49599999998</v>
      </c>
    </row>
    <row r="29" spans="2:13" ht="20.149999999999999" customHeight="1" x14ac:dyDescent="0.35">
      <c r="B29" s="257" t="s">
        <v>158</v>
      </c>
      <c r="C29" s="243" t="s">
        <v>159</v>
      </c>
      <c r="D29" s="244">
        <v>453925.44799999997</v>
      </c>
      <c r="E29" s="245">
        <v>524745.56299999997</v>
      </c>
      <c r="F29" s="244">
        <v>926165.25100000005</v>
      </c>
      <c r="G29" s="246">
        <v>900138.34100000001</v>
      </c>
      <c r="H29" s="244">
        <v>48658.069000000003</v>
      </c>
      <c r="I29" s="245">
        <v>43104.131000000001</v>
      </c>
      <c r="J29" s="244">
        <v>40575.851000000002</v>
      </c>
      <c r="K29" s="246">
        <v>36921.964</v>
      </c>
      <c r="L29" s="244">
        <v>405267.37899999996</v>
      </c>
      <c r="M29" s="260">
        <v>481641.43199999997</v>
      </c>
    </row>
    <row r="30" spans="2:13" ht="20.149999999999999" customHeight="1" x14ac:dyDescent="0.35">
      <c r="B30" s="257" t="s">
        <v>160</v>
      </c>
      <c r="C30" s="243" t="s">
        <v>161</v>
      </c>
      <c r="D30" s="244">
        <v>23395.269</v>
      </c>
      <c r="E30" s="245">
        <v>24011.463</v>
      </c>
      <c r="F30" s="244">
        <v>21361.484</v>
      </c>
      <c r="G30" s="246">
        <v>22161.883000000002</v>
      </c>
      <c r="H30" s="244">
        <v>164388.25899999999</v>
      </c>
      <c r="I30" s="245">
        <v>219973.75899999999</v>
      </c>
      <c r="J30" s="244">
        <v>121231.66899999999</v>
      </c>
      <c r="K30" s="246">
        <v>149121.49</v>
      </c>
      <c r="L30" s="244">
        <v>-140992.99</v>
      </c>
      <c r="M30" s="260">
        <v>-195962.296</v>
      </c>
    </row>
    <row r="31" spans="2:13" ht="20.149999999999999" customHeight="1" x14ac:dyDescent="0.35">
      <c r="B31" s="257" t="s">
        <v>169</v>
      </c>
      <c r="C31" s="243" t="s">
        <v>170</v>
      </c>
      <c r="D31" s="244">
        <v>246879.829</v>
      </c>
      <c r="E31" s="245">
        <v>292567.88199999998</v>
      </c>
      <c r="F31" s="244">
        <v>73675.815000000002</v>
      </c>
      <c r="G31" s="246">
        <v>70540.002999999997</v>
      </c>
      <c r="H31" s="244">
        <v>341711.70299999998</v>
      </c>
      <c r="I31" s="245">
        <v>423150.09700000001</v>
      </c>
      <c r="J31" s="244">
        <v>104818.109</v>
      </c>
      <c r="K31" s="246">
        <v>109894.761</v>
      </c>
      <c r="L31" s="244">
        <v>-94831.873999999982</v>
      </c>
      <c r="M31" s="260">
        <v>-130582.21500000003</v>
      </c>
    </row>
    <row r="32" spans="2:13" ht="20.149999999999999" customHeight="1" x14ac:dyDescent="0.25"/>
    <row r="33" ht="20.149999999999999" customHeight="1" x14ac:dyDescent="0.25"/>
    <row r="34" ht="20.149999999999999" customHeight="1" x14ac:dyDescent="0.25"/>
    <row r="35" ht="20.149999999999999" customHeight="1" x14ac:dyDescent="0.25"/>
    <row r="36" ht="20.149999999999999" customHeight="1" x14ac:dyDescent="0.25"/>
    <row r="37" ht="20.149999999999999" customHeight="1" x14ac:dyDescent="0.25"/>
    <row r="38" ht="20.149999999999999" customHeight="1" x14ac:dyDescent="0.25"/>
    <row r="39" ht="20.149999999999999" customHeight="1" x14ac:dyDescent="0.25"/>
    <row r="40" ht="20.149999999999999" customHeight="1" x14ac:dyDescent="0.25"/>
    <row r="41" ht="20.149999999999999" customHeight="1" x14ac:dyDescent="0.25"/>
    <row r="42" ht="20.149999999999999" customHeight="1" x14ac:dyDescent="0.25"/>
    <row r="43" ht="20.149999999999999" customHeight="1" x14ac:dyDescent="0.25"/>
    <row r="44" ht="20.149999999999999" customHeight="1" x14ac:dyDescent="0.25"/>
    <row r="45" ht="20.149999999999999" customHeight="1" x14ac:dyDescent="0.25"/>
    <row r="46" ht="20.149999999999999" customHeight="1" x14ac:dyDescent="0.25"/>
    <row r="47" ht="20.149999999999999" customHeight="1" x14ac:dyDescent="0.25"/>
    <row r="48" ht="20.149999999999999" customHeight="1" x14ac:dyDescent="0.25"/>
    <row r="49" ht="20.149999999999999" customHeight="1" x14ac:dyDescent="0.25"/>
    <row r="50" ht="20.149999999999999" customHeight="1" x14ac:dyDescent="0.25"/>
    <row r="51" ht="20.149999999999999" customHeight="1" x14ac:dyDescent="0.25"/>
    <row r="52" ht="20.149999999999999" customHeight="1" x14ac:dyDescent="0.25"/>
    <row r="53" ht="20.149999999999999" customHeight="1" x14ac:dyDescent="0.25"/>
    <row r="54" ht="20.149999999999999" customHeight="1" x14ac:dyDescent="0.25"/>
    <row r="55" ht="20.149999999999999" customHeight="1" x14ac:dyDescent="0.25"/>
    <row r="56" ht="20.149999999999999" customHeight="1" x14ac:dyDescent="0.25"/>
    <row r="57" ht="20.149999999999999" customHeight="1" x14ac:dyDescent="0.25"/>
    <row r="58" ht="20.149999999999999" customHeight="1" x14ac:dyDescent="0.25"/>
    <row r="59" ht="20.149999999999999" customHeight="1" x14ac:dyDescent="0.25"/>
    <row r="60" ht="20.149999999999999" customHeight="1" x14ac:dyDescent="0.25"/>
    <row r="61" ht="20.149999999999999" customHeight="1" x14ac:dyDescent="0.25"/>
    <row r="62" ht="20.149999999999999" customHeight="1" x14ac:dyDescent="0.25"/>
    <row r="63" ht="20.149999999999999" customHeight="1" x14ac:dyDescent="0.25"/>
    <row r="64" ht="20.149999999999999" customHeight="1" x14ac:dyDescent="0.25"/>
    <row r="65" ht="20.149999999999999" customHeight="1" x14ac:dyDescent="0.25"/>
    <row r="66" ht="20.149999999999999" customHeight="1" x14ac:dyDescent="0.25"/>
    <row r="67" ht="20.149999999999999" customHeight="1" x14ac:dyDescent="0.25"/>
    <row r="68" ht="20.149999999999999" customHeight="1" x14ac:dyDescent="0.25"/>
    <row r="69" ht="20.149999999999999" customHeight="1" x14ac:dyDescent="0.25"/>
    <row r="70" ht="20.149999999999999" customHeight="1" x14ac:dyDescent="0.25"/>
    <row r="71" ht="20.149999999999999" customHeight="1" x14ac:dyDescent="0.25"/>
    <row r="72" ht="20.149999999999999" customHeight="1" x14ac:dyDescent="0.25"/>
    <row r="73" ht="20.149999999999999" customHeight="1" x14ac:dyDescent="0.25"/>
    <row r="74" ht="20.149999999999999" customHeight="1" x14ac:dyDescent="0.25"/>
    <row r="75" ht="20.149999999999999" customHeight="1" x14ac:dyDescent="0.25"/>
    <row r="76" ht="20.149999999999999" customHeight="1" x14ac:dyDescent="0.25"/>
    <row r="77" ht="20.149999999999999" customHeight="1" x14ac:dyDescent="0.25"/>
    <row r="78" ht="20.149999999999999" customHeight="1" x14ac:dyDescent="0.25"/>
    <row r="79" ht="20.149999999999999" customHeight="1" x14ac:dyDescent="0.25"/>
    <row r="80" ht="20.149999999999999" customHeight="1" x14ac:dyDescent="0.25"/>
    <row r="81" ht="20.149999999999999" customHeight="1" x14ac:dyDescent="0.25"/>
    <row r="82" ht="20.149999999999999" customHeight="1" x14ac:dyDescent="0.25"/>
    <row r="83" ht="20.149999999999999" customHeight="1" x14ac:dyDescent="0.25"/>
    <row r="84" ht="20.149999999999999" customHeight="1" x14ac:dyDescent="0.25"/>
    <row r="85" ht="20.149999999999999" customHeight="1" x14ac:dyDescent="0.25"/>
    <row r="86" ht="20.149999999999999" customHeight="1" x14ac:dyDescent="0.25"/>
    <row r="87" ht="20.149999999999999" customHeight="1" x14ac:dyDescent="0.25"/>
    <row r="88" ht="20.149999999999999" customHeight="1" x14ac:dyDescent="0.25"/>
    <row r="89" ht="20.149999999999999" customHeight="1" x14ac:dyDescent="0.25"/>
    <row r="90" ht="20.149999999999999" customHeight="1" x14ac:dyDescent="0.25"/>
    <row r="91" ht="20.149999999999999" customHeight="1" x14ac:dyDescent="0.25"/>
    <row r="92" ht="20.149999999999999" customHeight="1" x14ac:dyDescent="0.25"/>
    <row r="93" ht="20.149999999999999" customHeight="1" x14ac:dyDescent="0.25"/>
    <row r="94" ht="20.149999999999999" customHeight="1" x14ac:dyDescent="0.25"/>
    <row r="95" ht="20.149999999999999" customHeight="1" x14ac:dyDescent="0.25"/>
    <row r="96" ht="20.149999999999999" customHeight="1" x14ac:dyDescent="0.25"/>
    <row r="97" ht="20.149999999999999" customHeight="1" x14ac:dyDescent="0.25"/>
    <row r="98" ht="20.149999999999999" customHeight="1" x14ac:dyDescent="0.25"/>
    <row r="99" ht="20.149999999999999" customHeight="1" x14ac:dyDescent="0.25"/>
    <row r="100" ht="20.149999999999999" customHeight="1" x14ac:dyDescent="0.25"/>
    <row r="101" ht="20.149999999999999" customHeight="1" x14ac:dyDescent="0.25"/>
    <row r="102" ht="20.149999999999999" customHeight="1" x14ac:dyDescent="0.25"/>
    <row r="103" ht="20.149999999999999" customHeight="1" x14ac:dyDescent="0.25"/>
    <row r="104" ht="20.149999999999999" customHeight="1" x14ac:dyDescent="0.25"/>
    <row r="105" ht="20.149999999999999" customHeight="1" x14ac:dyDescent="0.25"/>
    <row r="106" ht="20.149999999999999" customHeight="1" x14ac:dyDescent="0.25"/>
    <row r="107" ht="20.149999999999999" customHeight="1" x14ac:dyDescent="0.25"/>
    <row r="108" ht="20.149999999999999" customHeight="1" x14ac:dyDescent="0.25"/>
  </sheetData>
  <printOptions horizontalCentered="1"/>
  <pageMargins left="0.196850393700787" right="0.196850393700787" top="0.74173228346456999" bottom="0.511811023622047" header="0.196850393700787" footer="0.23622047244094502"/>
  <pageSetup paperSize="9" scale="90" orientation="landscape" r:id="rId1"/>
  <headerFooter alignWithMargins="0">
    <oddHeader>&amp;L&amp;"Times New Roman CE,Pogrubiona kursywa"&amp;12DRE&amp;C
&amp;8
&amp;"Times New Roman CE,Pogrubiona"&amp;14Polski handel zagraniczny towarami rolno-spożywczymi w okresie I-XI 2023r. - dane wstępne (UE + kraje trzecie).</oddHeader>
    <oddFooter>&amp;L&amp;"Times New Roman CE,Pogrubiona kursywa"&amp;12 Źródło: Min. Finansów&amp;CStrona &amp;P&amp;R&amp;"Times New Roman CE,Pogrubiona kursywa"&amp;12Przygotował: Adam Pachnicki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3">
    <tabColor theme="9" tint="0.59999389629810485"/>
  </sheetPr>
  <dimension ref="B1:M27"/>
  <sheetViews>
    <sheetView showGridLines="0" showZeros="0" zoomScale="80" zoomScaleNormal="80" workbookViewId="0">
      <selection activeCell="H19" sqref="H19"/>
    </sheetView>
  </sheetViews>
  <sheetFormatPr defaultColWidth="8.7265625" defaultRowHeight="12.5" x14ac:dyDescent="0.25"/>
  <cols>
    <col min="1" max="1" width="8.7265625" style="7"/>
    <col min="2" max="2" width="5.453125" style="7" bestFit="1" customWidth="1"/>
    <col min="3" max="3" width="58.54296875" style="7" bestFit="1" customWidth="1"/>
    <col min="4" max="13" width="11.54296875" style="7" customWidth="1"/>
    <col min="14" max="16384" width="8.7265625" style="7"/>
  </cols>
  <sheetData>
    <row r="1" spans="2:13" ht="17.25" customHeight="1" x14ac:dyDescent="0.3">
      <c r="B1" s="254"/>
      <c r="C1" s="251"/>
      <c r="D1" s="247" t="s">
        <v>129</v>
      </c>
      <c r="E1" s="247"/>
      <c r="F1" s="247"/>
      <c r="G1" s="248"/>
      <c r="H1" s="247" t="s">
        <v>130</v>
      </c>
      <c r="I1" s="247"/>
      <c r="J1" s="247"/>
      <c r="K1" s="248"/>
      <c r="L1" s="247" t="s">
        <v>131</v>
      </c>
      <c r="M1" s="258"/>
    </row>
    <row r="2" spans="2:13" ht="16.5" customHeight="1" x14ac:dyDescent="0.35">
      <c r="B2" s="255" t="s">
        <v>132</v>
      </c>
      <c r="C2" s="252" t="s">
        <v>133</v>
      </c>
      <c r="D2" s="249" t="s">
        <v>109</v>
      </c>
      <c r="E2" s="249"/>
      <c r="F2" s="249" t="s">
        <v>134</v>
      </c>
      <c r="G2" s="250"/>
      <c r="H2" s="249" t="s">
        <v>109</v>
      </c>
      <c r="I2" s="249"/>
      <c r="J2" s="249" t="s">
        <v>134</v>
      </c>
      <c r="K2" s="250"/>
      <c r="L2" s="249" t="s">
        <v>109</v>
      </c>
      <c r="M2" s="259"/>
    </row>
    <row r="3" spans="2:13" ht="15.75" customHeight="1" thickBot="1" x14ac:dyDescent="0.4">
      <c r="B3" s="256"/>
      <c r="C3" s="253"/>
      <c r="D3" s="278" t="s">
        <v>418</v>
      </c>
      <c r="E3" s="279" t="s">
        <v>419</v>
      </c>
      <c r="F3" s="278" t="s">
        <v>418</v>
      </c>
      <c r="G3" s="279" t="s">
        <v>419</v>
      </c>
      <c r="H3" s="278" t="s">
        <v>418</v>
      </c>
      <c r="I3" s="279" t="s">
        <v>419</v>
      </c>
      <c r="J3" s="278" t="s">
        <v>418</v>
      </c>
      <c r="K3" s="279" t="s">
        <v>419</v>
      </c>
      <c r="L3" s="278" t="s">
        <v>418</v>
      </c>
      <c r="M3" s="280" t="s">
        <v>419</v>
      </c>
    </row>
    <row r="4" spans="2:13" ht="16.5" customHeight="1" x14ac:dyDescent="0.35">
      <c r="B4" s="257" t="s">
        <v>135</v>
      </c>
      <c r="C4" s="243" t="s">
        <v>136</v>
      </c>
      <c r="D4" s="244">
        <v>46460.788</v>
      </c>
      <c r="E4" s="245">
        <v>47534.142</v>
      </c>
      <c r="F4" s="244">
        <v>119743.264</v>
      </c>
      <c r="G4" s="246">
        <v>160663.391</v>
      </c>
      <c r="H4" s="244">
        <v>63341.137999999999</v>
      </c>
      <c r="I4" s="245">
        <v>68038.956000000006</v>
      </c>
      <c r="J4" s="244">
        <v>157064.05100000001</v>
      </c>
      <c r="K4" s="246">
        <v>179710.182</v>
      </c>
      <c r="L4" s="244">
        <v>-16880.349999999999</v>
      </c>
      <c r="M4" s="260">
        <v>-20504.814000000006</v>
      </c>
    </row>
    <row r="5" spans="2:13" ht="16.5" customHeight="1" x14ac:dyDescent="0.35">
      <c r="B5" s="257" t="s">
        <v>137</v>
      </c>
      <c r="C5" s="243" t="s">
        <v>138</v>
      </c>
      <c r="D5" s="244">
        <v>118770.49</v>
      </c>
      <c r="E5" s="245">
        <v>127718.806</v>
      </c>
      <c r="F5" s="244">
        <v>78265.073000000004</v>
      </c>
      <c r="G5" s="246">
        <v>80423.129000000001</v>
      </c>
      <c r="H5" s="244">
        <v>420922.978</v>
      </c>
      <c r="I5" s="245">
        <v>440881.68</v>
      </c>
      <c r="J5" s="244">
        <v>246260.81200000001</v>
      </c>
      <c r="K5" s="246">
        <v>237223.77299999999</v>
      </c>
      <c r="L5" s="244">
        <v>-302152.48800000001</v>
      </c>
      <c r="M5" s="260">
        <v>-313162.87400000001</v>
      </c>
    </row>
    <row r="6" spans="2:13" ht="16.5" customHeight="1" x14ac:dyDescent="0.35">
      <c r="B6" s="257" t="s">
        <v>139</v>
      </c>
      <c r="C6" s="243" t="s">
        <v>140</v>
      </c>
      <c r="D6" s="244">
        <v>129088.629</v>
      </c>
      <c r="E6" s="245">
        <v>114533.353</v>
      </c>
      <c r="F6" s="244">
        <v>170182.022</v>
      </c>
      <c r="G6" s="246">
        <v>161761.06</v>
      </c>
      <c r="H6" s="244">
        <v>102974.431</v>
      </c>
      <c r="I6" s="245">
        <v>90718.876000000004</v>
      </c>
      <c r="J6" s="244">
        <v>228146.948</v>
      </c>
      <c r="K6" s="246">
        <v>178305.02499999999</v>
      </c>
      <c r="L6" s="244">
        <v>26114.198000000004</v>
      </c>
      <c r="M6" s="260">
        <v>23814.476999999999</v>
      </c>
    </row>
    <row r="7" spans="2:13" ht="16.5" customHeight="1" x14ac:dyDescent="0.35">
      <c r="B7" s="257" t="s">
        <v>141</v>
      </c>
      <c r="C7" s="243" t="s">
        <v>142</v>
      </c>
      <c r="D7" s="244">
        <v>78418.27</v>
      </c>
      <c r="E7" s="245">
        <v>72408.865999999995</v>
      </c>
      <c r="F7" s="244">
        <v>103773.701</v>
      </c>
      <c r="G7" s="246">
        <v>93572.298999999999</v>
      </c>
      <c r="H7" s="244">
        <v>91457.972999999998</v>
      </c>
      <c r="I7" s="245">
        <v>96192.434999999998</v>
      </c>
      <c r="J7" s="244">
        <v>85863.154999999999</v>
      </c>
      <c r="K7" s="246">
        <v>87124.956999999995</v>
      </c>
      <c r="L7" s="244">
        <v>-13039.702999999994</v>
      </c>
      <c r="M7" s="260">
        <v>-23783.569000000003</v>
      </c>
    </row>
    <row r="8" spans="2:13" ht="16.5" customHeight="1" x14ac:dyDescent="0.35">
      <c r="B8" s="257" t="s">
        <v>143</v>
      </c>
      <c r="C8" s="243" t="s">
        <v>144</v>
      </c>
      <c r="D8" s="244">
        <v>32269.805</v>
      </c>
      <c r="E8" s="245">
        <v>32275.544999999998</v>
      </c>
      <c r="F8" s="244">
        <v>26063.481</v>
      </c>
      <c r="G8" s="246">
        <v>24667.471000000001</v>
      </c>
      <c r="H8" s="244">
        <v>97087.925000000003</v>
      </c>
      <c r="I8" s="245">
        <v>103169.859</v>
      </c>
      <c r="J8" s="244">
        <v>73073.850999999995</v>
      </c>
      <c r="K8" s="246">
        <v>79840.870999999999</v>
      </c>
      <c r="L8" s="244">
        <v>-64818.12</v>
      </c>
      <c r="M8" s="260">
        <v>-70894.313999999998</v>
      </c>
    </row>
    <row r="9" spans="2:13" ht="16.5" customHeight="1" x14ac:dyDescent="0.35">
      <c r="B9" s="257" t="s">
        <v>145</v>
      </c>
      <c r="C9" s="243" t="s">
        <v>146</v>
      </c>
      <c r="D9" s="244">
        <v>42404.232000000004</v>
      </c>
      <c r="E9" s="245">
        <v>40859.998</v>
      </c>
      <c r="F9" s="244">
        <v>64597.357000000004</v>
      </c>
      <c r="G9" s="246">
        <v>83701.752999999997</v>
      </c>
      <c r="H9" s="244">
        <v>78545.05</v>
      </c>
      <c r="I9" s="245">
        <v>77346.816999999995</v>
      </c>
      <c r="J9" s="244">
        <v>96386.331999999995</v>
      </c>
      <c r="K9" s="246">
        <v>108823.432</v>
      </c>
      <c r="L9" s="244">
        <v>-36140.817999999999</v>
      </c>
      <c r="M9" s="260">
        <v>-36486.818999999996</v>
      </c>
    </row>
    <row r="10" spans="2:13" ht="16.5" customHeight="1" x14ac:dyDescent="0.35">
      <c r="B10" s="257" t="s">
        <v>147</v>
      </c>
      <c r="C10" s="243" t="s">
        <v>148</v>
      </c>
      <c r="D10" s="244">
        <v>25426.210999999999</v>
      </c>
      <c r="E10" s="245">
        <v>28415.475999999999</v>
      </c>
      <c r="F10" s="244">
        <v>19346.303</v>
      </c>
      <c r="G10" s="246">
        <v>20608.521000000001</v>
      </c>
      <c r="H10" s="244">
        <v>121899.38800000001</v>
      </c>
      <c r="I10" s="245">
        <v>141998.663</v>
      </c>
      <c r="J10" s="244">
        <v>106985.876</v>
      </c>
      <c r="K10" s="246">
        <v>109228.174</v>
      </c>
      <c r="L10" s="244">
        <v>-96473.177000000011</v>
      </c>
      <c r="M10" s="260">
        <v>-113583.18700000001</v>
      </c>
    </row>
    <row r="11" spans="2:13" ht="16.5" customHeight="1" x14ac:dyDescent="0.35">
      <c r="B11" s="257" t="s">
        <v>149</v>
      </c>
      <c r="C11" s="243" t="s">
        <v>150</v>
      </c>
      <c r="D11" s="244">
        <v>15052.011</v>
      </c>
      <c r="E11" s="245">
        <v>13872.72</v>
      </c>
      <c r="F11" s="244">
        <v>27324.965</v>
      </c>
      <c r="G11" s="246">
        <v>32373.875</v>
      </c>
      <c r="H11" s="244">
        <v>4006.4229999999998</v>
      </c>
      <c r="I11" s="245">
        <v>4059.8829999999998</v>
      </c>
      <c r="J11" s="244">
        <v>4157.3310000000001</v>
      </c>
      <c r="K11" s="246">
        <v>3804.6979999999999</v>
      </c>
      <c r="L11" s="244">
        <v>11045.588</v>
      </c>
      <c r="M11" s="260">
        <v>9812.8369999999995</v>
      </c>
    </row>
    <row r="12" spans="2:13" ht="16.5" customHeight="1" x14ac:dyDescent="0.35">
      <c r="B12" s="257" t="s">
        <v>177</v>
      </c>
      <c r="C12" s="243" t="s">
        <v>178</v>
      </c>
      <c r="D12" s="244">
        <v>681523.48100000003</v>
      </c>
      <c r="E12" s="245">
        <v>670939.82299999997</v>
      </c>
      <c r="F12" s="244">
        <v>323321.08799999999</v>
      </c>
      <c r="G12" s="246">
        <v>310841.701</v>
      </c>
      <c r="H12" s="244">
        <v>345498.75699999998</v>
      </c>
      <c r="I12" s="245">
        <v>384711.158</v>
      </c>
      <c r="J12" s="244">
        <v>168142.902</v>
      </c>
      <c r="K12" s="246">
        <v>182179.815</v>
      </c>
      <c r="L12" s="244">
        <v>336024.72400000005</v>
      </c>
      <c r="M12" s="260">
        <v>286228.66499999998</v>
      </c>
    </row>
    <row r="13" spans="2:13" ht="16.5" customHeight="1" x14ac:dyDescent="0.35">
      <c r="B13" s="257" t="s">
        <v>179</v>
      </c>
      <c r="C13" s="243" t="s">
        <v>180</v>
      </c>
      <c r="D13" s="244">
        <v>432572.37300000002</v>
      </c>
      <c r="E13" s="245">
        <v>415272.97600000002</v>
      </c>
      <c r="F13" s="244">
        <v>407308.91200000001</v>
      </c>
      <c r="G13" s="246">
        <v>396677.50900000002</v>
      </c>
      <c r="H13" s="244">
        <v>78589.331000000006</v>
      </c>
      <c r="I13" s="245">
        <v>92194.668000000005</v>
      </c>
      <c r="J13" s="244">
        <v>68252.736999999994</v>
      </c>
      <c r="K13" s="246">
        <v>78001.767000000007</v>
      </c>
      <c r="L13" s="244">
        <v>353983.04200000002</v>
      </c>
      <c r="M13" s="260">
        <v>323078.30800000002</v>
      </c>
    </row>
    <row r="14" spans="2:13" ht="16.5" customHeight="1" x14ac:dyDescent="0.35">
      <c r="B14" s="257" t="s">
        <v>181</v>
      </c>
      <c r="C14" s="243" t="s">
        <v>182</v>
      </c>
      <c r="D14" s="244">
        <v>16368.888000000001</v>
      </c>
      <c r="E14" s="245">
        <v>16323.561</v>
      </c>
      <c r="F14" s="244">
        <v>8776.6550000000007</v>
      </c>
      <c r="G14" s="246">
        <v>8581.7330000000002</v>
      </c>
      <c r="H14" s="244">
        <v>36676.991000000002</v>
      </c>
      <c r="I14" s="245">
        <v>42908.572</v>
      </c>
      <c r="J14" s="244">
        <v>18377.683000000001</v>
      </c>
      <c r="K14" s="246">
        <v>23606.868999999999</v>
      </c>
      <c r="L14" s="244">
        <v>-20308.103000000003</v>
      </c>
      <c r="M14" s="260">
        <v>-26585.010999999999</v>
      </c>
    </row>
    <row r="15" spans="2:13" ht="16.5" customHeight="1" x14ac:dyDescent="0.35">
      <c r="B15" s="257" t="s">
        <v>183</v>
      </c>
      <c r="C15" s="243" t="s">
        <v>184</v>
      </c>
      <c r="D15" s="244">
        <v>110353.245</v>
      </c>
      <c r="E15" s="245">
        <v>110838.95600000001</v>
      </c>
      <c r="F15" s="244">
        <v>45331.324000000001</v>
      </c>
      <c r="G15" s="246">
        <v>33558.360999999997</v>
      </c>
      <c r="H15" s="244">
        <v>71873.123999999996</v>
      </c>
      <c r="I15" s="245">
        <v>66246.777000000002</v>
      </c>
      <c r="J15" s="244">
        <v>22262.13</v>
      </c>
      <c r="K15" s="246">
        <v>21623.151000000002</v>
      </c>
      <c r="L15" s="244">
        <v>38480.120999999999</v>
      </c>
      <c r="M15" s="260">
        <v>44592.179000000004</v>
      </c>
    </row>
    <row r="16" spans="2:13" ht="16.5" customHeight="1" x14ac:dyDescent="0.35">
      <c r="B16" s="257" t="s">
        <v>185</v>
      </c>
      <c r="C16" s="243" t="s">
        <v>186</v>
      </c>
      <c r="D16" s="244">
        <v>55082.137999999999</v>
      </c>
      <c r="E16" s="245">
        <v>63847.167999999998</v>
      </c>
      <c r="F16" s="244">
        <v>59904.607000000004</v>
      </c>
      <c r="G16" s="246">
        <v>78259.262000000002</v>
      </c>
      <c r="H16" s="244">
        <v>39170.148999999998</v>
      </c>
      <c r="I16" s="245">
        <v>46729.093999999997</v>
      </c>
      <c r="J16" s="244">
        <v>37214.813999999998</v>
      </c>
      <c r="K16" s="246">
        <v>41273.748</v>
      </c>
      <c r="L16" s="244">
        <v>15911.989000000001</v>
      </c>
      <c r="M16" s="260">
        <v>17118.074000000001</v>
      </c>
    </row>
    <row r="17" spans="2:13" ht="16.5" customHeight="1" x14ac:dyDescent="0.35">
      <c r="B17" s="257" t="s">
        <v>187</v>
      </c>
      <c r="C17" s="243" t="s">
        <v>188</v>
      </c>
      <c r="D17" s="244">
        <v>2955.1080000000002</v>
      </c>
      <c r="E17" s="245">
        <v>1969.1669999999999</v>
      </c>
      <c r="F17" s="244">
        <v>5231.6530000000002</v>
      </c>
      <c r="G17" s="246">
        <v>4628.6689999999999</v>
      </c>
      <c r="H17" s="244">
        <v>15694.460999999999</v>
      </c>
      <c r="I17" s="245">
        <v>18064.044000000002</v>
      </c>
      <c r="J17" s="244">
        <v>13292.862999999999</v>
      </c>
      <c r="K17" s="246">
        <v>13692.714</v>
      </c>
      <c r="L17" s="244">
        <v>-12739.352999999999</v>
      </c>
      <c r="M17" s="260">
        <v>-16094.877000000002</v>
      </c>
    </row>
    <row r="18" spans="2:13" ht="16.5" customHeight="1" x14ac:dyDescent="0.35">
      <c r="B18" s="257" t="s">
        <v>189</v>
      </c>
      <c r="C18" s="243" t="s">
        <v>190</v>
      </c>
      <c r="D18" s="244">
        <v>7851.5829999999996</v>
      </c>
      <c r="E18" s="245">
        <v>7143.3630000000003</v>
      </c>
      <c r="F18" s="244">
        <v>2318.8670000000002</v>
      </c>
      <c r="G18" s="246">
        <v>1537.518</v>
      </c>
      <c r="H18" s="244">
        <v>110115.17</v>
      </c>
      <c r="I18" s="245">
        <v>131974.163</v>
      </c>
      <c r="J18" s="244">
        <v>25099.96</v>
      </c>
      <c r="K18" s="246">
        <v>25363.728999999999</v>
      </c>
      <c r="L18" s="244">
        <v>-102263.587</v>
      </c>
      <c r="M18" s="260">
        <v>-124830.8</v>
      </c>
    </row>
    <row r="19" spans="2:13" ht="16.5" customHeight="1" x14ac:dyDescent="0.35">
      <c r="B19" s="257" t="s">
        <v>191</v>
      </c>
      <c r="C19" s="243" t="s">
        <v>192</v>
      </c>
      <c r="D19" s="244">
        <v>15313.968000000001</v>
      </c>
      <c r="E19" s="245">
        <v>25671.537</v>
      </c>
      <c r="F19" s="244">
        <v>3571.24</v>
      </c>
      <c r="G19" s="246">
        <v>3957.0929999999998</v>
      </c>
      <c r="H19" s="244">
        <v>245253.53700000001</v>
      </c>
      <c r="I19" s="245">
        <v>382864.16200000001</v>
      </c>
      <c r="J19" s="244">
        <v>35186.319000000003</v>
      </c>
      <c r="K19" s="246">
        <v>45446.811999999998</v>
      </c>
      <c r="L19" s="244">
        <v>-229939.56900000002</v>
      </c>
      <c r="M19" s="260">
        <v>-357192.625</v>
      </c>
    </row>
    <row r="20" spans="2:13" ht="16.5" customHeight="1" x14ac:dyDescent="0.35">
      <c r="B20" s="257" t="s">
        <v>151</v>
      </c>
      <c r="C20" s="243" t="s">
        <v>27</v>
      </c>
      <c r="D20" s="244">
        <v>39439.760999999999</v>
      </c>
      <c r="E20" s="245">
        <v>41341.321000000004</v>
      </c>
      <c r="F20" s="244">
        <v>42826.396000000001</v>
      </c>
      <c r="G20" s="246">
        <v>43041.178</v>
      </c>
      <c r="H20" s="244">
        <v>358825.07500000001</v>
      </c>
      <c r="I20" s="245">
        <v>358529.70500000002</v>
      </c>
      <c r="J20" s="244">
        <v>520864.96899999998</v>
      </c>
      <c r="K20" s="246">
        <v>496169.03899999999</v>
      </c>
      <c r="L20" s="244">
        <v>-319385.31400000001</v>
      </c>
      <c r="M20" s="260">
        <v>-317188.38400000002</v>
      </c>
    </row>
    <row r="21" spans="2:13" ht="16.5" customHeight="1" x14ac:dyDescent="0.35">
      <c r="B21" s="257" t="s">
        <v>167</v>
      </c>
      <c r="C21" s="243" t="s">
        <v>168</v>
      </c>
      <c r="D21" s="244">
        <v>25378.289000000001</v>
      </c>
      <c r="E21" s="245">
        <v>34319.896000000001</v>
      </c>
      <c r="F21" s="244">
        <v>11064.236000000001</v>
      </c>
      <c r="G21" s="246">
        <v>14672.114</v>
      </c>
      <c r="H21" s="244">
        <v>209006.728</v>
      </c>
      <c r="I21" s="245">
        <v>228684.935</v>
      </c>
      <c r="J21" s="244">
        <v>85670.934999999998</v>
      </c>
      <c r="K21" s="246">
        <v>97641.572</v>
      </c>
      <c r="L21" s="244">
        <v>-183628.43900000001</v>
      </c>
      <c r="M21" s="260">
        <v>-194365.03899999999</v>
      </c>
    </row>
    <row r="22" spans="2:13" ht="16.5" customHeight="1" x14ac:dyDescent="0.35">
      <c r="B22" s="257" t="s">
        <v>152</v>
      </c>
      <c r="C22" s="243" t="s">
        <v>153</v>
      </c>
      <c r="D22" s="244">
        <v>32473.885999999999</v>
      </c>
      <c r="E22" s="245">
        <v>37089.072</v>
      </c>
      <c r="F22" s="244">
        <v>32746.687000000002</v>
      </c>
      <c r="G22" s="246">
        <v>36387.131000000001</v>
      </c>
      <c r="H22" s="244">
        <v>528723.62199999997</v>
      </c>
      <c r="I22" s="245">
        <v>565251.22400000005</v>
      </c>
      <c r="J22" s="244">
        <v>517739.52600000001</v>
      </c>
      <c r="K22" s="246">
        <v>492664.90500000003</v>
      </c>
      <c r="L22" s="244">
        <v>-496249.73599999998</v>
      </c>
      <c r="M22" s="260">
        <v>-528162.152</v>
      </c>
    </row>
    <row r="23" spans="2:13" ht="16.5" customHeight="1" x14ac:dyDescent="0.35">
      <c r="B23" s="257" t="s">
        <v>154</v>
      </c>
      <c r="C23" s="243" t="s">
        <v>155</v>
      </c>
      <c r="D23" s="244">
        <v>8341.9689999999991</v>
      </c>
      <c r="E23" s="245">
        <v>9850.9439999999995</v>
      </c>
      <c r="F23" s="244">
        <v>4305.21</v>
      </c>
      <c r="G23" s="246">
        <v>4062.34</v>
      </c>
      <c r="H23" s="244">
        <v>285879.58100000001</v>
      </c>
      <c r="I23" s="245">
        <v>305314.12</v>
      </c>
      <c r="J23" s="244">
        <v>139383.43100000001</v>
      </c>
      <c r="K23" s="246">
        <v>153358.81400000001</v>
      </c>
      <c r="L23" s="244">
        <v>-277537.61200000002</v>
      </c>
      <c r="M23" s="260">
        <v>-295463.17599999998</v>
      </c>
    </row>
    <row r="24" spans="2:13" ht="16.5" customHeight="1" x14ac:dyDescent="0.35">
      <c r="B24" s="257" t="s">
        <v>156</v>
      </c>
      <c r="C24" s="243" t="s">
        <v>157</v>
      </c>
      <c r="D24" s="244">
        <v>2835.806</v>
      </c>
      <c r="E24" s="245">
        <v>2998.3380000000002</v>
      </c>
      <c r="F24" s="244">
        <v>3636.6849999999999</v>
      </c>
      <c r="G24" s="246">
        <v>4519.5330000000004</v>
      </c>
      <c r="H24" s="244">
        <v>144339.302</v>
      </c>
      <c r="I24" s="245">
        <v>142134.19</v>
      </c>
      <c r="J24" s="244">
        <v>223717.34599999999</v>
      </c>
      <c r="K24" s="246">
        <v>224839.50099999999</v>
      </c>
      <c r="L24" s="244">
        <v>-141503.49599999998</v>
      </c>
      <c r="M24" s="260">
        <v>-139135.85200000001</v>
      </c>
    </row>
    <row r="25" spans="2:13" ht="16.5" customHeight="1" x14ac:dyDescent="0.35">
      <c r="B25" s="257" t="s">
        <v>158</v>
      </c>
      <c r="C25" s="243" t="s">
        <v>159</v>
      </c>
      <c r="D25" s="244">
        <v>524745.56299999997</v>
      </c>
      <c r="E25" s="245">
        <v>530111.89899999998</v>
      </c>
      <c r="F25" s="244">
        <v>900138.34100000001</v>
      </c>
      <c r="G25" s="246">
        <v>789208.52500000002</v>
      </c>
      <c r="H25" s="244">
        <v>43104.131000000001</v>
      </c>
      <c r="I25" s="245">
        <v>57694.887000000002</v>
      </c>
      <c r="J25" s="244">
        <v>36921.964</v>
      </c>
      <c r="K25" s="246">
        <v>45733.737000000001</v>
      </c>
      <c r="L25" s="244">
        <v>481641.43199999997</v>
      </c>
      <c r="M25" s="260">
        <v>472417.01199999999</v>
      </c>
    </row>
    <row r="26" spans="2:13" ht="16.5" customHeight="1" x14ac:dyDescent="0.35">
      <c r="B26" s="257" t="s">
        <v>160</v>
      </c>
      <c r="C26" s="243" t="s">
        <v>161</v>
      </c>
      <c r="D26" s="244">
        <v>24011.463</v>
      </c>
      <c r="E26" s="245">
        <v>27182.379000000001</v>
      </c>
      <c r="F26" s="244">
        <v>22161.883000000002</v>
      </c>
      <c r="G26" s="246">
        <v>18836.449000000001</v>
      </c>
      <c r="H26" s="244">
        <v>219973.75899999999</v>
      </c>
      <c r="I26" s="245">
        <v>216723.535</v>
      </c>
      <c r="J26" s="244">
        <v>149121.49</v>
      </c>
      <c r="K26" s="246">
        <v>117018.872</v>
      </c>
      <c r="L26" s="244">
        <v>-195962.296</v>
      </c>
      <c r="M26" s="260">
        <v>-189541.15600000002</v>
      </c>
    </row>
    <row r="27" spans="2:13" ht="16.5" customHeight="1" x14ac:dyDescent="0.35">
      <c r="B27" s="257" t="s">
        <v>169</v>
      </c>
      <c r="C27" s="243" t="s">
        <v>170</v>
      </c>
      <c r="D27" s="244">
        <v>292567.88199999998</v>
      </c>
      <c r="E27" s="245">
        <v>281130.08199999999</v>
      </c>
      <c r="F27" s="244">
        <v>70540.002999999997</v>
      </c>
      <c r="G27" s="246">
        <v>65970.394</v>
      </c>
      <c r="H27" s="244">
        <v>423150.09700000001</v>
      </c>
      <c r="I27" s="245">
        <v>516564.96399999998</v>
      </c>
      <c r="J27" s="244">
        <v>109894.761</v>
      </c>
      <c r="K27" s="246">
        <v>124926.08199999999</v>
      </c>
      <c r="L27" s="244">
        <v>-130582.21500000003</v>
      </c>
      <c r="M27" s="260">
        <v>-235434.88199999998</v>
      </c>
    </row>
  </sheetData>
  <printOptions horizontalCentered="1"/>
  <pageMargins left="0.196850393700787" right="0.196850393700787" top="0.74173228346456999" bottom="0.511811023622047" header="0.196850393700787" footer="0.23622047244094502"/>
  <pageSetup paperSize="9" scale="90" orientation="landscape" r:id="rId1"/>
  <headerFooter alignWithMargins="0">
    <oddHeader>&amp;L&amp;"Times New Roman CE,Pogrubiona kursywa"&amp;12DRE&amp;C
&amp;8
&amp;"Times New Roman CE,Pogrubiona"&amp;14Polski handel zagraniczny towarami rolno-spożywczymi w okresie I-XI 2025 r. - dane wstępne (UE + kraje trzecie).</oddHeader>
    <oddFooter>&amp;L&amp;"Times New Roman CE,Pogrubiona kursywa"&amp;12 Źródło: Min. Finansów&amp;CStrona &amp;P&amp;R&amp;"Times New Roman CE,Pogrubiona kursywa"&amp;12Przygotował: Adam Pachnicki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R28"/>
  <sheetViews>
    <sheetView showGridLines="0" topLeftCell="E4" zoomScaleNormal="100" workbookViewId="0">
      <selection activeCell="M10" sqref="M10"/>
    </sheetView>
  </sheetViews>
  <sheetFormatPr defaultColWidth="9.1796875" defaultRowHeight="13" x14ac:dyDescent="0.3"/>
  <cols>
    <col min="1" max="1" width="10.7265625" style="312" customWidth="1"/>
    <col min="2" max="2" width="15.7265625" style="312" customWidth="1"/>
    <col min="3" max="5" width="10.7265625" style="312" customWidth="1"/>
    <col min="6" max="6" width="15.7265625" style="312" customWidth="1"/>
    <col min="7" max="8" width="10.7265625" style="312" customWidth="1"/>
    <col min="9" max="10" width="5.7265625" style="312" customWidth="1"/>
    <col min="11" max="11" width="15.7265625" style="312" customWidth="1"/>
    <col min="12" max="14" width="10.7265625" style="312" customWidth="1"/>
    <col min="15" max="15" width="15.7265625" style="312" customWidth="1"/>
    <col min="16" max="16" width="10" style="312" customWidth="1"/>
    <col min="17" max="17" width="10.7265625" style="312" customWidth="1"/>
    <col min="18" max="18" width="14.1796875" style="312" customWidth="1"/>
    <col min="19" max="16384" width="9.1796875" style="312"/>
  </cols>
  <sheetData>
    <row r="1" spans="1:18" s="53" customFormat="1" ht="25" customHeight="1" x14ac:dyDescent="0.25">
      <c r="C1" s="198"/>
      <c r="E1" s="54"/>
      <c r="J1" s="55"/>
      <c r="K1" s="56"/>
    </row>
    <row r="2" spans="1:18" s="53" customFormat="1" ht="25" customHeight="1" x14ac:dyDescent="0.25">
      <c r="A2" s="307"/>
      <c r="B2" s="58" t="s">
        <v>370</v>
      </c>
      <c r="C2" s="72"/>
      <c r="D2" s="308"/>
      <c r="E2" s="308"/>
      <c r="F2" s="308"/>
      <c r="G2" s="308"/>
      <c r="H2" s="308"/>
      <c r="I2" s="308"/>
    </row>
    <row r="3" spans="1:18" s="53" customFormat="1" ht="25" customHeight="1" thickBot="1" x14ac:dyDescent="0.35">
      <c r="B3" s="61"/>
      <c r="C3" s="230"/>
      <c r="D3" s="230"/>
      <c r="E3" s="232"/>
      <c r="F3" s="233"/>
      <c r="G3" s="309"/>
      <c r="H3" s="310"/>
      <c r="I3" s="236"/>
      <c r="J3" s="236"/>
      <c r="K3" s="236"/>
      <c r="L3" s="236"/>
      <c r="M3" s="236"/>
      <c r="N3" s="236"/>
      <c r="O3" s="236"/>
      <c r="P3" s="236"/>
      <c r="Q3" s="236"/>
    </row>
    <row r="4" spans="1:18" s="53" customFormat="1" ht="25" customHeight="1" thickTop="1" x14ac:dyDescent="0.3">
      <c r="B4" s="311" t="s">
        <v>366</v>
      </c>
      <c r="C4" s="72"/>
      <c r="D4" s="71"/>
      <c r="E4" s="72"/>
      <c r="F4" s="201"/>
      <c r="G4" s="312"/>
      <c r="H4" s="308"/>
      <c r="K4" s="312"/>
      <c r="L4" s="312"/>
      <c r="M4" s="312"/>
      <c r="P4" s="312"/>
      <c r="Q4" s="240" t="str">
        <f>[3]POMOC!B5</f>
        <v>Notowania 12 - 18.01.2026 / Tydzień 3</v>
      </c>
    </row>
    <row r="5" spans="1:18" s="313" customFormat="1" ht="20.149999999999999" customHeight="1" x14ac:dyDescent="0.25">
      <c r="B5" s="451" t="s">
        <v>367</v>
      </c>
      <c r="C5" s="314"/>
      <c r="D5" s="315"/>
      <c r="E5" s="315"/>
      <c r="F5" s="315"/>
      <c r="M5" s="53"/>
      <c r="N5" s="53"/>
    </row>
    <row r="6" spans="1:18" s="313" customFormat="1" ht="20.149999999999999" customHeight="1" x14ac:dyDescent="0.45">
      <c r="B6" s="11" t="s">
        <v>121</v>
      </c>
      <c r="C6" s="10"/>
      <c r="D6" s="10"/>
      <c r="E6" s="10"/>
      <c r="F6" s="10"/>
      <c r="G6" s="10"/>
      <c r="H6" s="10"/>
      <c r="I6" s="10"/>
      <c r="J6" s="11" t="s">
        <v>165</v>
      </c>
      <c r="K6" s="10"/>
      <c r="L6" s="10"/>
      <c r="M6" s="10"/>
      <c r="N6" s="10"/>
      <c r="O6" s="10"/>
    </row>
    <row r="7" spans="1:18" s="317" customFormat="1" ht="20.149999999999999" customHeight="1" x14ac:dyDescent="0.4">
      <c r="B7" s="300" t="s">
        <v>364</v>
      </c>
      <c r="C7" s="301"/>
      <c r="D7" s="301"/>
      <c r="E7" s="301"/>
      <c r="F7" s="302"/>
      <c r="G7" s="303"/>
      <c r="H7" s="304"/>
      <c r="I7" s="318"/>
      <c r="J7" s="318"/>
      <c r="K7" s="300" t="s">
        <v>364</v>
      </c>
      <c r="L7" s="301"/>
      <c r="M7" s="316"/>
      <c r="N7" s="316"/>
      <c r="O7" s="319"/>
      <c r="P7" s="320"/>
      <c r="Q7" s="320"/>
    </row>
    <row r="8" spans="1:18" ht="20.149999999999999" customHeight="1" x14ac:dyDescent="0.4">
      <c r="B8" s="281" t="s">
        <v>418</v>
      </c>
      <c r="C8" s="282"/>
      <c r="D8" s="283"/>
      <c r="E8" s="305"/>
      <c r="F8" s="281" t="s">
        <v>419</v>
      </c>
      <c r="G8" s="282"/>
      <c r="H8" s="283"/>
      <c r="I8" s="321"/>
      <c r="J8" s="321"/>
      <c r="K8" s="281" t="s">
        <v>418</v>
      </c>
      <c r="L8" s="282"/>
      <c r="M8" s="283"/>
      <c r="N8" s="305"/>
      <c r="O8" s="281" t="s">
        <v>419</v>
      </c>
      <c r="P8" s="282"/>
      <c r="Q8" s="283"/>
      <c r="R8" s="322"/>
    </row>
    <row r="9" spans="1:18" ht="40" customHeight="1" thickBot="1" x14ac:dyDescent="0.35">
      <c r="B9" s="284" t="s">
        <v>108</v>
      </c>
      <c r="C9" s="285" t="s">
        <v>109</v>
      </c>
      <c r="D9" s="286" t="s">
        <v>420</v>
      </c>
      <c r="E9" s="241"/>
      <c r="F9" s="284" t="s">
        <v>108</v>
      </c>
      <c r="G9" s="285" t="s">
        <v>109</v>
      </c>
      <c r="H9" s="286" t="s">
        <v>420</v>
      </c>
      <c r="K9" s="284" t="s">
        <v>108</v>
      </c>
      <c r="L9" s="285" t="s">
        <v>109</v>
      </c>
      <c r="M9" s="286" t="s">
        <v>420</v>
      </c>
      <c r="N9" s="241"/>
      <c r="O9" s="284" t="s">
        <v>108</v>
      </c>
      <c r="P9" s="285" t="s">
        <v>109</v>
      </c>
      <c r="Q9" s="286" t="s">
        <v>420</v>
      </c>
      <c r="R9" s="322"/>
    </row>
    <row r="10" spans="1:18" ht="20.149999999999999" customHeight="1" x14ac:dyDescent="0.35">
      <c r="B10" s="287" t="s">
        <v>110</v>
      </c>
      <c r="C10" s="288">
        <v>477007.24900000001</v>
      </c>
      <c r="D10" s="289">
        <v>806264.68599999999</v>
      </c>
      <c r="E10" s="241"/>
      <c r="F10" s="287" t="s">
        <v>110</v>
      </c>
      <c r="G10" s="288">
        <v>486212.408</v>
      </c>
      <c r="H10" s="289">
        <v>700508.13699999999</v>
      </c>
      <c r="K10" s="287" t="s">
        <v>110</v>
      </c>
      <c r="L10" s="288">
        <v>118770.49</v>
      </c>
      <c r="M10" s="289">
        <v>78265.073000000004</v>
      </c>
      <c r="N10" s="241"/>
      <c r="O10" s="287" t="s">
        <v>110</v>
      </c>
      <c r="P10" s="288">
        <v>127718.806</v>
      </c>
      <c r="Q10" s="289">
        <v>80423.129000000001</v>
      </c>
      <c r="R10" s="322"/>
    </row>
    <row r="11" spans="1:18" ht="20.149999999999999" customHeight="1" x14ac:dyDescent="0.35">
      <c r="B11" s="290" t="s">
        <v>116</v>
      </c>
      <c r="C11" s="291">
        <v>57867.332999999999</v>
      </c>
      <c r="D11" s="292">
        <v>111789.819</v>
      </c>
      <c r="E11" s="241"/>
      <c r="F11" s="290" t="s">
        <v>111</v>
      </c>
      <c r="G11" s="296">
        <v>44556.36</v>
      </c>
      <c r="H11" s="306">
        <v>62719.406999999999</v>
      </c>
      <c r="K11" s="290" t="s">
        <v>116</v>
      </c>
      <c r="L11" s="291">
        <v>37684.673999999999</v>
      </c>
      <c r="M11" s="292">
        <v>19389.457999999999</v>
      </c>
      <c r="N11" s="241"/>
      <c r="O11" s="290" t="s">
        <v>116</v>
      </c>
      <c r="P11" s="296">
        <v>35678.281999999999</v>
      </c>
      <c r="Q11" s="306">
        <v>16870.822</v>
      </c>
      <c r="R11" s="323"/>
    </row>
    <row r="12" spans="1:18" ht="20.149999999999999" customHeight="1" x14ac:dyDescent="0.35">
      <c r="B12" s="293" t="s">
        <v>113</v>
      </c>
      <c r="C12" s="294">
        <v>33670.529000000002</v>
      </c>
      <c r="D12" s="295">
        <v>56733.489000000001</v>
      </c>
      <c r="E12" s="241"/>
      <c r="F12" s="293" t="s">
        <v>113</v>
      </c>
      <c r="G12" s="294">
        <v>43974.120999999999</v>
      </c>
      <c r="H12" s="295">
        <v>57414.521000000001</v>
      </c>
      <c r="K12" s="293" t="s">
        <v>172</v>
      </c>
      <c r="L12" s="294">
        <v>23794.027999999998</v>
      </c>
      <c r="M12" s="295">
        <v>12230.875</v>
      </c>
      <c r="N12" s="241"/>
      <c r="O12" s="293" t="s">
        <v>172</v>
      </c>
      <c r="P12" s="294">
        <v>32468.342000000001</v>
      </c>
      <c r="Q12" s="295">
        <v>14711.92</v>
      </c>
      <c r="R12" s="323"/>
    </row>
    <row r="13" spans="1:18" ht="20.149999999999999" customHeight="1" x14ac:dyDescent="0.35">
      <c r="B13" s="293" t="s">
        <v>111</v>
      </c>
      <c r="C13" s="294">
        <v>32613.758000000002</v>
      </c>
      <c r="D13" s="295">
        <v>49925.33</v>
      </c>
      <c r="E13" s="241"/>
      <c r="F13" s="293" t="s">
        <v>116</v>
      </c>
      <c r="G13" s="294">
        <v>41697.462</v>
      </c>
      <c r="H13" s="295">
        <v>76603.03</v>
      </c>
      <c r="K13" s="293" t="s">
        <v>163</v>
      </c>
      <c r="L13" s="294">
        <v>13105.591</v>
      </c>
      <c r="M13" s="295">
        <v>11893.771000000001</v>
      </c>
      <c r="N13" s="241"/>
      <c r="O13" s="293" t="s">
        <v>163</v>
      </c>
      <c r="P13" s="294">
        <v>15446.839</v>
      </c>
      <c r="Q13" s="295">
        <v>12982.968999999999</v>
      </c>
      <c r="R13" s="323"/>
    </row>
    <row r="14" spans="1:18" ht="20.149999999999999" customHeight="1" x14ac:dyDescent="0.35">
      <c r="B14" s="293" t="s">
        <v>172</v>
      </c>
      <c r="C14" s="294">
        <v>30039.133000000002</v>
      </c>
      <c r="D14" s="295">
        <v>64552.434999999998</v>
      </c>
      <c r="E14" s="241"/>
      <c r="F14" s="293" t="s">
        <v>115</v>
      </c>
      <c r="G14" s="294">
        <v>28312.106</v>
      </c>
      <c r="H14" s="295">
        <v>37366.124000000003</v>
      </c>
      <c r="K14" s="293" t="s">
        <v>118</v>
      </c>
      <c r="L14" s="294">
        <v>6070.1289999999999</v>
      </c>
      <c r="M14" s="295">
        <v>3500.4780000000001</v>
      </c>
      <c r="N14" s="241"/>
      <c r="O14" s="293" t="s">
        <v>118</v>
      </c>
      <c r="P14" s="294">
        <v>6774.1620000000003</v>
      </c>
      <c r="Q14" s="295">
        <v>4065.17</v>
      </c>
      <c r="R14" s="323"/>
    </row>
    <row r="15" spans="1:18" ht="20.149999999999999" customHeight="1" x14ac:dyDescent="0.35">
      <c r="B15" s="293" t="s">
        <v>114</v>
      </c>
      <c r="C15" s="294">
        <v>27433.207999999999</v>
      </c>
      <c r="D15" s="295">
        <v>36502.19</v>
      </c>
      <c r="E15" s="241"/>
      <c r="F15" s="293" t="s">
        <v>114</v>
      </c>
      <c r="G15" s="294">
        <v>25530.056</v>
      </c>
      <c r="H15" s="295">
        <v>32109.57</v>
      </c>
      <c r="K15" s="293" t="s">
        <v>124</v>
      </c>
      <c r="L15" s="294">
        <v>6009.3059999999996</v>
      </c>
      <c r="M15" s="295">
        <v>4814.1459999999997</v>
      </c>
      <c r="N15" s="241"/>
      <c r="O15" s="293" t="s">
        <v>120</v>
      </c>
      <c r="P15" s="294">
        <v>5193.759</v>
      </c>
      <c r="Q15" s="295">
        <v>4564.0590000000002</v>
      </c>
      <c r="R15" s="323"/>
    </row>
    <row r="16" spans="1:18" ht="20.149999999999999" customHeight="1" x14ac:dyDescent="0.35">
      <c r="B16" s="293" t="s">
        <v>115</v>
      </c>
      <c r="C16" s="294">
        <v>24858.527999999998</v>
      </c>
      <c r="D16" s="295">
        <v>39726.658000000003</v>
      </c>
      <c r="E16" s="241"/>
      <c r="F16" s="293" t="s">
        <v>112</v>
      </c>
      <c r="G16" s="294">
        <v>22781.441999999999</v>
      </c>
      <c r="H16" s="295">
        <v>35680.951999999997</v>
      </c>
      <c r="K16" s="293" t="s">
        <v>115</v>
      </c>
      <c r="L16" s="294">
        <v>4631.4639999999999</v>
      </c>
      <c r="M16" s="295">
        <v>3523.2719999999999</v>
      </c>
      <c r="N16" s="241"/>
      <c r="O16" s="293" t="s">
        <v>119</v>
      </c>
      <c r="P16" s="294">
        <v>4131.3339999999998</v>
      </c>
      <c r="Q16" s="295">
        <v>2514.5540000000001</v>
      </c>
      <c r="R16" s="323"/>
    </row>
    <row r="17" spans="2:18" ht="20.149999999999999" customHeight="1" x14ac:dyDescent="0.35">
      <c r="B17" s="293" t="s">
        <v>289</v>
      </c>
      <c r="C17" s="294">
        <v>22469.752</v>
      </c>
      <c r="D17" s="295">
        <v>49837.466</v>
      </c>
      <c r="E17" s="241"/>
      <c r="F17" s="293" t="s">
        <v>172</v>
      </c>
      <c r="G17" s="294">
        <v>22191.287</v>
      </c>
      <c r="H17" s="295">
        <v>39796.766000000003</v>
      </c>
      <c r="K17" s="293" t="s">
        <v>120</v>
      </c>
      <c r="L17" s="294">
        <v>4525.6710000000003</v>
      </c>
      <c r="M17" s="295">
        <v>3643.4409999999998</v>
      </c>
      <c r="N17" s="241"/>
      <c r="O17" s="293" t="s">
        <v>115</v>
      </c>
      <c r="P17" s="294">
        <v>3901.0529999999999</v>
      </c>
      <c r="Q17" s="295">
        <v>2934.0659999999998</v>
      </c>
      <c r="R17" s="323"/>
    </row>
    <row r="18" spans="2:18" ht="20.149999999999999" customHeight="1" x14ac:dyDescent="0.35">
      <c r="B18" s="293" t="s">
        <v>119</v>
      </c>
      <c r="C18" s="294">
        <v>19970.989000000001</v>
      </c>
      <c r="D18" s="295">
        <v>27948.481</v>
      </c>
      <c r="E18" s="241"/>
      <c r="F18" s="293" t="s">
        <v>201</v>
      </c>
      <c r="G18" s="294">
        <v>21094.25</v>
      </c>
      <c r="H18" s="295">
        <v>30551.64</v>
      </c>
      <c r="K18" s="293" t="s">
        <v>208</v>
      </c>
      <c r="L18" s="294">
        <v>3824.25</v>
      </c>
      <c r="M18" s="295">
        <v>3975.6579999999999</v>
      </c>
      <c r="N18" s="241"/>
      <c r="O18" s="293" t="s">
        <v>208</v>
      </c>
      <c r="P18" s="294">
        <v>3577.9670000000001</v>
      </c>
      <c r="Q18" s="295">
        <v>3864.8850000000002</v>
      </c>
      <c r="R18" s="323"/>
    </row>
    <row r="19" spans="2:18" ht="20.149999999999999" customHeight="1" x14ac:dyDescent="0.35">
      <c r="B19" s="293" t="s">
        <v>118</v>
      </c>
      <c r="C19" s="294">
        <v>19033.955000000002</v>
      </c>
      <c r="D19" s="295">
        <v>26116.881000000001</v>
      </c>
      <c r="E19" s="241"/>
      <c r="F19" s="293" t="s">
        <v>119</v>
      </c>
      <c r="G19" s="294">
        <v>19925.550999999999</v>
      </c>
      <c r="H19" s="295">
        <v>23047.834999999999</v>
      </c>
      <c r="K19" s="293" t="s">
        <v>127</v>
      </c>
      <c r="L19" s="294">
        <v>3360.3290000000002</v>
      </c>
      <c r="M19" s="295">
        <v>2980.0749999999998</v>
      </c>
      <c r="N19" s="241"/>
      <c r="O19" s="293" t="s">
        <v>112</v>
      </c>
      <c r="P19" s="294">
        <v>3047.7249999999999</v>
      </c>
      <c r="Q19" s="295">
        <v>2782.2570000000001</v>
      </c>
      <c r="R19" s="323"/>
    </row>
    <row r="20" spans="2:18" ht="20.149999999999999" customHeight="1" x14ac:dyDescent="0.35">
      <c r="B20" s="293" t="s">
        <v>123</v>
      </c>
      <c r="C20" s="294">
        <v>18373.113000000001</v>
      </c>
      <c r="D20" s="295">
        <v>36300.870999999999</v>
      </c>
      <c r="E20" s="241"/>
      <c r="F20" s="293" t="s">
        <v>289</v>
      </c>
      <c r="G20" s="294">
        <v>19620.358</v>
      </c>
      <c r="H20" s="295">
        <v>40302.203999999998</v>
      </c>
      <c r="K20" s="293" t="s">
        <v>164</v>
      </c>
      <c r="L20" s="294">
        <v>2815.527</v>
      </c>
      <c r="M20" s="295">
        <v>2347.6469999999999</v>
      </c>
      <c r="N20" s="241"/>
      <c r="O20" s="293" t="s">
        <v>124</v>
      </c>
      <c r="P20" s="294">
        <v>3027.1869999999999</v>
      </c>
      <c r="Q20" s="295">
        <v>2595.056</v>
      </c>
      <c r="R20" s="323"/>
    </row>
    <row r="21" spans="2:18" ht="20.149999999999999" customHeight="1" x14ac:dyDescent="0.35">
      <c r="B21" s="293" t="s">
        <v>117</v>
      </c>
      <c r="C21" s="294">
        <v>16763.657999999999</v>
      </c>
      <c r="D21" s="295">
        <v>24837.097000000002</v>
      </c>
      <c r="E21" s="241"/>
      <c r="F21" s="293" t="s">
        <v>120</v>
      </c>
      <c r="G21" s="294">
        <v>16914.04</v>
      </c>
      <c r="H21" s="295">
        <v>23227.383000000002</v>
      </c>
      <c r="K21" s="293" t="s">
        <v>123</v>
      </c>
      <c r="L21" s="294">
        <v>2226.902</v>
      </c>
      <c r="M21" s="295">
        <v>2002.4290000000001</v>
      </c>
      <c r="N21" s="241"/>
      <c r="O21" s="293" t="s">
        <v>117</v>
      </c>
      <c r="P21" s="294">
        <v>2674.9430000000002</v>
      </c>
      <c r="Q21" s="295">
        <v>2614.7979999999998</v>
      </c>
      <c r="R21" s="323"/>
    </row>
    <row r="22" spans="2:18" ht="20.149999999999999" customHeight="1" x14ac:dyDescent="0.35">
      <c r="B22" s="293" t="s">
        <v>201</v>
      </c>
      <c r="C22" s="294">
        <v>14988.316000000001</v>
      </c>
      <c r="D22" s="295">
        <v>28111.281999999999</v>
      </c>
      <c r="E22" s="241"/>
      <c r="F22" s="293" t="s">
        <v>117</v>
      </c>
      <c r="G22" s="294">
        <v>12877.455</v>
      </c>
      <c r="H22" s="295">
        <v>16281.914000000001</v>
      </c>
      <c r="K22" s="293" t="s">
        <v>119</v>
      </c>
      <c r="L22" s="294">
        <v>2144.4119999999998</v>
      </c>
      <c r="M22" s="295">
        <v>1281.0999999999999</v>
      </c>
      <c r="N22" s="241"/>
      <c r="O22" s="293" t="s">
        <v>127</v>
      </c>
      <c r="P22" s="294">
        <v>2633.99</v>
      </c>
      <c r="Q22" s="295">
        <v>2434.3890000000001</v>
      </c>
      <c r="R22" s="323"/>
    </row>
    <row r="23" spans="2:18" ht="20.149999999999999" customHeight="1" x14ac:dyDescent="0.35">
      <c r="B23" s="293" t="s">
        <v>112</v>
      </c>
      <c r="C23" s="294">
        <v>12330.199000000001</v>
      </c>
      <c r="D23" s="295">
        <v>24681.040000000001</v>
      </c>
      <c r="E23" s="241"/>
      <c r="F23" s="293" t="s">
        <v>118</v>
      </c>
      <c r="G23" s="294">
        <v>12822.665999999999</v>
      </c>
      <c r="H23" s="295">
        <v>15261.061</v>
      </c>
      <c r="K23" s="293" t="s">
        <v>117</v>
      </c>
      <c r="L23" s="294">
        <v>1229.7739999999999</v>
      </c>
      <c r="M23" s="295">
        <v>1140.0329999999999</v>
      </c>
      <c r="N23" s="241"/>
      <c r="O23" s="293" t="s">
        <v>164</v>
      </c>
      <c r="P23" s="294">
        <v>2233.2759999999998</v>
      </c>
      <c r="Q23" s="295">
        <v>1594.001</v>
      </c>
      <c r="R23" s="323"/>
    </row>
    <row r="24" spans="2:18" ht="20.149999999999999" customHeight="1" x14ac:dyDescent="0.35">
      <c r="B24" s="293" t="s">
        <v>363</v>
      </c>
      <c r="C24" s="294">
        <v>9933.7540000000008</v>
      </c>
      <c r="D24" s="295">
        <v>16666.478999999999</v>
      </c>
      <c r="E24" s="241"/>
      <c r="F24" s="293" t="s">
        <v>163</v>
      </c>
      <c r="G24" s="294">
        <v>11756.689</v>
      </c>
      <c r="H24" s="295">
        <v>13267.849</v>
      </c>
      <c r="K24" s="293" t="s">
        <v>112</v>
      </c>
      <c r="L24" s="294">
        <v>1186.3109999999999</v>
      </c>
      <c r="M24" s="295">
        <v>1194.8009999999999</v>
      </c>
      <c r="N24" s="241"/>
      <c r="O24" s="293" t="s">
        <v>123</v>
      </c>
      <c r="P24" s="294">
        <v>1730.222</v>
      </c>
      <c r="Q24" s="295">
        <v>1744.847</v>
      </c>
      <c r="R24" s="323"/>
    </row>
    <row r="25" spans="2:18" ht="20.149999999999999" customHeight="1" x14ac:dyDescent="0.35">
      <c r="B25" s="293" t="s">
        <v>362</v>
      </c>
      <c r="C25" s="294">
        <v>9878.4660000000003</v>
      </c>
      <c r="D25" s="295">
        <v>14686.39</v>
      </c>
      <c r="E25" s="241"/>
      <c r="F25" s="293" t="s">
        <v>362</v>
      </c>
      <c r="G25" s="294">
        <v>11296.415999999999</v>
      </c>
      <c r="H25" s="295">
        <v>14748.796</v>
      </c>
      <c r="K25" s="293" t="s">
        <v>368</v>
      </c>
      <c r="L25" s="294">
        <v>1089.508</v>
      </c>
      <c r="M25" s="295">
        <v>459.54599999999999</v>
      </c>
      <c r="N25" s="241"/>
      <c r="O25" s="293" t="s">
        <v>365</v>
      </c>
      <c r="P25" s="294">
        <v>773.83799999999997</v>
      </c>
      <c r="Q25" s="295">
        <v>697.35599999999999</v>
      </c>
      <c r="R25" s="323"/>
    </row>
    <row r="26" spans="2:18" ht="20.149999999999999" customHeight="1" x14ac:dyDescent="0.35">
      <c r="B26" s="297" t="s">
        <v>120</v>
      </c>
      <c r="C26" s="298">
        <v>9688.0030000000006</v>
      </c>
      <c r="D26" s="299">
        <v>17808.343000000001</v>
      </c>
      <c r="E26" s="241"/>
      <c r="F26" s="297" t="s">
        <v>421</v>
      </c>
      <c r="G26" s="298">
        <v>10017.868</v>
      </c>
      <c r="H26" s="299">
        <v>13195.878000000001</v>
      </c>
      <c r="I26" s="322"/>
      <c r="J26" s="322"/>
      <c r="K26" s="297" t="s">
        <v>113</v>
      </c>
      <c r="L26" s="298">
        <v>692.40899999999999</v>
      </c>
      <c r="M26" s="299">
        <v>677.67899999999997</v>
      </c>
      <c r="N26" s="241"/>
      <c r="O26" s="297" t="s">
        <v>369</v>
      </c>
      <c r="P26" s="298">
        <v>583.03099999999995</v>
      </c>
      <c r="Q26" s="299">
        <v>626.88499999999999</v>
      </c>
      <c r="R26" s="323"/>
    </row>
    <row r="27" spans="2:18" ht="20.149999999999999" customHeight="1" thickBot="1" x14ac:dyDescent="0.4">
      <c r="B27" s="324"/>
      <c r="C27" s="325"/>
      <c r="D27" s="325"/>
      <c r="E27" s="326"/>
      <c r="F27" s="327"/>
      <c r="G27" s="328"/>
      <c r="H27" s="326"/>
      <c r="I27" s="329"/>
      <c r="J27" s="329"/>
      <c r="K27" s="329"/>
      <c r="L27" s="329"/>
      <c r="M27" s="326"/>
      <c r="N27" s="326"/>
      <c r="O27" s="326"/>
      <c r="P27" s="326"/>
      <c r="Q27" s="326"/>
      <c r="R27" s="330"/>
    </row>
    <row r="28" spans="2:18" ht="20.149999999999999" customHeight="1" x14ac:dyDescent="0.35">
      <c r="B28" s="331"/>
      <c r="C28" s="332"/>
      <c r="D28" s="332"/>
      <c r="E28" s="322"/>
      <c r="F28" s="333"/>
      <c r="G28" s="334"/>
      <c r="H28" s="322"/>
      <c r="I28" s="335"/>
      <c r="J28" s="335"/>
      <c r="K28" s="335"/>
      <c r="L28" s="335"/>
      <c r="M28" s="322"/>
      <c r="N28" s="322"/>
      <c r="O28" s="322"/>
      <c r="P28" s="322"/>
      <c r="Q28" s="322"/>
      <c r="R28" s="323"/>
    </row>
  </sheetData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R28"/>
  <sheetViews>
    <sheetView showGridLines="0" topLeftCell="E17" zoomScaleNormal="100" workbookViewId="0">
      <selection activeCell="R23" sqref="R23"/>
    </sheetView>
  </sheetViews>
  <sheetFormatPr defaultColWidth="9.1796875" defaultRowHeight="13" x14ac:dyDescent="0.3"/>
  <cols>
    <col min="1" max="1" width="10.7265625" style="312" customWidth="1"/>
    <col min="2" max="2" width="15.7265625" style="312" customWidth="1"/>
    <col min="3" max="5" width="10.7265625" style="312" customWidth="1"/>
    <col min="6" max="6" width="15.7265625" style="312" customWidth="1"/>
    <col min="7" max="8" width="10.7265625" style="312" customWidth="1"/>
    <col min="9" max="10" width="5.7265625" style="312" customWidth="1"/>
    <col min="11" max="11" width="15.7265625" style="312" customWidth="1"/>
    <col min="12" max="14" width="10.7265625" style="312" customWidth="1"/>
    <col min="15" max="15" width="15.7265625" style="312" customWidth="1"/>
    <col min="16" max="16" width="10" style="312" customWidth="1"/>
    <col min="17" max="17" width="10.7265625" style="312" customWidth="1"/>
    <col min="18" max="18" width="14.1796875" style="312" customWidth="1"/>
    <col min="19" max="16384" width="9.1796875" style="312"/>
  </cols>
  <sheetData>
    <row r="1" spans="1:18" s="53" customFormat="1" ht="25" customHeight="1" x14ac:dyDescent="0.25">
      <c r="C1" s="198"/>
      <c r="E1" s="54"/>
      <c r="J1" s="55"/>
      <c r="K1" s="56"/>
    </row>
    <row r="2" spans="1:18" s="53" customFormat="1" ht="25" customHeight="1" x14ac:dyDescent="0.25">
      <c r="A2" s="307"/>
      <c r="B2" s="58" t="s">
        <v>370</v>
      </c>
      <c r="C2" s="72"/>
      <c r="D2" s="308"/>
      <c r="E2" s="308"/>
      <c r="F2" s="308"/>
      <c r="G2" s="308"/>
      <c r="H2" s="308"/>
      <c r="I2" s="308"/>
    </row>
    <row r="3" spans="1:18" s="53" customFormat="1" ht="25" customHeight="1" thickBot="1" x14ac:dyDescent="0.35">
      <c r="B3" s="61"/>
      <c r="C3" s="230"/>
      <c r="D3" s="230"/>
      <c r="E3" s="232"/>
      <c r="F3" s="233"/>
      <c r="G3" s="309"/>
      <c r="H3" s="310"/>
      <c r="I3" s="236"/>
      <c r="J3" s="236"/>
      <c r="K3" s="236"/>
      <c r="L3" s="236"/>
      <c r="M3" s="236"/>
      <c r="N3" s="236"/>
      <c r="O3" s="236"/>
      <c r="P3" s="236"/>
      <c r="Q3" s="236"/>
    </row>
    <row r="4" spans="1:18" s="53" customFormat="1" ht="25" customHeight="1" thickTop="1" x14ac:dyDescent="0.3">
      <c r="B4" s="311" t="s">
        <v>366</v>
      </c>
      <c r="C4" s="72"/>
      <c r="D4" s="71"/>
      <c r="E4" s="72"/>
      <c r="F4" s="201"/>
      <c r="G4" s="312"/>
      <c r="H4" s="308"/>
      <c r="K4" s="312"/>
      <c r="L4" s="312"/>
      <c r="M4" s="312"/>
      <c r="P4" s="312"/>
      <c r="Q4" s="240" t="str">
        <f>[3]POMOC!B5</f>
        <v>Notowania 12 - 18.01.2026 / Tydzień 3</v>
      </c>
    </row>
    <row r="5" spans="1:18" s="313" customFormat="1" ht="20.149999999999999" customHeight="1" x14ac:dyDescent="0.25">
      <c r="B5" s="451" t="s">
        <v>367</v>
      </c>
      <c r="C5" s="314"/>
      <c r="D5" s="315"/>
      <c r="E5" s="315"/>
      <c r="F5" s="315"/>
      <c r="M5" s="53"/>
      <c r="N5" s="53"/>
    </row>
    <row r="6" spans="1:18" s="313" customFormat="1" ht="20.149999999999999" customHeight="1" x14ac:dyDescent="0.45">
      <c r="B6" s="11" t="s">
        <v>166</v>
      </c>
      <c r="C6" s="10"/>
      <c r="D6" s="10"/>
      <c r="E6" s="10"/>
      <c r="F6" s="10"/>
      <c r="G6" s="10"/>
      <c r="H6" s="10"/>
      <c r="I6" s="10"/>
      <c r="J6" s="11" t="s">
        <v>162</v>
      </c>
      <c r="K6" s="10"/>
      <c r="L6" s="10"/>
      <c r="M6" s="10"/>
      <c r="N6" s="10"/>
      <c r="O6" s="10"/>
    </row>
    <row r="7" spans="1:18" s="317" customFormat="1" ht="20.149999999999999" customHeight="1" x14ac:dyDescent="0.4">
      <c r="B7" s="300" t="s">
        <v>364</v>
      </c>
      <c r="C7" s="301"/>
      <c r="D7" s="301"/>
      <c r="E7" s="301"/>
      <c r="F7" s="302"/>
      <c r="G7" s="303"/>
      <c r="H7" s="304"/>
      <c r="I7" s="318"/>
      <c r="J7" s="318"/>
      <c r="K7" s="300" t="s">
        <v>364</v>
      </c>
      <c r="L7" s="301"/>
      <c r="M7" s="316"/>
      <c r="N7" s="316"/>
      <c r="O7" s="319"/>
      <c r="P7" s="320"/>
      <c r="Q7" s="320"/>
    </row>
    <row r="8" spans="1:18" ht="20.149999999999999" customHeight="1" x14ac:dyDescent="0.4">
      <c r="B8" s="281" t="s">
        <v>418</v>
      </c>
      <c r="C8" s="282"/>
      <c r="D8" s="283"/>
      <c r="E8" s="305"/>
      <c r="F8" s="281" t="s">
        <v>419</v>
      </c>
      <c r="G8" s="282"/>
      <c r="H8" s="283"/>
      <c r="I8" s="321"/>
      <c r="J8" s="321"/>
      <c r="K8" s="281" t="s">
        <v>418</v>
      </c>
      <c r="L8" s="282"/>
      <c r="M8" s="283"/>
      <c r="N8" s="305"/>
      <c r="O8" s="281" t="s">
        <v>419</v>
      </c>
      <c r="P8" s="282"/>
      <c r="Q8" s="283"/>
      <c r="R8" s="322"/>
    </row>
    <row r="9" spans="1:18" ht="40" customHeight="1" thickBot="1" x14ac:dyDescent="0.35">
      <c r="B9" s="284" t="s">
        <v>108</v>
      </c>
      <c r="C9" s="285" t="s">
        <v>109</v>
      </c>
      <c r="D9" s="286" t="s">
        <v>420</v>
      </c>
      <c r="E9" s="241"/>
      <c r="F9" s="284" t="s">
        <v>108</v>
      </c>
      <c r="G9" s="285" t="s">
        <v>109</v>
      </c>
      <c r="H9" s="286" t="s">
        <v>420</v>
      </c>
      <c r="K9" s="284" t="s">
        <v>108</v>
      </c>
      <c r="L9" s="285" t="s">
        <v>109</v>
      </c>
      <c r="M9" s="286" t="s">
        <v>420</v>
      </c>
      <c r="N9" s="241"/>
      <c r="O9" s="284" t="s">
        <v>108</v>
      </c>
      <c r="P9" s="285" t="s">
        <v>109</v>
      </c>
      <c r="Q9" s="286" t="s">
        <v>420</v>
      </c>
      <c r="R9" s="322"/>
    </row>
    <row r="10" spans="1:18" ht="20.149999999999999" customHeight="1" x14ac:dyDescent="0.35">
      <c r="B10" s="287" t="s">
        <v>110</v>
      </c>
      <c r="C10" s="288">
        <v>132678.96400000001</v>
      </c>
      <c r="D10" s="289">
        <v>153645.179</v>
      </c>
      <c r="E10" s="241"/>
      <c r="F10" s="287" t="s">
        <v>110</v>
      </c>
      <c r="G10" s="288">
        <v>141542.86199999999</v>
      </c>
      <c r="H10" s="289">
        <v>155386.54500000001</v>
      </c>
      <c r="K10" s="287" t="s">
        <v>110</v>
      </c>
      <c r="L10" s="288">
        <v>253467.641</v>
      </c>
      <c r="M10" s="289">
        <v>123915.93</v>
      </c>
      <c r="N10" s="241"/>
      <c r="O10" s="287" t="s">
        <v>110</v>
      </c>
      <c r="P10" s="288">
        <v>266661.98300000001</v>
      </c>
      <c r="Q10" s="289">
        <v>137711.726</v>
      </c>
      <c r="R10" s="322"/>
    </row>
    <row r="11" spans="1:18" ht="20.149999999999999" customHeight="1" x14ac:dyDescent="0.35">
      <c r="B11" s="290" t="s">
        <v>117</v>
      </c>
      <c r="C11" s="291">
        <v>46973.178999999996</v>
      </c>
      <c r="D11" s="292">
        <v>52170.665000000001</v>
      </c>
      <c r="E11" s="241"/>
      <c r="F11" s="290" t="s">
        <v>117</v>
      </c>
      <c r="G11" s="296">
        <v>54614.552000000003</v>
      </c>
      <c r="H11" s="306">
        <v>57751.298999999999</v>
      </c>
      <c r="K11" s="290" t="s">
        <v>127</v>
      </c>
      <c r="L11" s="291">
        <v>76020.069000000003</v>
      </c>
      <c r="M11" s="292">
        <v>45258.874000000003</v>
      </c>
      <c r="N11" s="241"/>
      <c r="O11" s="290" t="s">
        <v>127</v>
      </c>
      <c r="P11" s="296">
        <v>82454.214999999997</v>
      </c>
      <c r="Q11" s="306">
        <v>51058.576999999997</v>
      </c>
      <c r="R11" s="323"/>
    </row>
    <row r="12" spans="1:18" ht="20.149999999999999" customHeight="1" x14ac:dyDescent="0.35">
      <c r="B12" s="293" t="s">
        <v>116</v>
      </c>
      <c r="C12" s="294">
        <v>23778.266</v>
      </c>
      <c r="D12" s="295">
        <v>22662.081999999999</v>
      </c>
      <c r="E12" s="241"/>
      <c r="F12" s="293" t="s">
        <v>116</v>
      </c>
      <c r="G12" s="294">
        <v>23017.112000000001</v>
      </c>
      <c r="H12" s="295">
        <v>22119.653999999999</v>
      </c>
      <c r="K12" s="293" t="s">
        <v>116</v>
      </c>
      <c r="L12" s="294">
        <v>42346.737999999998</v>
      </c>
      <c r="M12" s="295">
        <v>15822.593999999999</v>
      </c>
      <c r="N12" s="241"/>
      <c r="O12" s="293" t="s">
        <v>116</v>
      </c>
      <c r="P12" s="294">
        <v>46541.620999999999</v>
      </c>
      <c r="Q12" s="295">
        <v>17915.066999999999</v>
      </c>
      <c r="R12" s="323"/>
    </row>
    <row r="13" spans="1:18" ht="20.149999999999999" customHeight="1" x14ac:dyDescent="0.35">
      <c r="B13" s="293" t="s">
        <v>124</v>
      </c>
      <c r="C13" s="294">
        <v>21630.095000000001</v>
      </c>
      <c r="D13" s="295">
        <v>26988.807000000001</v>
      </c>
      <c r="E13" s="241"/>
      <c r="F13" s="293" t="s">
        <v>111</v>
      </c>
      <c r="G13" s="294">
        <v>17778.798999999999</v>
      </c>
      <c r="H13" s="295">
        <v>24100.734</v>
      </c>
      <c r="K13" s="293" t="s">
        <v>128</v>
      </c>
      <c r="L13" s="294">
        <v>18599.061000000002</v>
      </c>
      <c r="M13" s="295">
        <v>5691.8249999999998</v>
      </c>
      <c r="N13" s="241"/>
      <c r="O13" s="293" t="s">
        <v>128</v>
      </c>
      <c r="P13" s="294">
        <v>22021.268</v>
      </c>
      <c r="Q13" s="295">
        <v>8795.527</v>
      </c>
      <c r="R13" s="323"/>
    </row>
    <row r="14" spans="1:18" ht="20.149999999999999" customHeight="1" x14ac:dyDescent="0.35">
      <c r="B14" s="293" t="s">
        <v>111</v>
      </c>
      <c r="C14" s="294">
        <v>13826.023999999999</v>
      </c>
      <c r="D14" s="295">
        <v>24299.338</v>
      </c>
      <c r="E14" s="241"/>
      <c r="F14" s="293" t="s">
        <v>126</v>
      </c>
      <c r="G14" s="294">
        <v>17467.277999999998</v>
      </c>
      <c r="H14" s="295">
        <v>18664.663</v>
      </c>
      <c r="K14" s="293" t="s">
        <v>172</v>
      </c>
      <c r="L14" s="294">
        <v>17711.005000000001</v>
      </c>
      <c r="M14" s="295">
        <v>6652.9080000000004</v>
      </c>
      <c r="N14" s="241"/>
      <c r="O14" s="293" t="s">
        <v>114</v>
      </c>
      <c r="P14" s="294">
        <v>18847.363000000001</v>
      </c>
      <c r="Q14" s="295">
        <v>9151.2690000000002</v>
      </c>
      <c r="R14" s="323"/>
    </row>
    <row r="15" spans="1:18" ht="20.149999999999999" customHeight="1" x14ac:dyDescent="0.35">
      <c r="B15" s="293" t="s">
        <v>126</v>
      </c>
      <c r="C15" s="294">
        <v>12712.954</v>
      </c>
      <c r="D15" s="295">
        <v>13855.718999999999</v>
      </c>
      <c r="E15" s="241"/>
      <c r="F15" s="293" t="s">
        <v>124</v>
      </c>
      <c r="G15" s="294">
        <v>16961.194</v>
      </c>
      <c r="H15" s="295">
        <v>20440.510999999999</v>
      </c>
      <c r="K15" s="293" t="s">
        <v>117</v>
      </c>
      <c r="L15" s="294">
        <v>16147.945</v>
      </c>
      <c r="M15" s="295">
        <v>6826.3419999999996</v>
      </c>
      <c r="N15" s="241"/>
      <c r="O15" s="293" t="s">
        <v>122</v>
      </c>
      <c r="P15" s="294">
        <v>15608.446</v>
      </c>
      <c r="Q15" s="295">
        <v>6896.6970000000001</v>
      </c>
      <c r="R15" s="323"/>
    </row>
    <row r="16" spans="1:18" ht="20.149999999999999" customHeight="1" x14ac:dyDescent="0.35">
      <c r="B16" s="293" t="s">
        <v>127</v>
      </c>
      <c r="C16" s="294">
        <v>3488.998</v>
      </c>
      <c r="D16" s="295">
        <v>3240.9850000000001</v>
      </c>
      <c r="E16" s="241"/>
      <c r="F16" s="293" t="s">
        <v>321</v>
      </c>
      <c r="G16" s="294">
        <v>3750.0189999999998</v>
      </c>
      <c r="H16" s="295">
        <v>4852.7879999999996</v>
      </c>
      <c r="K16" s="293" t="s">
        <v>126</v>
      </c>
      <c r="L16" s="294">
        <v>15593.338</v>
      </c>
      <c r="M16" s="295">
        <v>6052.69</v>
      </c>
      <c r="N16" s="241"/>
      <c r="O16" s="293" t="s">
        <v>198</v>
      </c>
      <c r="P16" s="294">
        <v>14457.088</v>
      </c>
      <c r="Q16" s="295">
        <v>11491.432000000001</v>
      </c>
      <c r="R16" s="323"/>
    </row>
    <row r="17" spans="2:18" ht="20.149999999999999" customHeight="1" x14ac:dyDescent="0.35">
      <c r="B17" s="293" t="s">
        <v>172</v>
      </c>
      <c r="C17" s="294">
        <v>3455.9659999999999</v>
      </c>
      <c r="D17" s="295">
        <v>2934.2069999999999</v>
      </c>
      <c r="E17" s="241"/>
      <c r="F17" s="293" t="s">
        <v>127</v>
      </c>
      <c r="G17" s="294">
        <v>2630.7139999999999</v>
      </c>
      <c r="H17" s="295">
        <v>2404.308</v>
      </c>
      <c r="K17" s="293" t="s">
        <v>114</v>
      </c>
      <c r="L17" s="294">
        <v>14674.232</v>
      </c>
      <c r="M17" s="295">
        <v>8216.4079999999994</v>
      </c>
      <c r="N17" s="241"/>
      <c r="O17" s="293" t="s">
        <v>172</v>
      </c>
      <c r="P17" s="294">
        <v>13849.502</v>
      </c>
      <c r="Q17" s="295">
        <v>4693.0919999999996</v>
      </c>
      <c r="R17" s="323"/>
    </row>
    <row r="18" spans="2:18" ht="20.149999999999999" customHeight="1" x14ac:dyDescent="0.35">
      <c r="B18" s="293" t="s">
        <v>125</v>
      </c>
      <c r="C18" s="294">
        <v>2190.6460000000002</v>
      </c>
      <c r="D18" s="295">
        <v>2104.5210000000002</v>
      </c>
      <c r="E18" s="241"/>
      <c r="F18" s="293" t="s">
        <v>125</v>
      </c>
      <c r="G18" s="294">
        <v>1836.693</v>
      </c>
      <c r="H18" s="295">
        <v>1746.701</v>
      </c>
      <c r="K18" s="293" t="s">
        <v>198</v>
      </c>
      <c r="L18" s="294">
        <v>14261.16</v>
      </c>
      <c r="M18" s="295">
        <v>9425.0390000000007</v>
      </c>
      <c r="N18" s="241"/>
      <c r="O18" s="293" t="s">
        <v>126</v>
      </c>
      <c r="P18" s="294">
        <v>13252.279</v>
      </c>
      <c r="Q18" s="295">
        <v>5406.0389999999998</v>
      </c>
      <c r="R18" s="323"/>
    </row>
    <row r="19" spans="2:18" ht="20.149999999999999" customHeight="1" x14ac:dyDescent="0.35">
      <c r="B19" s="293" t="s">
        <v>321</v>
      </c>
      <c r="C19" s="294">
        <v>2128.4740000000002</v>
      </c>
      <c r="D19" s="295">
        <v>2578.098</v>
      </c>
      <c r="E19" s="241"/>
      <c r="F19" s="293" t="s">
        <v>172</v>
      </c>
      <c r="G19" s="294">
        <v>1303.6300000000001</v>
      </c>
      <c r="H19" s="295">
        <v>1378.27</v>
      </c>
      <c r="K19" s="293" t="s">
        <v>371</v>
      </c>
      <c r="L19" s="294">
        <v>10629.272999999999</v>
      </c>
      <c r="M19" s="295">
        <v>6491.3620000000001</v>
      </c>
      <c r="N19" s="241"/>
      <c r="O19" s="293" t="s">
        <v>117</v>
      </c>
      <c r="P19" s="294">
        <v>12216.575999999999</v>
      </c>
      <c r="Q19" s="295">
        <v>5913.3519999999999</v>
      </c>
      <c r="R19" s="323"/>
    </row>
    <row r="20" spans="2:18" ht="20.149999999999999" customHeight="1" x14ac:dyDescent="0.35">
      <c r="B20" s="293" t="s">
        <v>371</v>
      </c>
      <c r="C20" s="294">
        <v>1403.846</v>
      </c>
      <c r="D20" s="295">
        <v>1714.432</v>
      </c>
      <c r="E20" s="241"/>
      <c r="F20" s="293" t="s">
        <v>371</v>
      </c>
      <c r="G20" s="294">
        <v>664.74400000000003</v>
      </c>
      <c r="H20" s="295">
        <v>798.41099999999994</v>
      </c>
      <c r="K20" s="293" t="s">
        <v>122</v>
      </c>
      <c r="L20" s="294">
        <v>8849.5380000000005</v>
      </c>
      <c r="M20" s="295">
        <v>3758.0450000000001</v>
      </c>
      <c r="N20" s="241"/>
      <c r="O20" s="293" t="s">
        <v>124</v>
      </c>
      <c r="P20" s="294">
        <v>9231.0519999999997</v>
      </c>
      <c r="Q20" s="295">
        <v>6222.5320000000002</v>
      </c>
      <c r="R20" s="323"/>
    </row>
    <row r="21" spans="2:18" ht="20.149999999999999" customHeight="1" x14ac:dyDescent="0.35">
      <c r="B21" s="293" t="s">
        <v>372</v>
      </c>
      <c r="C21" s="294">
        <v>300.51400000000001</v>
      </c>
      <c r="D21" s="295">
        <v>432.887</v>
      </c>
      <c r="E21" s="241"/>
      <c r="F21" s="293" t="s">
        <v>376</v>
      </c>
      <c r="G21" s="294">
        <v>567.66399999999999</v>
      </c>
      <c r="H21" s="295">
        <v>103.6</v>
      </c>
      <c r="K21" s="293" t="s">
        <v>124</v>
      </c>
      <c r="L21" s="294">
        <v>6001.0720000000001</v>
      </c>
      <c r="M21" s="295">
        <v>3838.4160000000002</v>
      </c>
      <c r="N21" s="241"/>
      <c r="O21" s="293" t="s">
        <v>371</v>
      </c>
      <c r="P21" s="294">
        <v>5212.9290000000001</v>
      </c>
      <c r="Q21" s="295">
        <v>3568.377</v>
      </c>
      <c r="R21" s="323"/>
    </row>
    <row r="22" spans="2:18" ht="20.149999999999999" customHeight="1" x14ac:dyDescent="0.35">
      <c r="B22" s="293" t="s">
        <v>373</v>
      </c>
      <c r="C22" s="294">
        <v>276.30700000000002</v>
      </c>
      <c r="D22" s="295">
        <v>284.23899999999998</v>
      </c>
      <c r="E22" s="241"/>
      <c r="F22" s="293" t="s">
        <v>377</v>
      </c>
      <c r="G22" s="294">
        <v>211.78800000000001</v>
      </c>
      <c r="H22" s="295">
        <v>213.904</v>
      </c>
      <c r="K22" s="293" t="s">
        <v>379</v>
      </c>
      <c r="L22" s="294">
        <v>3562.8009999999999</v>
      </c>
      <c r="M22" s="295">
        <v>1179.136</v>
      </c>
      <c r="N22" s="241"/>
      <c r="O22" s="293" t="s">
        <v>379</v>
      </c>
      <c r="P22" s="294">
        <v>3090.11</v>
      </c>
      <c r="Q22" s="295">
        <v>1072.806</v>
      </c>
      <c r="R22" s="323"/>
    </row>
    <row r="23" spans="2:18" ht="20.149999999999999" customHeight="1" x14ac:dyDescent="0.35">
      <c r="B23" s="293" t="s">
        <v>374</v>
      </c>
      <c r="C23" s="294">
        <v>129.31399999999999</v>
      </c>
      <c r="D23" s="295">
        <v>111.468</v>
      </c>
      <c r="E23" s="241"/>
      <c r="F23" s="293" t="s">
        <v>373</v>
      </c>
      <c r="G23" s="294">
        <v>200.7</v>
      </c>
      <c r="H23" s="295">
        <v>257.62099999999998</v>
      </c>
      <c r="K23" s="293" t="s">
        <v>111</v>
      </c>
      <c r="L23" s="294">
        <v>2427.7739999999999</v>
      </c>
      <c r="M23" s="295">
        <v>1305.5150000000001</v>
      </c>
      <c r="N23" s="241"/>
      <c r="O23" s="293" t="s">
        <v>111</v>
      </c>
      <c r="P23" s="294">
        <v>3015.7359999999999</v>
      </c>
      <c r="Q23" s="295">
        <v>1502.3430000000001</v>
      </c>
      <c r="R23" s="323"/>
    </row>
    <row r="24" spans="2:18" ht="20.149999999999999" customHeight="1" x14ac:dyDescent="0.35">
      <c r="B24" s="293" t="s">
        <v>376</v>
      </c>
      <c r="C24" s="294">
        <v>103.375</v>
      </c>
      <c r="D24" s="295">
        <v>18.052</v>
      </c>
      <c r="E24" s="241"/>
      <c r="F24" s="293" t="s">
        <v>374</v>
      </c>
      <c r="G24" s="294">
        <v>186.24600000000001</v>
      </c>
      <c r="H24" s="295">
        <v>154.46199999999999</v>
      </c>
      <c r="K24" s="293" t="s">
        <v>164</v>
      </c>
      <c r="L24" s="294">
        <v>2332.6350000000002</v>
      </c>
      <c r="M24" s="295">
        <v>1120.721</v>
      </c>
      <c r="N24" s="241"/>
      <c r="O24" s="293" t="s">
        <v>380</v>
      </c>
      <c r="P24" s="294">
        <v>2212.1379999999999</v>
      </c>
      <c r="Q24" s="295">
        <v>2095.4690000000001</v>
      </c>
      <c r="R24" s="323"/>
    </row>
    <row r="25" spans="2:18" ht="20.149999999999999" customHeight="1" x14ac:dyDescent="0.35">
      <c r="B25" s="293" t="s">
        <v>201</v>
      </c>
      <c r="C25" s="294">
        <v>83.007999999999996</v>
      </c>
      <c r="D25" s="295">
        <v>77.995999999999995</v>
      </c>
      <c r="E25" s="241"/>
      <c r="F25" s="293" t="s">
        <v>372</v>
      </c>
      <c r="G25" s="294">
        <v>137.047</v>
      </c>
      <c r="H25" s="295">
        <v>183.56100000000001</v>
      </c>
      <c r="K25" s="293" t="s">
        <v>125</v>
      </c>
      <c r="L25" s="294">
        <v>2271.721</v>
      </c>
      <c r="M25" s="295">
        <v>926.92899999999997</v>
      </c>
      <c r="N25" s="241"/>
      <c r="O25" s="293" t="s">
        <v>125</v>
      </c>
      <c r="P25" s="294">
        <v>2057.2280000000001</v>
      </c>
      <c r="Q25" s="295">
        <v>735.54600000000005</v>
      </c>
      <c r="R25" s="323"/>
    </row>
    <row r="26" spans="2:18" ht="20.149999999999999" customHeight="1" x14ac:dyDescent="0.35">
      <c r="B26" s="297" t="s">
        <v>375</v>
      </c>
      <c r="C26" s="298">
        <v>70.875</v>
      </c>
      <c r="D26" s="299">
        <v>64.897000000000006</v>
      </c>
      <c r="E26" s="241"/>
      <c r="F26" s="297" t="s">
        <v>378</v>
      </c>
      <c r="G26" s="298">
        <v>65.137</v>
      </c>
      <c r="H26" s="299">
        <v>92.82</v>
      </c>
      <c r="I26" s="322"/>
      <c r="J26" s="322"/>
      <c r="K26" s="297" t="s">
        <v>380</v>
      </c>
      <c r="L26" s="298">
        <v>1183.4960000000001</v>
      </c>
      <c r="M26" s="299">
        <v>1012.34</v>
      </c>
      <c r="N26" s="241"/>
      <c r="O26" s="297" t="s">
        <v>164</v>
      </c>
      <c r="P26" s="298">
        <v>1671.836</v>
      </c>
      <c r="Q26" s="299">
        <v>750.86599999999999</v>
      </c>
      <c r="R26" s="323"/>
    </row>
    <row r="27" spans="2:18" ht="20.149999999999999" customHeight="1" thickBot="1" x14ac:dyDescent="0.4">
      <c r="B27" s="324"/>
      <c r="C27" s="325"/>
      <c r="D27" s="325"/>
      <c r="E27" s="326"/>
      <c r="F27" s="327"/>
      <c r="G27" s="328"/>
      <c r="H27" s="326"/>
      <c r="I27" s="329"/>
      <c r="J27" s="329"/>
      <c r="K27" s="329"/>
      <c r="L27" s="329"/>
      <c r="M27" s="326"/>
      <c r="N27" s="326"/>
      <c r="O27" s="326"/>
      <c r="P27" s="326"/>
      <c r="Q27" s="326"/>
      <c r="R27" s="330"/>
    </row>
    <row r="28" spans="2:18" ht="20.149999999999999" customHeight="1" x14ac:dyDescent="0.35">
      <c r="B28" s="331"/>
      <c r="C28" s="332"/>
      <c r="D28" s="332"/>
      <c r="E28" s="322"/>
      <c r="F28" s="333"/>
      <c r="G28" s="334"/>
      <c r="H28" s="322"/>
      <c r="I28" s="335"/>
      <c r="J28" s="335"/>
      <c r="K28" s="335"/>
      <c r="L28" s="335"/>
      <c r="M28" s="322"/>
      <c r="N28" s="322"/>
      <c r="O28" s="322"/>
      <c r="P28" s="322"/>
      <c r="Q28" s="322"/>
      <c r="R28" s="323"/>
    </row>
  </sheetData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4"/>
  <dimension ref="A1:P34"/>
  <sheetViews>
    <sheetView workbookViewId="0">
      <selection activeCell="A8" sqref="A8"/>
    </sheetView>
  </sheetViews>
  <sheetFormatPr defaultColWidth="18" defaultRowHeight="18" x14ac:dyDescent="0.4"/>
  <cols>
    <col min="1" max="1" width="10.7265625" style="2" customWidth="1"/>
    <col min="2" max="4" width="30.7265625" style="2" customWidth="1"/>
    <col min="5" max="5" width="30.7265625" style="3" customWidth="1"/>
    <col min="6" max="16384" width="18" style="2"/>
  </cols>
  <sheetData>
    <row r="1" spans="1:16" s="53" customFormat="1" ht="25" customHeight="1" x14ac:dyDescent="0.35">
      <c r="B1" s="77"/>
      <c r="D1" s="54"/>
      <c r="H1" s="55"/>
      <c r="I1" s="56"/>
    </row>
    <row r="2" spans="1:16" customFormat="1" ht="25" customHeight="1" x14ac:dyDescent="0.25">
      <c r="A2" s="57"/>
      <c r="B2" s="58" t="s">
        <v>41</v>
      </c>
      <c r="C2" s="59"/>
      <c r="D2" s="59"/>
      <c r="E2" s="59"/>
      <c r="F2" s="59"/>
      <c r="G2" s="59"/>
      <c r="H2" s="60"/>
      <c r="I2" s="60"/>
      <c r="J2" s="60"/>
      <c r="K2" s="53"/>
      <c r="L2" s="60"/>
    </row>
    <row r="3" spans="1:16" customFormat="1" ht="25" customHeight="1" thickBot="1" x14ac:dyDescent="0.3">
      <c r="B3" s="61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P3" s="53"/>
    </row>
    <row r="4" spans="1:16" customFormat="1" ht="25" customHeight="1" thickTop="1" x14ac:dyDescent="0.3">
      <c r="B4" s="70"/>
      <c r="C4" s="71"/>
      <c r="D4" s="72"/>
      <c r="E4" s="145"/>
      <c r="F4" s="74"/>
      <c r="G4" s="146"/>
      <c r="H4" s="74"/>
      <c r="I4" s="75"/>
      <c r="J4" s="53"/>
      <c r="K4" s="76"/>
      <c r="L4" s="60"/>
      <c r="O4" s="53"/>
    </row>
    <row r="5" spans="1:16" s="5" customFormat="1" x14ac:dyDescent="0.4">
      <c r="B5" s="208" t="s">
        <v>42</v>
      </c>
      <c r="C5" s="209" t="s">
        <v>43</v>
      </c>
      <c r="D5" s="210" t="s">
        <v>44</v>
      </c>
      <c r="E5" s="209" t="s">
        <v>45</v>
      </c>
      <c r="F5" s="4"/>
      <c r="G5" s="4"/>
    </row>
    <row r="6" spans="1:16" x14ac:dyDescent="0.4">
      <c r="B6" s="12" t="s">
        <v>46</v>
      </c>
      <c r="C6" s="203" t="s">
        <v>47</v>
      </c>
      <c r="D6" s="206" t="s">
        <v>26</v>
      </c>
      <c r="E6" s="203" t="s">
        <v>48</v>
      </c>
      <c r="G6" s="4"/>
    </row>
    <row r="7" spans="1:16" x14ac:dyDescent="0.4">
      <c r="B7" s="205" t="s">
        <v>5</v>
      </c>
      <c r="C7" s="204" t="s">
        <v>49</v>
      </c>
      <c r="D7" s="207" t="s">
        <v>27</v>
      </c>
      <c r="E7" s="204" t="s">
        <v>50</v>
      </c>
      <c r="G7" s="4"/>
    </row>
    <row r="8" spans="1:16" x14ac:dyDescent="0.4">
      <c r="B8" s="12" t="s">
        <v>19</v>
      </c>
      <c r="C8" s="203" t="s">
        <v>51</v>
      </c>
      <c r="D8" s="206" t="s">
        <v>28</v>
      </c>
      <c r="E8" s="203" t="s">
        <v>52</v>
      </c>
      <c r="G8" s="4"/>
    </row>
    <row r="9" spans="1:16" x14ac:dyDescent="0.4">
      <c r="B9" s="205" t="s">
        <v>20</v>
      </c>
      <c r="C9" s="204" t="s">
        <v>53</v>
      </c>
      <c r="D9" s="207" t="s">
        <v>29</v>
      </c>
      <c r="E9" s="204" t="s">
        <v>54</v>
      </c>
      <c r="G9" s="4"/>
    </row>
    <row r="10" spans="1:16" x14ac:dyDescent="0.4">
      <c r="B10" s="12" t="s">
        <v>6</v>
      </c>
      <c r="C10" s="203" t="s">
        <v>55</v>
      </c>
      <c r="D10" s="206" t="s">
        <v>56</v>
      </c>
      <c r="E10" s="203" t="s">
        <v>57</v>
      </c>
      <c r="G10" s="4"/>
    </row>
    <row r="11" spans="1:16" x14ac:dyDescent="0.4">
      <c r="B11" s="205" t="s">
        <v>7</v>
      </c>
      <c r="C11" s="204" t="s">
        <v>58</v>
      </c>
      <c r="D11" s="207" t="s">
        <v>59</v>
      </c>
      <c r="E11" s="204" t="s">
        <v>60</v>
      </c>
      <c r="G11" s="4"/>
    </row>
    <row r="12" spans="1:16" x14ac:dyDescent="0.4">
      <c r="B12" s="12" t="s">
        <v>8</v>
      </c>
      <c r="C12" s="203" t="s">
        <v>61</v>
      </c>
      <c r="D12" s="206" t="s">
        <v>31</v>
      </c>
      <c r="E12" s="203" t="s">
        <v>62</v>
      </c>
      <c r="G12" s="4"/>
    </row>
    <row r="13" spans="1:16" x14ac:dyDescent="0.4">
      <c r="B13" s="205" t="s">
        <v>10</v>
      </c>
      <c r="C13" s="204" t="s">
        <v>63</v>
      </c>
      <c r="D13" s="207" t="s">
        <v>64</v>
      </c>
      <c r="E13" s="204" t="s">
        <v>65</v>
      </c>
      <c r="G13" s="4"/>
    </row>
    <row r="14" spans="1:16" x14ac:dyDescent="0.4">
      <c r="B14" s="12" t="s">
        <v>9</v>
      </c>
      <c r="C14" s="203" t="s">
        <v>66</v>
      </c>
      <c r="D14" s="206" t="s">
        <v>32</v>
      </c>
      <c r="E14" s="203" t="s">
        <v>67</v>
      </c>
      <c r="G14" s="4"/>
    </row>
    <row r="15" spans="1:16" x14ac:dyDescent="0.4">
      <c r="B15" s="205" t="s">
        <v>21</v>
      </c>
      <c r="C15" s="204" t="s">
        <v>68</v>
      </c>
      <c r="D15" s="207" t="s">
        <v>69</v>
      </c>
      <c r="E15" s="204" t="s">
        <v>70</v>
      </c>
      <c r="G15" s="4"/>
    </row>
    <row r="16" spans="1:16" x14ac:dyDescent="0.4">
      <c r="B16" s="12" t="s">
        <v>23</v>
      </c>
      <c r="C16" s="203" t="s">
        <v>71</v>
      </c>
      <c r="D16" s="206" t="s">
        <v>33</v>
      </c>
      <c r="E16" s="203" t="s">
        <v>72</v>
      </c>
      <c r="G16" s="4"/>
    </row>
    <row r="17" spans="2:7" x14ac:dyDescent="0.4">
      <c r="B17" s="205" t="s">
        <v>22</v>
      </c>
      <c r="C17" s="204" t="s">
        <v>73</v>
      </c>
      <c r="D17" s="207" t="s">
        <v>74</v>
      </c>
      <c r="E17" s="204" t="s">
        <v>75</v>
      </c>
      <c r="G17" s="4"/>
    </row>
    <row r="18" spans="2:7" x14ac:dyDescent="0.4">
      <c r="B18" s="12" t="s">
        <v>12</v>
      </c>
      <c r="C18" s="203" t="s">
        <v>76</v>
      </c>
      <c r="D18" s="206" t="s">
        <v>77</v>
      </c>
      <c r="E18" s="203" t="s">
        <v>78</v>
      </c>
      <c r="G18" s="4"/>
    </row>
    <row r="19" spans="2:7" x14ac:dyDescent="0.4">
      <c r="B19" s="205" t="s">
        <v>79</v>
      </c>
      <c r="C19" s="204" t="s">
        <v>80</v>
      </c>
      <c r="D19" s="207" t="s">
        <v>40</v>
      </c>
      <c r="E19" s="204" t="s">
        <v>81</v>
      </c>
      <c r="G19" s="4"/>
    </row>
    <row r="20" spans="2:7" x14ac:dyDescent="0.4">
      <c r="B20" s="12" t="s">
        <v>82</v>
      </c>
      <c r="C20" s="203" t="s">
        <v>83</v>
      </c>
      <c r="D20" s="206" t="s">
        <v>39</v>
      </c>
      <c r="E20" s="203" t="s">
        <v>84</v>
      </c>
      <c r="G20" s="4"/>
    </row>
    <row r="21" spans="2:7" x14ac:dyDescent="0.4">
      <c r="B21" s="205" t="s">
        <v>24</v>
      </c>
      <c r="C21" s="204" t="s">
        <v>85</v>
      </c>
      <c r="D21" s="207" t="s">
        <v>34</v>
      </c>
      <c r="E21" s="204" t="s">
        <v>86</v>
      </c>
      <c r="G21" s="4"/>
    </row>
    <row r="22" spans="2:7" x14ac:dyDescent="0.4">
      <c r="B22" s="12" t="s">
        <v>14</v>
      </c>
      <c r="C22" s="203" t="s">
        <v>87</v>
      </c>
      <c r="D22" s="206" t="s">
        <v>88</v>
      </c>
      <c r="E22" s="203" t="s">
        <v>89</v>
      </c>
      <c r="G22" s="4"/>
    </row>
    <row r="23" spans="2:7" x14ac:dyDescent="0.4">
      <c r="B23" s="205" t="s">
        <v>15</v>
      </c>
      <c r="C23" s="204" t="s">
        <v>90</v>
      </c>
      <c r="D23" s="211" t="s">
        <v>91</v>
      </c>
      <c r="E23" s="212" t="s">
        <v>92</v>
      </c>
      <c r="F23" s="6"/>
      <c r="G23" s="4"/>
    </row>
    <row r="24" spans="2:7" x14ac:dyDescent="0.4">
      <c r="B24" s="12" t="s">
        <v>38</v>
      </c>
      <c r="C24" s="203" t="s">
        <v>93</v>
      </c>
      <c r="D24" s="206" t="s">
        <v>4</v>
      </c>
      <c r="E24" s="203" t="s">
        <v>94</v>
      </c>
      <c r="G24" s="4"/>
    </row>
    <row r="25" spans="2:7" x14ac:dyDescent="0.4">
      <c r="B25" s="205" t="s">
        <v>17</v>
      </c>
      <c r="C25" s="204" t="s">
        <v>95</v>
      </c>
      <c r="D25" s="207" t="s">
        <v>11</v>
      </c>
      <c r="E25" s="204" t="s">
        <v>105</v>
      </c>
    </row>
    <row r="34" spans="5:5" x14ac:dyDescent="0.4">
      <c r="E34" s="3" t="s">
        <v>96</v>
      </c>
    </row>
  </sheetData>
  <phoneticPr fontId="19" type="noConversion"/>
  <pageMargins left="0.79" right="0.79" top="0.98" bottom="0.98" header="0.5" footer="0.5"/>
  <pageSetup paperSize="9" orientation="portrait" r:id="rId1"/>
  <headerFooter alignWithMargins="0">
    <oddHeader>&amp;A</oddHeader>
    <oddFooter>Strona &amp;P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29"/>
  <sheetViews>
    <sheetView showGridLines="0" zoomScaleNormal="100" workbookViewId="0">
      <selection activeCell="G7" sqref="G7"/>
    </sheetView>
  </sheetViews>
  <sheetFormatPr defaultColWidth="9.1796875" defaultRowHeight="12.5" x14ac:dyDescent="0.25"/>
  <cols>
    <col min="1" max="27" width="10.7265625" style="53" customWidth="1"/>
    <col min="28" max="16384" width="9.1796875" style="53"/>
  </cols>
  <sheetData>
    <row r="1" spans="1:16" ht="25" customHeight="1" x14ac:dyDescent="0.25">
      <c r="C1" s="198"/>
      <c r="F1" s="54"/>
      <c r="L1" s="55"/>
      <c r="M1" s="56"/>
    </row>
    <row r="2" spans="1:16" customFormat="1" ht="25" customHeight="1" x14ac:dyDescent="0.25">
      <c r="A2" s="57"/>
      <c r="B2" s="58" t="s">
        <v>357</v>
      </c>
      <c r="C2" s="72"/>
      <c r="D2" s="74"/>
      <c r="E2" s="74"/>
      <c r="F2" s="74"/>
      <c r="G2" s="74"/>
      <c r="H2" s="74"/>
      <c r="I2" s="74"/>
      <c r="J2" s="74"/>
      <c r="K2" s="74"/>
    </row>
    <row r="3" spans="1:16" customFormat="1" ht="25" customHeight="1" thickBot="1" x14ac:dyDescent="0.35">
      <c r="B3" s="61"/>
      <c r="C3" s="230"/>
      <c r="D3" s="231"/>
      <c r="E3" s="230"/>
      <c r="F3" s="232"/>
      <c r="G3" s="233"/>
      <c r="H3" s="234"/>
      <c r="I3" s="234"/>
      <c r="J3" s="235"/>
      <c r="K3" s="236"/>
      <c r="L3" s="237"/>
      <c r="M3" s="237"/>
      <c r="N3" s="237"/>
      <c r="O3" s="237"/>
      <c r="P3" s="238"/>
    </row>
    <row r="4" spans="1:16" customFormat="1" ht="25" customHeight="1" thickTop="1" x14ac:dyDescent="0.3">
      <c r="B4" s="200"/>
      <c r="C4" s="72"/>
      <c r="D4" s="71"/>
      <c r="E4" s="72"/>
      <c r="F4" s="73"/>
      <c r="G4" s="201"/>
      <c r="H4" s="74"/>
      <c r="I4" s="74"/>
      <c r="J4" s="146"/>
      <c r="K4" s="53"/>
      <c r="O4" s="239"/>
      <c r="P4" s="240" t="str">
        <f>B5</f>
        <v>Notowania 09.03 - 18.03.2026 / Tydzień 10</v>
      </c>
    </row>
    <row r="5" spans="1:16" ht="20.149999999999999" customHeight="1" x14ac:dyDescent="0.3">
      <c r="B5" s="241" t="s">
        <v>617</v>
      </c>
      <c r="C5" s="241"/>
      <c r="D5" s="241"/>
      <c r="E5" s="241"/>
    </row>
    <row r="6" spans="1:16" ht="20.149999999999999" customHeight="1" x14ac:dyDescent="0.3">
      <c r="B6" s="241" t="s">
        <v>477</v>
      </c>
      <c r="C6" s="241"/>
      <c r="D6" s="241"/>
      <c r="E6" s="241"/>
    </row>
    <row r="7" spans="1:16" ht="20.149999999999999" customHeight="1" x14ac:dyDescent="0.3">
      <c r="B7" s="241"/>
      <c r="C7" s="241"/>
      <c r="D7" s="241"/>
      <c r="E7" s="336"/>
    </row>
    <row r="8" spans="1:16" ht="20.149999999999999" customHeight="1" x14ac:dyDescent="0.3">
      <c r="B8" s="241"/>
      <c r="C8" s="241"/>
      <c r="D8" s="241"/>
      <c r="E8" s="336"/>
    </row>
    <row r="9" spans="1:16" ht="20.149999999999999" customHeight="1" x14ac:dyDescent="0.3">
      <c r="B9" s="241"/>
      <c r="C9" s="241"/>
      <c r="D9" s="241"/>
      <c r="E9" s="336"/>
    </row>
    <row r="10" spans="1:16" ht="20.149999999999999" customHeight="1" x14ac:dyDescent="0.3">
      <c r="B10" s="241"/>
      <c r="E10" s="242"/>
    </row>
    <row r="11" spans="1:16" ht="20.149999999999999" customHeight="1" x14ac:dyDescent="0.3">
      <c r="B11" s="241"/>
      <c r="E11" s="242"/>
    </row>
    <row r="12" spans="1:16" ht="20.149999999999999" customHeight="1" x14ac:dyDescent="0.3">
      <c r="B12" s="241"/>
      <c r="E12" s="242"/>
    </row>
    <row r="13" spans="1:16" ht="20.149999999999999" customHeight="1" x14ac:dyDescent="0.25"/>
    <row r="14" spans="1:16" ht="20.149999999999999" customHeight="1" x14ac:dyDescent="0.25"/>
    <row r="15" spans="1:16" ht="20.149999999999999" customHeight="1" x14ac:dyDescent="0.25"/>
    <row r="16" spans="1:16" ht="20.149999999999999" customHeight="1" x14ac:dyDescent="0.25"/>
    <row r="17" ht="20.149999999999999" customHeight="1" x14ac:dyDescent="0.25"/>
    <row r="18" ht="20.149999999999999" customHeight="1" x14ac:dyDescent="0.25"/>
    <row r="19" ht="20.149999999999999" customHeight="1" x14ac:dyDescent="0.25"/>
    <row r="20" ht="20.149999999999999" customHeight="1" x14ac:dyDescent="0.25"/>
    <row r="21" ht="20.149999999999999" customHeight="1" x14ac:dyDescent="0.25"/>
    <row r="22" ht="20.149999999999999" customHeight="1" x14ac:dyDescent="0.25"/>
    <row r="23" ht="20.149999999999999" customHeight="1" x14ac:dyDescent="0.25"/>
    <row r="24" ht="20.149999999999999" customHeight="1" x14ac:dyDescent="0.25"/>
    <row r="25" ht="20.149999999999999" customHeight="1" x14ac:dyDescent="0.25"/>
    <row r="26" ht="20.149999999999999" customHeight="1" x14ac:dyDescent="0.25"/>
    <row r="27" ht="20.149999999999999" customHeight="1" x14ac:dyDescent="0.25"/>
    <row r="28" ht="20.149999999999999" customHeight="1" x14ac:dyDescent="0.25"/>
    <row r="29" ht="20.149999999999999" customHeight="1" x14ac:dyDescent="0.25"/>
  </sheetData>
  <pageMargins left="0.7" right="0.7" top="0.75" bottom="0.75" header="0.3" footer="0.3"/>
  <pageSetup paperSize="9" scale="75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5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6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7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8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9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0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22</vt:i4>
      </vt:variant>
      <vt:variant>
        <vt:lpstr>Zakresy nazwane</vt:lpstr>
      </vt:variant>
      <vt:variant>
        <vt:i4>5</vt:i4>
      </vt:variant>
    </vt:vector>
  </HeadingPairs>
  <TitlesOfParts>
    <vt:vector size="27" baseType="lpstr">
      <vt:lpstr>INFO</vt:lpstr>
      <vt:lpstr>SPIS</vt:lpstr>
      <vt:lpstr>ZMIANY HURT</vt:lpstr>
      <vt:lpstr>HURT WARZ</vt:lpstr>
      <vt:lpstr>HURT OWOC</vt:lpstr>
      <vt:lpstr>OWOCE ORGANIZACJE PROD.</vt:lpstr>
      <vt:lpstr>OWOCE PRZETWÓRSTWO</vt:lpstr>
      <vt:lpstr>WARZYWA PRZETWÓRSTWO</vt:lpstr>
      <vt:lpstr>ZAKUP OWOCE DETAL</vt:lpstr>
      <vt:lpstr>ZAKUP WARZ DETAL</vt:lpstr>
      <vt:lpstr>DETAL OWOCE WYKRES </vt:lpstr>
      <vt:lpstr>DETAL WARZ WYKRES</vt:lpstr>
      <vt:lpstr>IERGZ_warzywa</vt:lpstr>
      <vt:lpstr>IERGZ_Zaklady  </vt:lpstr>
      <vt:lpstr>IERGZ_owoce</vt:lpstr>
      <vt:lpstr>ow_KRIR</vt:lpstr>
      <vt:lpstr>HANDEL ZAGRANICZNY_I _XII_2024</vt:lpstr>
      <vt:lpstr>HANDEL ZAGRANICZNY_I_XII_2025</vt:lpstr>
      <vt:lpstr>EXP KRAJE I-XII 2025</vt:lpstr>
      <vt:lpstr>IMP KRAJE I-XII 2025</vt:lpstr>
      <vt:lpstr>Sł_Pol-Ang</vt:lpstr>
      <vt:lpstr>POMOC</vt:lpstr>
      <vt:lpstr>IERGZ_owoce!Obszar_wydruku</vt:lpstr>
      <vt:lpstr>IERGZ_warzywa!Obszar_wydruku</vt:lpstr>
      <vt:lpstr>INFO!Obszar_wydruku</vt:lpstr>
      <vt:lpstr>'HANDEL ZAGRANICZNY_I _XII_2024'!Tytuły_wydruku</vt:lpstr>
      <vt:lpstr>'HANDEL ZAGRANICZNY_I_XII_2025'!Tytuły_wydruku</vt:lpstr>
    </vt:vector>
  </TitlesOfParts>
  <Company>MIN.ROL.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FAPA</dc:creator>
  <cp:lastModifiedBy>Chruśliński Tomasz</cp:lastModifiedBy>
  <cp:lastPrinted>2006-06-09T10:23:10Z</cp:lastPrinted>
  <dcterms:created xsi:type="dcterms:W3CDTF">1997-07-03T08:22:55Z</dcterms:created>
  <dcterms:modified xsi:type="dcterms:W3CDTF">2026-03-19T10:16:09Z</dcterms:modified>
</cp:coreProperties>
</file>